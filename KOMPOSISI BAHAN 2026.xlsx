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HYA GALLERY\CG FOOD&amp;BEVERAGE\LAPORAN EXCEL\2026\JANUARI - DESEMBER\"/>
    </mc:Choice>
  </mc:AlternateContent>
  <bookViews>
    <workbookView xWindow="75" yWindow="225" windowWidth="9405" windowHeight="8220" tabRatio="829" activeTab="1"/>
  </bookViews>
  <sheets>
    <sheet name="ZAMBI" sheetId="37" r:id="rId1"/>
    <sheet name="BURGER" sheetId="12" r:id="rId2"/>
    <sheet name="ROCAS" sheetId="21" r:id="rId3"/>
    <sheet name="ROTI MARYAM" sheetId="22" r:id="rId4"/>
    <sheet name=" KEBAB SOSIZ" sheetId="9" r:id="rId5"/>
    <sheet name="KEBAB AYAM" sheetId="38" r:id="rId6"/>
    <sheet name="KEBAB AYAM + SOSIZ (KECIL)" sheetId="32" r:id="rId7"/>
    <sheet name="KEBAB AYAM + SOSIZ (MEDIUM)" sheetId="10" r:id="rId8"/>
    <sheet name="PIZZA YES" sheetId="15" r:id="rId9"/>
    <sheet name="PIZZA YUHU" sheetId="20" r:id="rId10"/>
    <sheet name="PIZZA SIP" sheetId="14" r:id="rId11"/>
    <sheet name="PIZZA YES TOP KOREA" sheetId="28" r:id="rId12"/>
    <sheet name="PIZZA YUHU TOP KOREA" sheetId="29" r:id="rId13"/>
    <sheet name="PIZZA SIP TOP KOREA" sheetId="30" r:id="rId14"/>
    <sheet name="PIZZA KULIT KEBAB" sheetId="40" r:id="rId15"/>
    <sheet name="MODAL" sheetId="8" r:id="rId16"/>
  </sheets>
  <externalReferences>
    <externalReference r:id="rId17"/>
    <externalReference r:id="rId18"/>
  </externalReferences>
  <calcPr calcId="152511"/>
</workbook>
</file>

<file path=xl/calcChain.xml><?xml version="1.0" encoding="utf-8"?>
<calcChain xmlns="http://schemas.openxmlformats.org/spreadsheetml/2006/main">
  <c r="F2" i="40" l="1"/>
  <c r="F3" i="40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E2" i="40"/>
  <c r="E3" i="40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D2" i="40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C2" i="40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F2" i="30"/>
  <c r="F3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E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D2" i="30"/>
  <c r="D3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C2" i="30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F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E2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D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C2" i="29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F2" i="28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E2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D2" i="28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C2" i="28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F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E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D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C2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F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E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G2" i="32"/>
  <c r="G3" i="32"/>
  <c r="G4" i="32"/>
  <c r="G5" i="32"/>
  <c r="G6" i="32"/>
  <c r="G7" i="32"/>
  <c r="G8" i="32"/>
  <c r="G9" i="32"/>
  <c r="G10" i="32"/>
  <c r="G11" i="32"/>
  <c r="G12" i="32"/>
  <c r="G13" i="32"/>
  <c r="G14" i="32"/>
  <c r="F2" i="32"/>
  <c r="F3" i="32"/>
  <c r="F4" i="32"/>
  <c r="F5" i="32"/>
  <c r="F6" i="32"/>
  <c r="F7" i="32"/>
  <c r="F8" i="32"/>
  <c r="F9" i="32"/>
  <c r="F10" i="32"/>
  <c r="F11" i="32"/>
  <c r="F12" i="32"/>
  <c r="F13" i="32"/>
  <c r="F14" i="32"/>
  <c r="D2" i="32"/>
  <c r="D3" i="32"/>
  <c r="D4" i="32"/>
  <c r="D5" i="32"/>
  <c r="D6" i="32"/>
  <c r="D7" i="32"/>
  <c r="D8" i="32"/>
  <c r="D9" i="32"/>
  <c r="D10" i="32"/>
  <c r="D11" i="32"/>
  <c r="D12" i="32"/>
  <c r="D13" i="32"/>
  <c r="D14" i="32"/>
  <c r="C2" i="32"/>
  <c r="C3" i="32"/>
  <c r="C4" i="32"/>
  <c r="C5" i="32"/>
  <c r="C6" i="32"/>
  <c r="C7" i="32"/>
  <c r="C8" i="32"/>
  <c r="C9" i="32"/>
  <c r="C10" i="32"/>
  <c r="C11" i="32"/>
  <c r="C12" i="32"/>
  <c r="C13" i="32"/>
  <c r="C14" i="32"/>
  <c r="G26" i="38"/>
  <c r="G27" i="38"/>
  <c r="G28" i="38"/>
  <c r="G29" i="38"/>
  <c r="G30" i="38"/>
  <c r="G31" i="38"/>
  <c r="G32" i="38"/>
  <c r="G33" i="38"/>
  <c r="G34" i="38"/>
  <c r="G35" i="38"/>
  <c r="G36" i="38"/>
  <c r="G37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D2" i="38"/>
  <c r="D3" i="38"/>
  <c r="D4" i="38"/>
  <c r="D5" i="38"/>
  <c r="D6" i="38"/>
  <c r="D7" i="38"/>
  <c r="D8" i="38"/>
  <c r="D9" i="38"/>
  <c r="D10" i="38"/>
  <c r="D11" i="38"/>
  <c r="D12" i="38"/>
  <c r="D13" i="38"/>
  <c r="F2" i="38"/>
  <c r="F3" i="38"/>
  <c r="F4" i="38"/>
  <c r="F5" i="38"/>
  <c r="F6" i="38"/>
  <c r="F7" i="38"/>
  <c r="F8" i="38"/>
  <c r="F9" i="38"/>
  <c r="F10" i="38"/>
  <c r="F11" i="38"/>
  <c r="F12" i="38"/>
  <c r="F13" i="38"/>
  <c r="G2" i="38"/>
  <c r="G3" i="38"/>
  <c r="G4" i="38"/>
  <c r="G5" i="38"/>
  <c r="G6" i="38"/>
  <c r="G7" i="38"/>
  <c r="G8" i="38"/>
  <c r="G9" i="38"/>
  <c r="G10" i="38"/>
  <c r="G11" i="38"/>
  <c r="G12" i="38"/>
  <c r="G13" i="38"/>
  <c r="C2" i="38"/>
  <c r="C3" i="38"/>
  <c r="C4" i="38"/>
  <c r="C5" i="38"/>
  <c r="C6" i="38"/>
  <c r="C7" i="38"/>
  <c r="C8" i="38"/>
  <c r="C9" i="38"/>
  <c r="C10" i="38"/>
  <c r="C11" i="38"/>
  <c r="C12" i="38"/>
  <c r="C13" i="38"/>
  <c r="F2" i="9"/>
  <c r="F3" i="9"/>
  <c r="F4" i="9"/>
  <c r="F5" i="9"/>
  <c r="F6" i="9"/>
  <c r="F7" i="9"/>
  <c r="F8" i="9"/>
  <c r="F9" i="9"/>
  <c r="F10" i="9"/>
  <c r="F11" i="9"/>
  <c r="F12" i="9"/>
  <c r="F13" i="9"/>
  <c r="E2" i="9"/>
  <c r="E3" i="9"/>
  <c r="E4" i="9"/>
  <c r="E5" i="9"/>
  <c r="E6" i="9"/>
  <c r="E7" i="9"/>
  <c r="E8" i="9"/>
  <c r="E9" i="9"/>
  <c r="E10" i="9"/>
  <c r="E11" i="9"/>
  <c r="E12" i="9"/>
  <c r="E13" i="9"/>
  <c r="D2" i="9"/>
  <c r="D3" i="9"/>
  <c r="D4" i="9"/>
  <c r="D5" i="9"/>
  <c r="D6" i="9"/>
  <c r="D7" i="9"/>
  <c r="D8" i="9"/>
  <c r="D9" i="9"/>
  <c r="D10" i="9"/>
  <c r="D11" i="9"/>
  <c r="D12" i="9"/>
  <c r="D13" i="9"/>
  <c r="C2" i="9"/>
  <c r="C3" i="9"/>
  <c r="C4" i="9"/>
  <c r="C5" i="9"/>
  <c r="C6" i="9"/>
  <c r="C7" i="9"/>
  <c r="C8" i="9"/>
  <c r="C9" i="9"/>
  <c r="C10" i="9"/>
  <c r="C11" i="9"/>
  <c r="C12" i="9"/>
  <c r="C13" i="9"/>
  <c r="W19" i="22"/>
  <c r="W20" i="22"/>
  <c r="W21" i="22"/>
  <c r="W22" i="22"/>
  <c r="W23" i="22"/>
  <c r="W24" i="22"/>
  <c r="W25" i="22"/>
  <c r="W26" i="22"/>
  <c r="W27" i="22"/>
  <c r="W28" i="22"/>
  <c r="W29" i="22"/>
  <c r="W30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W2" i="22"/>
  <c r="W3" i="22"/>
  <c r="W4" i="22"/>
  <c r="W5" i="22"/>
  <c r="W6" i="22"/>
  <c r="W7" i="22"/>
  <c r="W8" i="22"/>
  <c r="W9" i="22"/>
  <c r="W10" i="22"/>
  <c r="W11" i="22"/>
  <c r="W12" i="22"/>
  <c r="W13" i="22"/>
  <c r="V2" i="22"/>
  <c r="V3" i="22"/>
  <c r="V4" i="22"/>
  <c r="V5" i="22"/>
  <c r="V6" i="22"/>
  <c r="V7" i="22"/>
  <c r="V8" i="22"/>
  <c r="V9" i="22"/>
  <c r="V10" i="22"/>
  <c r="V11" i="22"/>
  <c r="V12" i="22"/>
  <c r="V13" i="22"/>
  <c r="T2" i="22"/>
  <c r="T3" i="22"/>
  <c r="T4" i="22"/>
  <c r="T5" i="22"/>
  <c r="T6" i="22"/>
  <c r="T7" i="22"/>
  <c r="T8" i="22"/>
  <c r="T9" i="22"/>
  <c r="T10" i="22"/>
  <c r="T11" i="22"/>
  <c r="T12" i="22"/>
  <c r="T13" i="22"/>
  <c r="S2" i="22"/>
  <c r="S3" i="22"/>
  <c r="S4" i="22"/>
  <c r="S5" i="22"/>
  <c r="S6" i="22"/>
  <c r="S7" i="22"/>
  <c r="S8" i="22"/>
  <c r="S9" i="22"/>
  <c r="S10" i="22"/>
  <c r="S11" i="22"/>
  <c r="S12" i="22"/>
  <c r="S13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H2" i="22"/>
  <c r="H3" i="22"/>
  <c r="H4" i="22"/>
  <c r="H5" i="22"/>
  <c r="H6" i="22"/>
  <c r="H7" i="22"/>
  <c r="H8" i="22"/>
  <c r="H9" i="22"/>
  <c r="H10" i="22"/>
  <c r="H11" i="22"/>
  <c r="H12" i="22"/>
  <c r="H13" i="22"/>
  <c r="G2" i="22"/>
  <c r="G3" i="22"/>
  <c r="G4" i="22"/>
  <c r="G5" i="22"/>
  <c r="G6" i="22"/>
  <c r="G7" i="22"/>
  <c r="G8" i="22"/>
  <c r="G9" i="22"/>
  <c r="G10" i="22"/>
  <c r="G11" i="22"/>
  <c r="G12" i="22"/>
  <c r="G13" i="22"/>
  <c r="E2" i="22"/>
  <c r="E3" i="22"/>
  <c r="E4" i="22"/>
  <c r="E5" i="22"/>
  <c r="E6" i="22"/>
  <c r="E7" i="22"/>
  <c r="E8" i="22"/>
  <c r="E9" i="22"/>
  <c r="E10" i="22"/>
  <c r="E11" i="22"/>
  <c r="E12" i="22"/>
  <c r="E13" i="22"/>
  <c r="D2" i="22"/>
  <c r="D3" i="22"/>
  <c r="D4" i="22"/>
  <c r="D5" i="22"/>
  <c r="D6" i="22"/>
  <c r="D7" i="22"/>
  <c r="D8" i="22"/>
  <c r="D9" i="22"/>
  <c r="D10" i="22"/>
  <c r="D11" i="22"/>
  <c r="D12" i="22"/>
  <c r="D13" i="22"/>
  <c r="D21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H2" i="21"/>
  <c r="H3" i="21"/>
  <c r="H4" i="21"/>
  <c r="H5" i="21"/>
  <c r="H6" i="21"/>
  <c r="H7" i="21"/>
  <c r="H8" i="21"/>
  <c r="H9" i="21"/>
  <c r="H10" i="21"/>
  <c r="H11" i="21"/>
  <c r="H12" i="21"/>
  <c r="H13" i="21"/>
  <c r="H14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E2" i="21"/>
  <c r="E3" i="21"/>
  <c r="E4" i="21"/>
  <c r="E5" i="21"/>
  <c r="E6" i="21"/>
  <c r="E7" i="21"/>
  <c r="E8" i="21"/>
  <c r="E9" i="21"/>
  <c r="E10" i="21"/>
  <c r="E11" i="21"/>
  <c r="E12" i="21"/>
  <c r="E13" i="21"/>
  <c r="E14" i="21"/>
  <c r="D2" i="21"/>
  <c r="D3" i="21"/>
  <c r="D4" i="21"/>
  <c r="D5" i="21"/>
  <c r="D6" i="21"/>
  <c r="D7" i="21"/>
  <c r="D8" i="21"/>
  <c r="D9" i="21"/>
  <c r="D10" i="21"/>
  <c r="D11" i="21"/>
  <c r="D12" i="21"/>
  <c r="D13" i="21"/>
  <c r="D14" i="21"/>
  <c r="AR2" i="12"/>
  <c r="AR3" i="12"/>
  <c r="AR4" i="12"/>
  <c r="AR5" i="12"/>
  <c r="AR6" i="12"/>
  <c r="AR7" i="12"/>
  <c r="AR8" i="12"/>
  <c r="AR9" i="12"/>
  <c r="AR10" i="12"/>
  <c r="AR11" i="12"/>
  <c r="AR12" i="12"/>
  <c r="AR13" i="12"/>
  <c r="AR14" i="12"/>
  <c r="AR15" i="12"/>
  <c r="AR16" i="12"/>
  <c r="AR17" i="12"/>
  <c r="AQ2" i="12"/>
  <c r="AQ3" i="12"/>
  <c r="AQ4" i="12"/>
  <c r="AQ5" i="12"/>
  <c r="AQ6" i="12"/>
  <c r="AQ7" i="12"/>
  <c r="AQ8" i="12"/>
  <c r="AQ9" i="12"/>
  <c r="AQ10" i="12"/>
  <c r="AQ11" i="12"/>
  <c r="AQ12" i="12"/>
  <c r="AQ13" i="12"/>
  <c r="AQ14" i="12"/>
  <c r="AQ15" i="12"/>
  <c r="AQ16" i="12"/>
  <c r="AQ17" i="12"/>
  <c r="AO2" i="12"/>
  <c r="AO3" i="12"/>
  <c r="AO4" i="12"/>
  <c r="AO5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G2" i="12"/>
  <c r="AG3" i="12"/>
  <c r="AG4" i="12"/>
  <c r="AG5" i="12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F2" i="12"/>
  <c r="AF3" i="12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D2" i="12"/>
  <c r="AD3" i="12"/>
  <c r="AD4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S2" i="12"/>
  <c r="S3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R2" i="12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P2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G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H29" i="37"/>
  <c r="H30" i="37"/>
  <c r="H31" i="37"/>
  <c r="H32" i="37"/>
  <c r="H33" i="37"/>
  <c r="H34" i="37"/>
  <c r="H35" i="37"/>
  <c r="H36" i="37"/>
  <c r="H37" i="37"/>
  <c r="H38" i="37"/>
  <c r="H39" i="37"/>
  <c r="H40" i="37"/>
  <c r="H41" i="37"/>
  <c r="H42" i="37"/>
  <c r="H43" i="37"/>
  <c r="H44" i="37"/>
  <c r="H45" i="37"/>
  <c r="H46" i="37"/>
  <c r="H47" i="37"/>
  <c r="H48" i="37"/>
  <c r="E29" i="37"/>
  <c r="E30" i="37"/>
  <c r="E31" i="37"/>
  <c r="E32" i="37"/>
  <c r="E33" i="37"/>
  <c r="E34" i="37"/>
  <c r="E35" i="37"/>
  <c r="E36" i="37"/>
  <c r="E37" i="37"/>
  <c r="E38" i="37"/>
  <c r="E39" i="37"/>
  <c r="E40" i="37"/>
  <c r="E41" i="37"/>
  <c r="E42" i="37"/>
  <c r="E43" i="37"/>
  <c r="E44" i="37"/>
  <c r="E45" i="37"/>
  <c r="E46" i="37"/>
  <c r="E47" i="37"/>
  <c r="E48" i="37"/>
  <c r="H3" i="37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E3" i="37"/>
  <c r="E4" i="37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G3" i="37"/>
  <c r="G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AN2" i="12"/>
  <c r="AN3" i="12"/>
  <c r="AN4" i="12"/>
  <c r="AN5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C2" i="12"/>
  <c r="AC3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O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P1" i="30" l="1"/>
  <c r="J29" i="37" l="1"/>
  <c r="J30" i="37"/>
  <c r="J31" i="37"/>
  <c r="J32" i="37"/>
  <c r="J33" i="37"/>
  <c r="J34" i="37"/>
  <c r="J35" i="37"/>
  <c r="J36" i="37"/>
  <c r="J37" i="37"/>
  <c r="J38" i="37"/>
  <c r="J39" i="37"/>
  <c r="J40" i="37"/>
  <c r="J41" i="37"/>
  <c r="J42" i="37"/>
  <c r="J43" i="37"/>
  <c r="J44" i="37"/>
  <c r="J45" i="37"/>
  <c r="J46" i="37"/>
  <c r="J47" i="37"/>
  <c r="J48" i="37"/>
  <c r="Q2" i="9"/>
  <c r="J49" i="37" l="1"/>
  <c r="B68" i="8" s="1"/>
  <c r="H5" i="40" l="1"/>
  <c r="H9" i="40"/>
  <c r="H8" i="40"/>
  <c r="H22" i="40"/>
  <c r="H15" i="40"/>
  <c r="H11" i="40"/>
  <c r="H4" i="40"/>
  <c r="H21" i="40" l="1"/>
  <c r="H10" i="40"/>
  <c r="H3" i="40"/>
  <c r="H18" i="40"/>
  <c r="H14" i="40"/>
  <c r="H7" i="40"/>
  <c r="H6" i="40"/>
  <c r="H12" i="40"/>
  <c r="H16" i="40"/>
  <c r="H19" i="40"/>
  <c r="H23" i="40"/>
  <c r="H2" i="40"/>
  <c r="H13" i="40"/>
  <c r="H17" i="40"/>
  <c r="H20" i="40"/>
  <c r="H24" i="40" l="1"/>
  <c r="B30" i="8" s="1"/>
  <c r="O37" i="38" l="1"/>
  <c r="O36" i="38"/>
  <c r="O35" i="38"/>
  <c r="O34" i="38"/>
  <c r="O33" i="38"/>
  <c r="O32" i="38"/>
  <c r="O31" i="38"/>
  <c r="O30" i="38"/>
  <c r="O29" i="38"/>
  <c r="O28" i="38"/>
  <c r="O27" i="38"/>
  <c r="O26" i="38"/>
  <c r="O13" i="38"/>
  <c r="O12" i="38"/>
  <c r="O11" i="38"/>
  <c r="O10" i="38"/>
  <c r="O9" i="38"/>
  <c r="O8" i="38"/>
  <c r="O7" i="38"/>
  <c r="O6" i="38"/>
  <c r="O5" i="38"/>
  <c r="O4" i="38"/>
  <c r="O3" i="38"/>
  <c r="O2" i="38"/>
  <c r="I4" i="38" l="1"/>
  <c r="I29" i="38"/>
  <c r="I35" i="38"/>
  <c r="I8" i="38"/>
  <c r="I33" i="38"/>
  <c r="I27" i="38"/>
  <c r="I36" i="38"/>
  <c r="I5" i="38"/>
  <c r="I9" i="38"/>
  <c r="I12" i="38"/>
  <c r="I28" i="38"/>
  <c r="I31" i="38"/>
  <c r="I2" i="38"/>
  <c r="I6" i="38"/>
  <c r="I10" i="38"/>
  <c r="I13" i="38"/>
  <c r="I3" i="38"/>
  <c r="I7" i="38"/>
  <c r="I11" i="38"/>
  <c r="I26" i="38"/>
  <c r="I30" i="38"/>
  <c r="I34" i="38"/>
  <c r="I37" i="38"/>
  <c r="I32" i="38"/>
  <c r="O38" i="38"/>
  <c r="B13" i="8" s="1"/>
  <c r="K26" i="38"/>
  <c r="K27" i="38"/>
  <c r="K28" i="38"/>
  <c r="K29" i="38"/>
  <c r="K30" i="38"/>
  <c r="K31" i="38"/>
  <c r="K32" i="38"/>
  <c r="K33" i="38"/>
  <c r="K34" i="38"/>
  <c r="K35" i="38"/>
  <c r="K36" i="38"/>
  <c r="K37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O14" i="38"/>
  <c r="B25" i="8" s="1"/>
  <c r="K2" i="38"/>
  <c r="K3" i="38"/>
  <c r="K4" i="38"/>
  <c r="K5" i="38"/>
  <c r="K6" i="38"/>
  <c r="K7" i="38"/>
  <c r="K8" i="38"/>
  <c r="K9" i="38"/>
  <c r="K10" i="38"/>
  <c r="K11" i="38"/>
  <c r="K12" i="38"/>
  <c r="K13" i="38"/>
  <c r="M2" i="38"/>
  <c r="M3" i="38"/>
  <c r="M4" i="38"/>
  <c r="M5" i="38"/>
  <c r="M6" i="38"/>
  <c r="M7" i="38"/>
  <c r="M8" i="38"/>
  <c r="M9" i="38"/>
  <c r="M10" i="38"/>
  <c r="M11" i="38"/>
  <c r="M12" i="38"/>
  <c r="M13" i="38"/>
  <c r="I38" i="38" l="1"/>
  <c r="M38" i="38"/>
  <c r="B12" i="8" s="1"/>
  <c r="I14" i="38"/>
  <c r="B22" i="8" s="1"/>
  <c r="K38" i="38"/>
  <c r="B11" i="8" s="1"/>
  <c r="M14" i="38"/>
  <c r="B24" i="8" s="1"/>
  <c r="K14" i="38"/>
  <c r="B23" i="8" s="1"/>
  <c r="B10" i="8" l="1"/>
  <c r="P2" i="30"/>
  <c r="P3" i="30"/>
  <c r="P4" i="30"/>
  <c r="P5" i="30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 l="1"/>
  <c r="T38" i="22" l="1"/>
  <c r="T39" i="22"/>
  <c r="T40" i="22"/>
  <c r="T41" i="22"/>
  <c r="T42" i="22"/>
  <c r="T43" i="22"/>
  <c r="T44" i="22"/>
  <c r="T45" i="22"/>
  <c r="T46" i="22"/>
  <c r="T47" i="22"/>
  <c r="T48" i="22"/>
  <c r="T37" i="22"/>
  <c r="S38" i="22"/>
  <c r="S39" i="22"/>
  <c r="S40" i="22"/>
  <c r="S41" i="22"/>
  <c r="S42" i="22"/>
  <c r="S43" i="22"/>
  <c r="S44" i="22"/>
  <c r="S45" i="22"/>
  <c r="S46" i="22"/>
  <c r="S47" i="22"/>
  <c r="S48" i="22"/>
  <c r="S37" i="22"/>
  <c r="G48" i="22" l="1"/>
  <c r="G47" i="22"/>
  <c r="G46" i="22"/>
  <c r="G45" i="22"/>
  <c r="H45" i="22" s="1"/>
  <c r="G44" i="22"/>
  <c r="G43" i="22"/>
  <c r="H43" i="22" s="1"/>
  <c r="G42" i="22"/>
  <c r="G41" i="22"/>
  <c r="H41" i="22" s="1"/>
  <c r="G40" i="22"/>
  <c r="G39" i="22"/>
  <c r="H39" i="22" s="1"/>
  <c r="G38" i="22"/>
  <c r="H38" i="22" s="1"/>
  <c r="G37" i="22"/>
  <c r="H37" i="22" s="1"/>
  <c r="J45" i="22" l="1"/>
  <c r="J38" i="22"/>
  <c r="J41" i="22"/>
  <c r="J37" i="22"/>
  <c r="J43" i="22"/>
  <c r="J39" i="22"/>
  <c r="H40" i="22"/>
  <c r="H42" i="22"/>
  <c r="H46" i="22"/>
  <c r="H47" i="22"/>
  <c r="H48" i="22"/>
  <c r="H44" i="22"/>
  <c r="J40" i="22" l="1"/>
  <c r="J44" i="22"/>
  <c r="J46" i="22"/>
  <c r="J48" i="22"/>
  <c r="J47" i="22"/>
  <c r="J42" i="22"/>
  <c r="J49" i="22" l="1"/>
  <c r="B65" i="8" s="1"/>
  <c r="T8" i="15" l="1"/>
  <c r="T8" i="20"/>
  <c r="AT7" i="12"/>
  <c r="J7" i="12"/>
  <c r="AI7" i="12"/>
  <c r="U7" i="12" l="1"/>
  <c r="W7" i="12"/>
  <c r="J5" i="37"/>
  <c r="H8" i="20"/>
  <c r="L8" i="20"/>
  <c r="R8" i="20"/>
  <c r="J8" i="20"/>
  <c r="N8" i="20"/>
  <c r="P8" i="20"/>
  <c r="H8" i="14"/>
  <c r="R8" i="14"/>
  <c r="J8" i="14"/>
  <c r="N8" i="14"/>
  <c r="L8" i="14"/>
  <c r="P8" i="14"/>
  <c r="L8" i="15"/>
  <c r="J8" i="15"/>
  <c r="N8" i="15"/>
  <c r="R8" i="15"/>
  <c r="P8" i="15"/>
  <c r="H8" i="15"/>
  <c r="Y25" i="22" l="1"/>
  <c r="W43" i="22"/>
  <c r="Y43" i="22" s="1"/>
  <c r="V43" i="22"/>
  <c r="J25" i="22"/>
  <c r="Y8" i="22"/>
  <c r="J11" i="22"/>
  <c r="W46" i="22"/>
  <c r="Y46" i="22" s="1"/>
  <c r="V46" i="22"/>
  <c r="J28" i="22"/>
  <c r="Y11" i="22"/>
  <c r="Y28" i="22"/>
  <c r="Y9" i="22"/>
  <c r="Y26" i="22"/>
  <c r="J9" i="22"/>
  <c r="V44" i="22"/>
  <c r="W44" i="22"/>
  <c r="Y44" i="22" s="1"/>
  <c r="J26" i="22"/>
  <c r="W45" i="22"/>
  <c r="Y45" i="22" s="1"/>
  <c r="V45" i="22"/>
  <c r="J27" i="22"/>
  <c r="Y10" i="22"/>
  <c r="Y27" i="22"/>
  <c r="J32" i="21"/>
  <c r="J13" i="21"/>
  <c r="J22" i="37" l="1"/>
  <c r="Q12" i="9"/>
  <c r="R13" i="10"/>
  <c r="T20" i="15"/>
  <c r="T20" i="20"/>
  <c r="T12" i="15"/>
  <c r="T12" i="20"/>
  <c r="R9" i="10"/>
  <c r="J22" i="21"/>
  <c r="J3" i="21"/>
  <c r="Q3" i="9"/>
  <c r="R3" i="10"/>
  <c r="Y13" i="22"/>
  <c r="AT17" i="12"/>
  <c r="Y30" i="22"/>
  <c r="J13" i="22"/>
  <c r="J17" i="12"/>
  <c r="AI17" i="12"/>
  <c r="V48" i="22"/>
  <c r="W48" i="22"/>
  <c r="Y48" i="22" s="1"/>
  <c r="J30" i="22"/>
  <c r="T16" i="20"/>
  <c r="T16" i="15"/>
  <c r="W38" i="22"/>
  <c r="Y38" i="22" s="1"/>
  <c r="V38" i="22"/>
  <c r="J20" i="22"/>
  <c r="Y3" i="22"/>
  <c r="Y20" i="22"/>
  <c r="T30" i="20"/>
  <c r="T29" i="15"/>
  <c r="T27" i="15"/>
  <c r="T25" i="20"/>
  <c r="T24" i="15"/>
  <c r="T22" i="20"/>
  <c r="T15" i="15"/>
  <c r="T15" i="20"/>
  <c r="AT11" i="12"/>
  <c r="AI11" i="12"/>
  <c r="J11" i="12"/>
  <c r="Q8" i="9"/>
  <c r="T2" i="15"/>
  <c r="T2" i="20"/>
  <c r="R6" i="10"/>
  <c r="Q6" i="9"/>
  <c r="L8" i="22"/>
  <c r="J8" i="22"/>
  <c r="N8" i="22"/>
  <c r="T28" i="15"/>
  <c r="T29" i="20"/>
  <c r="J14" i="21"/>
  <c r="J33" i="21"/>
  <c r="T26" i="20"/>
  <c r="T25" i="15"/>
  <c r="R12" i="10"/>
  <c r="W41" i="22"/>
  <c r="Y41" i="22" s="1"/>
  <c r="V41" i="22"/>
  <c r="J23" i="22"/>
  <c r="Y6" i="22"/>
  <c r="J31" i="21"/>
  <c r="J12" i="21"/>
  <c r="AT14" i="12"/>
  <c r="Y23" i="22"/>
  <c r="J14" i="12"/>
  <c r="Q11" i="9"/>
  <c r="AI14" i="12"/>
  <c r="T18" i="15"/>
  <c r="T18" i="20"/>
  <c r="T14" i="15"/>
  <c r="T14" i="20"/>
  <c r="T10" i="15"/>
  <c r="T10" i="20"/>
  <c r="AT10" i="12"/>
  <c r="J10" i="12"/>
  <c r="AI10" i="12"/>
  <c r="J28" i="21"/>
  <c r="J9" i="21"/>
  <c r="T7" i="15"/>
  <c r="T7" i="20"/>
  <c r="R8" i="10"/>
  <c r="J27" i="21"/>
  <c r="J8" i="21"/>
  <c r="AT6" i="12"/>
  <c r="J6" i="12"/>
  <c r="AI6" i="12"/>
  <c r="R5" i="10"/>
  <c r="Q5" i="9"/>
  <c r="J24" i="21"/>
  <c r="J5" i="21"/>
  <c r="AI4" i="12"/>
  <c r="AT4" i="12"/>
  <c r="J4" i="12"/>
  <c r="T28" i="20"/>
  <c r="T22" i="15"/>
  <c r="T23" i="20"/>
  <c r="Q9" i="9"/>
  <c r="R10" i="10"/>
  <c r="J10" i="21"/>
  <c r="AT12" i="12"/>
  <c r="AI12" i="12"/>
  <c r="J29" i="21"/>
  <c r="J12" i="12"/>
  <c r="AI8" i="12"/>
  <c r="J8" i="12"/>
  <c r="AT8" i="12"/>
  <c r="T3" i="15"/>
  <c r="T3" i="20"/>
  <c r="J10" i="22"/>
  <c r="N10" i="22"/>
  <c r="L10" i="22"/>
  <c r="Y29" i="22"/>
  <c r="J12" i="22"/>
  <c r="Q13" i="9"/>
  <c r="W47" i="22"/>
  <c r="Y47" i="22" s="1"/>
  <c r="V47" i="22"/>
  <c r="J29" i="22"/>
  <c r="R14" i="10"/>
  <c r="Y12" i="22"/>
  <c r="T26" i="15"/>
  <c r="T27" i="20"/>
  <c r="AT15" i="12"/>
  <c r="AI15" i="12"/>
  <c r="J15" i="12"/>
  <c r="T19" i="15"/>
  <c r="T19" i="20"/>
  <c r="T11" i="15"/>
  <c r="T11" i="20"/>
  <c r="W37" i="22"/>
  <c r="Y37" i="22" s="1"/>
  <c r="V37" i="22"/>
  <c r="J19" i="22"/>
  <c r="Y2" i="22"/>
  <c r="Y19" i="22"/>
  <c r="T5" i="15"/>
  <c r="W42" i="22"/>
  <c r="Y42" i="22" s="1"/>
  <c r="V42" i="22"/>
  <c r="J24" i="22"/>
  <c r="Y7" i="22"/>
  <c r="AI16" i="12"/>
  <c r="AT16" i="12"/>
  <c r="J16" i="12"/>
  <c r="Y24" i="22"/>
  <c r="T23" i="15"/>
  <c r="T24" i="20"/>
  <c r="T21" i="15"/>
  <c r="T21" i="20"/>
  <c r="T17" i="15"/>
  <c r="T17" i="20"/>
  <c r="T13" i="20"/>
  <c r="T13" i="15"/>
  <c r="T9" i="20"/>
  <c r="T9" i="15"/>
  <c r="Y5" i="22"/>
  <c r="J30" i="21"/>
  <c r="J11" i="21"/>
  <c r="AT13" i="12"/>
  <c r="Y22" i="22"/>
  <c r="Q10" i="9"/>
  <c r="R11" i="10"/>
  <c r="V40" i="22"/>
  <c r="J13" i="12"/>
  <c r="W40" i="22"/>
  <c r="Y40" i="22" s="1"/>
  <c r="J22" i="22"/>
  <c r="AI13" i="12"/>
  <c r="Y21" i="22"/>
  <c r="W39" i="22"/>
  <c r="Y39" i="22" s="1"/>
  <c r="V39" i="22"/>
  <c r="J21" i="22"/>
  <c r="Y4" i="22"/>
  <c r="AT9" i="12"/>
  <c r="J9" i="12"/>
  <c r="AI9" i="12"/>
  <c r="T6" i="15"/>
  <c r="T6" i="20"/>
  <c r="J26" i="21"/>
  <c r="J7" i="21"/>
  <c r="Q7" i="9"/>
  <c r="R7" i="10"/>
  <c r="T4" i="15"/>
  <c r="T4" i="20"/>
  <c r="AT5" i="12"/>
  <c r="J5" i="12"/>
  <c r="J25" i="21"/>
  <c r="AI5" i="12"/>
  <c r="J6" i="21"/>
  <c r="R4" i="10"/>
  <c r="Q4" i="9"/>
  <c r="J23" i="21"/>
  <c r="J4" i="21"/>
  <c r="AT3" i="12"/>
  <c r="J3" i="12"/>
  <c r="AI3" i="12"/>
  <c r="Q14" i="9" l="1"/>
  <c r="R5" i="20"/>
  <c r="T5" i="20"/>
  <c r="T31" i="20" s="1"/>
  <c r="B56" i="8" s="1"/>
  <c r="T30" i="15"/>
  <c r="B46" i="8" s="1"/>
  <c r="U9" i="12"/>
  <c r="W9" i="12"/>
  <c r="U3" i="12"/>
  <c r="W3" i="12"/>
  <c r="U5" i="12"/>
  <c r="W5" i="12"/>
  <c r="U12" i="12"/>
  <c r="W12" i="12"/>
  <c r="U4" i="12"/>
  <c r="W4" i="12"/>
  <c r="U13" i="12"/>
  <c r="W13" i="12"/>
  <c r="U8" i="12"/>
  <c r="W8" i="12"/>
  <c r="U6" i="12"/>
  <c r="W6" i="12"/>
  <c r="U10" i="12"/>
  <c r="W10" i="12"/>
  <c r="U11" i="12"/>
  <c r="W11" i="12"/>
  <c r="U15" i="12"/>
  <c r="W15" i="12"/>
  <c r="U16" i="12"/>
  <c r="W16" i="12"/>
  <c r="U14" i="12"/>
  <c r="W14" i="12"/>
  <c r="U17" i="12"/>
  <c r="W17" i="12"/>
  <c r="J20" i="37"/>
  <c r="J21" i="37"/>
  <c r="J19" i="37"/>
  <c r="J13" i="37"/>
  <c r="J11" i="37"/>
  <c r="J15" i="37"/>
  <c r="J17" i="37"/>
  <c r="J14" i="37"/>
  <c r="J16" i="37"/>
  <c r="J18" i="37"/>
  <c r="J12" i="37"/>
  <c r="J10" i="37"/>
  <c r="J9" i="37"/>
  <c r="J8" i="37"/>
  <c r="J7" i="37"/>
  <c r="J6" i="37"/>
  <c r="J4" i="37"/>
  <c r="J3" i="37"/>
  <c r="M4" i="10"/>
  <c r="O4" i="10"/>
  <c r="K4" i="10"/>
  <c r="I4" i="10"/>
  <c r="R4" i="15"/>
  <c r="H4" i="15"/>
  <c r="L4" i="15"/>
  <c r="P4" i="15"/>
  <c r="J4" i="15"/>
  <c r="N4" i="15"/>
  <c r="L6" i="30"/>
  <c r="J6" i="30"/>
  <c r="H6" i="30"/>
  <c r="J4" i="22"/>
  <c r="N4" i="22"/>
  <c r="L4" i="22"/>
  <c r="R17" i="20"/>
  <c r="N17" i="20"/>
  <c r="H17" i="20"/>
  <c r="L17" i="20"/>
  <c r="J17" i="20"/>
  <c r="P17" i="20"/>
  <c r="R24" i="20"/>
  <c r="L24" i="20"/>
  <c r="H24" i="20"/>
  <c r="J24" i="20"/>
  <c r="N24" i="20"/>
  <c r="P24" i="20"/>
  <c r="H13" i="9"/>
  <c r="N13" i="9"/>
  <c r="L13" i="9"/>
  <c r="J13" i="9"/>
  <c r="R23" i="20"/>
  <c r="P23" i="20"/>
  <c r="H23" i="20"/>
  <c r="N23" i="20"/>
  <c r="L23" i="20"/>
  <c r="J23" i="20"/>
  <c r="R7" i="20"/>
  <c r="J7" i="20"/>
  <c r="L7" i="20"/>
  <c r="H7" i="20"/>
  <c r="N7" i="20"/>
  <c r="P7" i="20"/>
  <c r="H25" i="15"/>
  <c r="N25" i="15"/>
  <c r="P25" i="15"/>
  <c r="L25" i="15"/>
  <c r="J25" i="15"/>
  <c r="R25" i="15"/>
  <c r="R2" i="20"/>
  <c r="N2" i="20"/>
  <c r="J2" i="20"/>
  <c r="L2" i="20"/>
  <c r="P2" i="20"/>
  <c r="H2" i="20"/>
  <c r="M9" i="32"/>
  <c r="I9" i="32"/>
  <c r="K9" i="32"/>
  <c r="O9" i="32"/>
  <c r="R30" i="20"/>
  <c r="P30" i="20"/>
  <c r="L30" i="20"/>
  <c r="J30" i="20"/>
  <c r="H30" i="20"/>
  <c r="N30" i="20"/>
  <c r="R4" i="14"/>
  <c r="L4" i="14"/>
  <c r="P4" i="14"/>
  <c r="J4" i="14"/>
  <c r="H4" i="14"/>
  <c r="N4" i="14"/>
  <c r="R6" i="20"/>
  <c r="L6" i="20"/>
  <c r="P6" i="20"/>
  <c r="J6" i="20"/>
  <c r="H6" i="20"/>
  <c r="N6" i="20"/>
  <c r="O11" i="32"/>
  <c r="I11" i="32"/>
  <c r="K11" i="32"/>
  <c r="M11" i="32"/>
  <c r="R9" i="20"/>
  <c r="L9" i="20"/>
  <c r="H9" i="20"/>
  <c r="N9" i="20"/>
  <c r="P9" i="20"/>
  <c r="J9" i="20"/>
  <c r="L8" i="29"/>
  <c r="H8" i="29"/>
  <c r="J8" i="29"/>
  <c r="H12" i="28"/>
  <c r="J12" i="28"/>
  <c r="L12" i="28"/>
  <c r="L12" i="30"/>
  <c r="J12" i="30"/>
  <c r="H12" i="30"/>
  <c r="R17" i="14"/>
  <c r="J17" i="14"/>
  <c r="P17" i="14"/>
  <c r="L17" i="14"/>
  <c r="N17" i="14"/>
  <c r="H17" i="14"/>
  <c r="L20" i="28"/>
  <c r="H20" i="28"/>
  <c r="J20" i="28"/>
  <c r="R21" i="14"/>
  <c r="P21" i="14"/>
  <c r="H21" i="14"/>
  <c r="J21" i="14"/>
  <c r="L21" i="14"/>
  <c r="N21" i="14"/>
  <c r="H23" i="28"/>
  <c r="L23" i="28"/>
  <c r="J23" i="28"/>
  <c r="N23" i="15"/>
  <c r="P23" i="15"/>
  <c r="H23" i="15"/>
  <c r="L23" i="15"/>
  <c r="J23" i="15"/>
  <c r="R23" i="15"/>
  <c r="J7" i="22"/>
  <c r="L7" i="22"/>
  <c r="N7" i="22"/>
  <c r="R28" i="14"/>
  <c r="L28" i="14"/>
  <c r="N28" i="14"/>
  <c r="H28" i="14"/>
  <c r="J28" i="14"/>
  <c r="P28" i="14"/>
  <c r="Y31" i="22"/>
  <c r="B63" i="8" s="1"/>
  <c r="J31" i="22"/>
  <c r="B66" i="8" s="1"/>
  <c r="R11" i="20"/>
  <c r="J11" i="20"/>
  <c r="P11" i="20"/>
  <c r="L11" i="20"/>
  <c r="H11" i="20"/>
  <c r="N11" i="20"/>
  <c r="J10" i="30"/>
  <c r="H10" i="30"/>
  <c r="L10" i="30"/>
  <c r="H18" i="28"/>
  <c r="L18" i="28"/>
  <c r="J18" i="28"/>
  <c r="R19" i="20"/>
  <c r="H19" i="20"/>
  <c r="J19" i="20"/>
  <c r="N19" i="20"/>
  <c r="P19" i="20"/>
  <c r="L19" i="20"/>
  <c r="J18" i="30"/>
  <c r="H18" i="30"/>
  <c r="L18" i="30"/>
  <c r="H26" i="29"/>
  <c r="L26" i="29"/>
  <c r="J26" i="29"/>
  <c r="R27" i="20"/>
  <c r="J27" i="20"/>
  <c r="N27" i="20"/>
  <c r="H27" i="20"/>
  <c r="P27" i="20"/>
  <c r="L27" i="20"/>
  <c r="R26" i="15"/>
  <c r="P26" i="15"/>
  <c r="J26" i="15"/>
  <c r="N26" i="15"/>
  <c r="H26" i="15"/>
  <c r="L26" i="15"/>
  <c r="I14" i="10"/>
  <c r="M14" i="10"/>
  <c r="O14" i="10"/>
  <c r="K14" i="10"/>
  <c r="L3" i="30"/>
  <c r="J3" i="30"/>
  <c r="H3" i="30"/>
  <c r="R3" i="14"/>
  <c r="L3" i="14"/>
  <c r="H3" i="14"/>
  <c r="J3" i="14"/>
  <c r="P3" i="14"/>
  <c r="N3" i="14"/>
  <c r="I10" i="32"/>
  <c r="K10" i="32"/>
  <c r="M10" i="32"/>
  <c r="O10" i="32"/>
  <c r="N9" i="9"/>
  <c r="H9" i="9"/>
  <c r="J9" i="9"/>
  <c r="L9" i="9"/>
  <c r="J22" i="28"/>
  <c r="H22" i="28"/>
  <c r="L22" i="28"/>
  <c r="R28" i="20"/>
  <c r="P28" i="20"/>
  <c r="N28" i="20"/>
  <c r="H28" i="20"/>
  <c r="J28" i="20"/>
  <c r="L28" i="20"/>
  <c r="H7" i="28"/>
  <c r="J7" i="28"/>
  <c r="L7" i="28"/>
  <c r="P7" i="15"/>
  <c r="J7" i="15"/>
  <c r="L7" i="15"/>
  <c r="N7" i="15"/>
  <c r="H7" i="15"/>
  <c r="R7" i="15"/>
  <c r="R10" i="14"/>
  <c r="P10" i="14"/>
  <c r="N10" i="14"/>
  <c r="L10" i="14"/>
  <c r="J10" i="14"/>
  <c r="H10" i="14"/>
  <c r="L13" i="30"/>
  <c r="J13" i="30"/>
  <c r="H13" i="30"/>
  <c r="R14" i="20"/>
  <c r="P14" i="20"/>
  <c r="J14" i="20"/>
  <c r="H14" i="20"/>
  <c r="L14" i="20"/>
  <c r="N14" i="20"/>
  <c r="R14" i="15"/>
  <c r="L14" i="15"/>
  <c r="J14" i="15"/>
  <c r="N14" i="15"/>
  <c r="P14" i="15"/>
  <c r="H14" i="15"/>
  <c r="J17" i="30"/>
  <c r="L17" i="30"/>
  <c r="H17" i="30"/>
  <c r="L18" i="15"/>
  <c r="R18" i="15"/>
  <c r="J18" i="15"/>
  <c r="P18" i="15"/>
  <c r="H18" i="15"/>
  <c r="N18" i="15"/>
  <c r="I12" i="32"/>
  <c r="O12" i="32"/>
  <c r="M12" i="32"/>
  <c r="K12" i="32"/>
  <c r="R26" i="14"/>
  <c r="N26" i="14"/>
  <c r="L26" i="14"/>
  <c r="H26" i="14"/>
  <c r="P26" i="14"/>
  <c r="J26" i="14"/>
  <c r="J28" i="28"/>
  <c r="H28" i="28"/>
  <c r="L28" i="28"/>
  <c r="L28" i="15"/>
  <c r="J28" i="15"/>
  <c r="R28" i="15"/>
  <c r="P28" i="15"/>
  <c r="N28" i="15"/>
  <c r="H28" i="15"/>
  <c r="L6" i="9"/>
  <c r="H6" i="9"/>
  <c r="N6" i="9"/>
  <c r="J6" i="9"/>
  <c r="H2" i="30"/>
  <c r="L2" i="30"/>
  <c r="J2" i="30"/>
  <c r="R2" i="14"/>
  <c r="J2" i="14"/>
  <c r="L2" i="14"/>
  <c r="N2" i="14"/>
  <c r="H2" i="14"/>
  <c r="P2" i="14"/>
  <c r="L8" i="9"/>
  <c r="J8" i="9"/>
  <c r="H8" i="9"/>
  <c r="N8" i="9"/>
  <c r="L15" i="15"/>
  <c r="R15" i="15"/>
  <c r="N15" i="15"/>
  <c r="P15" i="15"/>
  <c r="H15" i="15"/>
  <c r="J15" i="15"/>
  <c r="R15" i="14"/>
  <c r="N15" i="14"/>
  <c r="P15" i="14"/>
  <c r="J15" i="14"/>
  <c r="L15" i="14"/>
  <c r="H15" i="14"/>
  <c r="L21" i="28"/>
  <c r="J21" i="28"/>
  <c r="H21" i="28"/>
  <c r="R25" i="14"/>
  <c r="H25" i="14"/>
  <c r="N25" i="14"/>
  <c r="J25" i="14"/>
  <c r="P25" i="14"/>
  <c r="L25" i="14"/>
  <c r="R25" i="20"/>
  <c r="P25" i="20"/>
  <c r="L25" i="20"/>
  <c r="J25" i="20"/>
  <c r="H25" i="20"/>
  <c r="N25" i="20"/>
  <c r="P29" i="15"/>
  <c r="J29" i="15"/>
  <c r="R29" i="15"/>
  <c r="N29" i="15"/>
  <c r="H29" i="15"/>
  <c r="L29" i="15"/>
  <c r="J16" i="15"/>
  <c r="R16" i="15"/>
  <c r="P16" i="15"/>
  <c r="H16" i="15"/>
  <c r="L16" i="15"/>
  <c r="N16" i="15"/>
  <c r="H15" i="30"/>
  <c r="L15" i="30"/>
  <c r="J15" i="30"/>
  <c r="K9" i="10"/>
  <c r="O9" i="10"/>
  <c r="M9" i="10"/>
  <c r="I9" i="10"/>
  <c r="R12" i="20"/>
  <c r="H12" i="20"/>
  <c r="N12" i="20"/>
  <c r="L12" i="20"/>
  <c r="J12" i="20"/>
  <c r="P12" i="20"/>
  <c r="H11" i="28"/>
  <c r="J11" i="28"/>
  <c r="L11" i="28"/>
  <c r="R12" i="14"/>
  <c r="H12" i="14"/>
  <c r="N12" i="14"/>
  <c r="L12" i="14"/>
  <c r="P12" i="14"/>
  <c r="J12" i="14"/>
  <c r="R20" i="20"/>
  <c r="H20" i="20"/>
  <c r="P20" i="20"/>
  <c r="L20" i="20"/>
  <c r="J20" i="20"/>
  <c r="N20" i="20"/>
  <c r="J19" i="28"/>
  <c r="L19" i="28"/>
  <c r="H19" i="28"/>
  <c r="R20" i="14"/>
  <c r="N20" i="14"/>
  <c r="P20" i="14"/>
  <c r="L20" i="14"/>
  <c r="J20" i="14"/>
  <c r="H20" i="14"/>
  <c r="H12" i="9"/>
  <c r="N12" i="9"/>
  <c r="J12" i="9"/>
  <c r="L12" i="9"/>
  <c r="H29" i="30"/>
  <c r="L29" i="30"/>
  <c r="J29" i="30"/>
  <c r="I7" i="10"/>
  <c r="O7" i="10"/>
  <c r="K7" i="10"/>
  <c r="M7" i="10"/>
  <c r="N21" i="15"/>
  <c r="P21" i="15"/>
  <c r="L21" i="15"/>
  <c r="R21" i="15"/>
  <c r="J21" i="15"/>
  <c r="H21" i="15"/>
  <c r="P22" i="15"/>
  <c r="H22" i="15"/>
  <c r="N22" i="15"/>
  <c r="J22" i="15"/>
  <c r="R22" i="15"/>
  <c r="L22" i="15"/>
  <c r="L13" i="28"/>
  <c r="J13" i="28"/>
  <c r="H13" i="28"/>
  <c r="J11" i="9"/>
  <c r="H11" i="9"/>
  <c r="N11" i="9"/>
  <c r="L11" i="9"/>
  <c r="J28" i="30"/>
  <c r="L28" i="30"/>
  <c r="H28" i="30"/>
  <c r="J27" i="28"/>
  <c r="L27" i="28"/>
  <c r="H27" i="28"/>
  <c r="J4" i="9"/>
  <c r="L4" i="9"/>
  <c r="N4" i="9"/>
  <c r="H4" i="9"/>
  <c r="H4" i="28"/>
  <c r="L4" i="28"/>
  <c r="J4" i="28"/>
  <c r="K7" i="32"/>
  <c r="I7" i="32"/>
  <c r="O7" i="32"/>
  <c r="M7" i="32"/>
  <c r="J6" i="28"/>
  <c r="L6" i="28"/>
  <c r="H6" i="28"/>
  <c r="P6" i="15"/>
  <c r="N6" i="15"/>
  <c r="R6" i="15"/>
  <c r="L6" i="15"/>
  <c r="H6" i="15"/>
  <c r="J6" i="15"/>
  <c r="I11" i="10"/>
  <c r="M11" i="10"/>
  <c r="O11" i="10"/>
  <c r="K11" i="10"/>
  <c r="N5" i="22"/>
  <c r="L5" i="22"/>
  <c r="J5" i="22"/>
  <c r="H8" i="30"/>
  <c r="L8" i="30"/>
  <c r="J8" i="30"/>
  <c r="H9" i="15"/>
  <c r="N9" i="15"/>
  <c r="R9" i="15"/>
  <c r="P9" i="15"/>
  <c r="J9" i="15"/>
  <c r="L9" i="15"/>
  <c r="J13" i="15"/>
  <c r="H13" i="15"/>
  <c r="R13" i="15"/>
  <c r="P13" i="15"/>
  <c r="N13" i="15"/>
  <c r="L13" i="15"/>
  <c r="R13" i="14"/>
  <c r="L13" i="14"/>
  <c r="J13" i="14"/>
  <c r="N13" i="14"/>
  <c r="P13" i="14"/>
  <c r="H13" i="14"/>
  <c r="J17" i="15"/>
  <c r="P17" i="15"/>
  <c r="L17" i="15"/>
  <c r="N17" i="15"/>
  <c r="R17" i="15"/>
  <c r="H17" i="15"/>
  <c r="L23" i="29"/>
  <c r="H23" i="29"/>
  <c r="J23" i="29"/>
  <c r="N2" i="22"/>
  <c r="L2" i="22"/>
  <c r="J2" i="22"/>
  <c r="H10" i="29"/>
  <c r="J10" i="29"/>
  <c r="L10" i="29"/>
  <c r="L18" i="29"/>
  <c r="H18" i="29"/>
  <c r="J18" i="29"/>
  <c r="H3" i="29"/>
  <c r="J3" i="29"/>
  <c r="L3" i="29"/>
  <c r="K10" i="10"/>
  <c r="M10" i="10"/>
  <c r="I10" i="10"/>
  <c r="O10" i="10"/>
  <c r="L22" i="30"/>
  <c r="H22" i="30"/>
  <c r="J22" i="30"/>
  <c r="R23" i="14"/>
  <c r="P23" i="14"/>
  <c r="N23" i="14"/>
  <c r="H23" i="14"/>
  <c r="J23" i="14"/>
  <c r="L23" i="14"/>
  <c r="H5" i="9"/>
  <c r="N5" i="9"/>
  <c r="L5" i="9"/>
  <c r="J5" i="9"/>
  <c r="K8" i="32"/>
  <c r="O8" i="32"/>
  <c r="M8" i="32"/>
  <c r="I8" i="32"/>
  <c r="L7" i="29"/>
  <c r="J7" i="29"/>
  <c r="H7" i="29"/>
  <c r="N10" i="15"/>
  <c r="J10" i="15"/>
  <c r="L10" i="15"/>
  <c r="P10" i="15"/>
  <c r="H10" i="15"/>
  <c r="R10" i="15"/>
  <c r="R14" i="14"/>
  <c r="N14" i="14"/>
  <c r="J14" i="14"/>
  <c r="P14" i="14"/>
  <c r="L14" i="14"/>
  <c r="H14" i="14"/>
  <c r="R18" i="14"/>
  <c r="L18" i="14"/>
  <c r="N18" i="14"/>
  <c r="H18" i="14"/>
  <c r="P18" i="14"/>
  <c r="J18" i="14"/>
  <c r="J6" i="22"/>
  <c r="L6" i="22"/>
  <c r="N6" i="22"/>
  <c r="I12" i="10"/>
  <c r="O12" i="10"/>
  <c r="K12" i="10"/>
  <c r="M12" i="10"/>
  <c r="H25" i="29"/>
  <c r="L25" i="29"/>
  <c r="J25" i="29"/>
  <c r="R29" i="20"/>
  <c r="P29" i="20"/>
  <c r="H29" i="20"/>
  <c r="J29" i="20"/>
  <c r="L29" i="20"/>
  <c r="N29" i="20"/>
  <c r="R29" i="14"/>
  <c r="L29" i="14"/>
  <c r="J29" i="14"/>
  <c r="P29" i="14"/>
  <c r="H29" i="14"/>
  <c r="N29" i="14"/>
  <c r="I6" i="32"/>
  <c r="K6" i="32"/>
  <c r="M6" i="32"/>
  <c r="O6" i="32"/>
  <c r="L14" i="29"/>
  <c r="H14" i="29"/>
  <c r="J14" i="29"/>
  <c r="J21" i="30"/>
  <c r="H21" i="30"/>
  <c r="L21" i="30"/>
  <c r="H24" i="29"/>
  <c r="L24" i="29"/>
  <c r="J24" i="29"/>
  <c r="J27" i="15"/>
  <c r="H27" i="15"/>
  <c r="L27" i="15"/>
  <c r="R27" i="15"/>
  <c r="N27" i="15"/>
  <c r="P27" i="15"/>
  <c r="L29" i="29"/>
  <c r="H29" i="29"/>
  <c r="J29" i="29"/>
  <c r="R16" i="20"/>
  <c r="L16" i="20"/>
  <c r="N16" i="20"/>
  <c r="J16" i="20"/>
  <c r="P16" i="20"/>
  <c r="H16" i="20"/>
  <c r="H3" i="9"/>
  <c r="J3" i="9"/>
  <c r="N3" i="9"/>
  <c r="L3" i="9"/>
  <c r="R12" i="15"/>
  <c r="P12" i="15"/>
  <c r="N12" i="15"/>
  <c r="J12" i="15"/>
  <c r="L12" i="15"/>
  <c r="H12" i="15"/>
  <c r="H19" i="29"/>
  <c r="L19" i="29"/>
  <c r="J19" i="29"/>
  <c r="L20" i="15"/>
  <c r="P20" i="15"/>
  <c r="N20" i="15"/>
  <c r="R20" i="15"/>
  <c r="J20" i="15"/>
  <c r="H20" i="15"/>
  <c r="R30" i="14"/>
  <c r="J30" i="14"/>
  <c r="P30" i="14"/>
  <c r="N30" i="14"/>
  <c r="H30" i="14"/>
  <c r="L30" i="14"/>
  <c r="H6" i="29"/>
  <c r="L6" i="29"/>
  <c r="J6" i="29"/>
  <c r="R6" i="14"/>
  <c r="H6" i="14"/>
  <c r="J6" i="14"/>
  <c r="P6" i="14"/>
  <c r="N6" i="14"/>
  <c r="L6" i="14"/>
  <c r="L12" i="29"/>
  <c r="J12" i="29"/>
  <c r="H12" i="29"/>
  <c r="L20" i="30"/>
  <c r="J20" i="30"/>
  <c r="H20" i="30"/>
  <c r="R3" i="20"/>
  <c r="J3" i="20"/>
  <c r="L3" i="20"/>
  <c r="H3" i="20"/>
  <c r="N3" i="20"/>
  <c r="P3" i="20"/>
  <c r="H27" i="29"/>
  <c r="J27" i="29"/>
  <c r="L27" i="29"/>
  <c r="K5" i="10"/>
  <c r="M5" i="10"/>
  <c r="O5" i="10"/>
  <c r="I5" i="10"/>
  <c r="L9" i="30"/>
  <c r="H9" i="30"/>
  <c r="J9" i="30"/>
  <c r="L9" i="29"/>
  <c r="H9" i="29"/>
  <c r="J9" i="29"/>
  <c r="H28" i="29"/>
  <c r="L28" i="29"/>
  <c r="J28" i="29"/>
  <c r="J14" i="28"/>
  <c r="L14" i="28"/>
  <c r="H14" i="28"/>
  <c r="R22" i="20"/>
  <c r="N22" i="20"/>
  <c r="H22" i="20"/>
  <c r="P22" i="20"/>
  <c r="J22" i="20"/>
  <c r="L22" i="20"/>
  <c r="R24" i="15"/>
  <c r="H24" i="15"/>
  <c r="L24" i="15"/>
  <c r="J24" i="15"/>
  <c r="P24" i="15"/>
  <c r="N24" i="15"/>
  <c r="H29" i="28"/>
  <c r="J29" i="28"/>
  <c r="L29" i="28"/>
  <c r="N3" i="22"/>
  <c r="J3" i="22"/>
  <c r="L3" i="22"/>
  <c r="M3" i="32"/>
  <c r="I3" i="32"/>
  <c r="K3" i="32"/>
  <c r="O3" i="32"/>
  <c r="K13" i="10"/>
  <c r="M13" i="10"/>
  <c r="I13" i="10"/>
  <c r="O13" i="10"/>
  <c r="O4" i="32"/>
  <c r="M4" i="32"/>
  <c r="I4" i="32"/>
  <c r="K4" i="32"/>
  <c r="R4" i="20"/>
  <c r="J4" i="20"/>
  <c r="L4" i="20"/>
  <c r="H4" i="20"/>
  <c r="P4" i="20"/>
  <c r="N4" i="20"/>
  <c r="J4" i="30"/>
  <c r="L4" i="30"/>
  <c r="H4" i="30"/>
  <c r="H4" i="29"/>
  <c r="J4" i="29"/>
  <c r="L4" i="29"/>
  <c r="N7" i="9"/>
  <c r="L7" i="9"/>
  <c r="H7" i="9"/>
  <c r="J7" i="9"/>
  <c r="H10" i="9"/>
  <c r="J10" i="9"/>
  <c r="N10" i="9"/>
  <c r="L10" i="9"/>
  <c r="R9" i="14"/>
  <c r="H9" i="14"/>
  <c r="J9" i="14"/>
  <c r="P9" i="14"/>
  <c r="N9" i="14"/>
  <c r="L9" i="14"/>
  <c r="J8" i="28"/>
  <c r="H8" i="28"/>
  <c r="L8" i="28"/>
  <c r="R13" i="20"/>
  <c r="N13" i="20"/>
  <c r="L13" i="20"/>
  <c r="J13" i="20"/>
  <c r="P13" i="20"/>
  <c r="H13" i="20"/>
  <c r="J16" i="30"/>
  <c r="L16" i="30"/>
  <c r="H16" i="30"/>
  <c r="L16" i="28"/>
  <c r="H16" i="28"/>
  <c r="J16" i="28"/>
  <c r="J16" i="29"/>
  <c r="H16" i="29"/>
  <c r="L16" i="29"/>
  <c r="R21" i="20"/>
  <c r="L21" i="20"/>
  <c r="N21" i="20"/>
  <c r="J21" i="20"/>
  <c r="H21" i="20"/>
  <c r="P21" i="20"/>
  <c r="L20" i="29"/>
  <c r="H20" i="29"/>
  <c r="J20" i="29"/>
  <c r="L23" i="30"/>
  <c r="H23" i="30"/>
  <c r="J23" i="30"/>
  <c r="R24" i="14"/>
  <c r="H24" i="14"/>
  <c r="N24" i="14"/>
  <c r="P24" i="14"/>
  <c r="J24" i="14"/>
  <c r="L24" i="14"/>
  <c r="L27" i="30"/>
  <c r="J27" i="30"/>
  <c r="H27" i="30"/>
  <c r="Y14" i="22"/>
  <c r="B64" i="8" s="1"/>
  <c r="Y49" i="22"/>
  <c r="B62" i="8" s="1"/>
  <c r="J10" i="28"/>
  <c r="H10" i="28"/>
  <c r="L10" i="28"/>
  <c r="H11" i="15"/>
  <c r="R11" i="15"/>
  <c r="N11" i="15"/>
  <c r="L11" i="15"/>
  <c r="P11" i="15"/>
  <c r="J11" i="15"/>
  <c r="R11" i="14"/>
  <c r="H11" i="14"/>
  <c r="P11" i="14"/>
  <c r="N11" i="14"/>
  <c r="J11" i="14"/>
  <c r="L11" i="14"/>
  <c r="L19" i="15"/>
  <c r="R19" i="15"/>
  <c r="J19" i="15"/>
  <c r="H19" i="15"/>
  <c r="N19" i="15"/>
  <c r="P19" i="15"/>
  <c r="R19" i="14"/>
  <c r="H19" i="14"/>
  <c r="J19" i="14"/>
  <c r="L19" i="14"/>
  <c r="N19" i="14"/>
  <c r="P19" i="14"/>
  <c r="H26" i="28"/>
  <c r="J26" i="28"/>
  <c r="L26" i="28"/>
  <c r="H26" i="30"/>
  <c r="L26" i="30"/>
  <c r="J26" i="30"/>
  <c r="R27" i="14"/>
  <c r="P27" i="14"/>
  <c r="H27" i="14"/>
  <c r="N27" i="14"/>
  <c r="L27" i="14"/>
  <c r="J27" i="14"/>
  <c r="M14" i="32"/>
  <c r="K14" i="32"/>
  <c r="O14" i="32"/>
  <c r="I14" i="32"/>
  <c r="L3" i="28"/>
  <c r="H3" i="28"/>
  <c r="J3" i="28"/>
  <c r="L3" i="15"/>
  <c r="J3" i="15"/>
  <c r="R3" i="15"/>
  <c r="N3" i="15"/>
  <c r="P3" i="15"/>
  <c r="H3" i="15"/>
  <c r="J22" i="29"/>
  <c r="L22" i="29"/>
  <c r="H22" i="29"/>
  <c r="I5" i="32"/>
  <c r="O5" i="32"/>
  <c r="M5" i="32"/>
  <c r="K5" i="32"/>
  <c r="O8" i="10"/>
  <c r="K8" i="10"/>
  <c r="M8" i="10"/>
  <c r="I8" i="10"/>
  <c r="J7" i="30"/>
  <c r="L7" i="30"/>
  <c r="H7" i="30"/>
  <c r="R7" i="14"/>
  <c r="L7" i="14"/>
  <c r="P7" i="14"/>
  <c r="N7" i="14"/>
  <c r="J7" i="14"/>
  <c r="H7" i="14"/>
  <c r="L9" i="28"/>
  <c r="J9" i="28"/>
  <c r="H9" i="28"/>
  <c r="R10" i="20"/>
  <c r="J10" i="20"/>
  <c r="P10" i="20"/>
  <c r="N10" i="20"/>
  <c r="L10" i="20"/>
  <c r="H10" i="20"/>
  <c r="H13" i="29"/>
  <c r="J13" i="29"/>
  <c r="L13" i="29"/>
  <c r="R18" i="20"/>
  <c r="H18" i="20"/>
  <c r="P18" i="20"/>
  <c r="N18" i="20"/>
  <c r="J18" i="20"/>
  <c r="L18" i="20"/>
  <c r="J17" i="28"/>
  <c r="H17" i="28"/>
  <c r="L17" i="28"/>
  <c r="J17" i="29"/>
  <c r="L17" i="29"/>
  <c r="H17" i="29"/>
  <c r="H25" i="28"/>
  <c r="L25" i="28"/>
  <c r="J25" i="28"/>
  <c r="R26" i="20"/>
  <c r="P26" i="20"/>
  <c r="H26" i="20"/>
  <c r="J26" i="20"/>
  <c r="L26" i="20"/>
  <c r="N26" i="20"/>
  <c r="H25" i="30"/>
  <c r="L25" i="30"/>
  <c r="J25" i="30"/>
  <c r="O6" i="10"/>
  <c r="M6" i="10"/>
  <c r="K6" i="10"/>
  <c r="I6" i="10"/>
  <c r="L2" i="29"/>
  <c r="H2" i="29"/>
  <c r="J2" i="29"/>
  <c r="H2" i="28"/>
  <c r="L2" i="28"/>
  <c r="J2" i="28"/>
  <c r="H2" i="15"/>
  <c r="R2" i="15"/>
  <c r="J2" i="15"/>
  <c r="L2" i="15"/>
  <c r="P2" i="15"/>
  <c r="N2" i="15"/>
  <c r="R15" i="20"/>
  <c r="L15" i="20"/>
  <c r="J15" i="20"/>
  <c r="N15" i="20"/>
  <c r="H15" i="20"/>
  <c r="P15" i="20"/>
  <c r="J14" i="30"/>
  <c r="L14" i="30"/>
  <c r="H14" i="30"/>
  <c r="R22" i="14"/>
  <c r="H22" i="14"/>
  <c r="P22" i="14"/>
  <c r="J22" i="14"/>
  <c r="N22" i="14"/>
  <c r="L22" i="14"/>
  <c r="L21" i="29"/>
  <c r="J21" i="29"/>
  <c r="H21" i="29"/>
  <c r="L24" i="30"/>
  <c r="J24" i="30"/>
  <c r="H24" i="30"/>
  <c r="J24" i="28"/>
  <c r="H24" i="28"/>
  <c r="L24" i="28"/>
  <c r="J15" i="29"/>
  <c r="H15" i="29"/>
  <c r="L15" i="29"/>
  <c r="H15" i="28"/>
  <c r="L15" i="28"/>
  <c r="J15" i="28"/>
  <c r="R16" i="14"/>
  <c r="L16" i="14"/>
  <c r="H16" i="14"/>
  <c r="N16" i="14"/>
  <c r="J16" i="14"/>
  <c r="P16" i="14"/>
  <c r="O3" i="10"/>
  <c r="M3" i="10"/>
  <c r="K3" i="10"/>
  <c r="I3" i="10"/>
  <c r="H11" i="29"/>
  <c r="J11" i="29"/>
  <c r="L11" i="29"/>
  <c r="H11" i="30"/>
  <c r="L11" i="30"/>
  <c r="J11" i="30"/>
  <c r="L19" i="30"/>
  <c r="H19" i="30"/>
  <c r="J19" i="30"/>
  <c r="K13" i="32"/>
  <c r="M13" i="32"/>
  <c r="I13" i="32"/>
  <c r="O13" i="32"/>
  <c r="N5" i="15"/>
  <c r="R5" i="15"/>
  <c r="P5" i="15"/>
  <c r="H5" i="15"/>
  <c r="L5" i="15"/>
  <c r="J5" i="15"/>
  <c r="N5" i="20"/>
  <c r="P5" i="20"/>
  <c r="H5" i="20"/>
  <c r="J5" i="20"/>
  <c r="L5" i="20"/>
  <c r="R5" i="14"/>
  <c r="L5" i="14"/>
  <c r="N5" i="14"/>
  <c r="H5" i="14"/>
  <c r="J5" i="14"/>
  <c r="P5" i="14"/>
  <c r="L5" i="29"/>
  <c r="H5" i="29"/>
  <c r="J5" i="29"/>
  <c r="L5" i="28"/>
  <c r="J5" i="28"/>
  <c r="H5" i="28"/>
  <c r="J5" i="30"/>
  <c r="L5" i="30"/>
  <c r="H5" i="30"/>
  <c r="J23" i="37" l="1"/>
  <c r="J30" i="29"/>
  <c r="B53" i="8" s="1"/>
  <c r="J31" i="14"/>
  <c r="B39" i="8" s="1"/>
  <c r="R31" i="14"/>
  <c r="B37" i="8" s="1"/>
  <c r="P31" i="20"/>
  <c r="B50" i="8" s="1"/>
  <c r="H30" i="15"/>
  <c r="B41" i="8" s="1"/>
  <c r="J30" i="30"/>
  <c r="B34" i="8" s="1"/>
  <c r="R31" i="20"/>
  <c r="B57" i="8" s="1"/>
  <c r="N14" i="22"/>
  <c r="H31" i="14"/>
  <c r="B32" i="8" s="1"/>
  <c r="L31" i="20"/>
  <c r="B58" i="8" s="1"/>
  <c r="N31" i="20"/>
  <c r="B52" i="8" s="1"/>
  <c r="P30" i="15"/>
  <c r="B40" i="8" s="1"/>
  <c r="H30" i="28"/>
  <c r="B44" i="8" s="1"/>
  <c r="H30" i="30"/>
  <c r="B35" i="8" s="1"/>
  <c r="J30" i="28"/>
  <c r="B43" i="8" s="1"/>
  <c r="L30" i="29"/>
  <c r="B55" i="8" s="1"/>
  <c r="N31" i="14"/>
  <c r="B38" i="8" s="1"/>
  <c r="J31" i="20"/>
  <c r="B59" i="8" s="1"/>
  <c r="J30" i="15"/>
  <c r="B49" i="8" s="1"/>
  <c r="R30" i="15"/>
  <c r="B47" i="8" s="1"/>
  <c r="J14" i="22"/>
  <c r="B67" i="8" s="1"/>
  <c r="H30" i="29"/>
  <c r="B54" i="8" s="1"/>
  <c r="L30" i="30"/>
  <c r="B36" i="8" s="1"/>
  <c r="L30" i="28"/>
  <c r="B45" i="8" s="1"/>
  <c r="P31" i="14"/>
  <c r="B33" i="8" s="1"/>
  <c r="L31" i="14"/>
  <c r="B31" i="8" s="1"/>
  <c r="H31" i="20"/>
  <c r="B51" i="8" s="1"/>
  <c r="L30" i="15"/>
  <c r="B48" i="8" s="1"/>
  <c r="N30" i="15"/>
  <c r="B42" i="8" s="1"/>
  <c r="L14" i="22"/>
  <c r="B69" i="8" l="1"/>
  <c r="AT2" i="12"/>
  <c r="AT18" i="12" s="1"/>
  <c r="B9" i="8" s="1"/>
  <c r="R2" i="10"/>
  <c r="R15" i="10" s="1"/>
  <c r="J21" i="21"/>
  <c r="J34" i="21" s="1"/>
  <c r="B61" i="8" s="1"/>
  <c r="J2" i="12"/>
  <c r="J18" i="12" s="1"/>
  <c r="B8" i="8" s="1"/>
  <c r="J2" i="21"/>
  <c r="J15" i="21" s="1"/>
  <c r="B60" i="8" s="1"/>
  <c r="AI2" i="12"/>
  <c r="AI18" i="12" l="1"/>
  <c r="B7" i="8" s="1"/>
  <c r="U2" i="12"/>
  <c r="W2" i="12"/>
  <c r="W18" i="12" s="1"/>
  <c r="B6" i="8" s="1"/>
  <c r="L2" i="9"/>
  <c r="L14" i="9" s="1"/>
  <c r="B29" i="8" s="1"/>
  <c r="N2" i="9"/>
  <c r="N14" i="9" s="1"/>
  <c r="B28" i="8" s="1"/>
  <c r="H2" i="9"/>
  <c r="J2" i="9"/>
  <c r="K2" i="32"/>
  <c r="M2" i="32"/>
  <c r="M15" i="32" s="1"/>
  <c r="B16" i="8" s="1"/>
  <c r="I2" i="32"/>
  <c r="I15" i="32" s="1"/>
  <c r="B14" i="8" s="1"/>
  <c r="O2" i="32"/>
  <c r="O15" i="32" s="1"/>
  <c r="B17" i="8" s="1"/>
  <c r="M2" i="10"/>
  <c r="M15" i="10" s="1"/>
  <c r="B20" i="8" s="1"/>
  <c r="I2" i="10"/>
  <c r="I15" i="10" s="1"/>
  <c r="O2" i="10"/>
  <c r="O15" i="10" s="1"/>
  <c r="B21" i="8" s="1"/>
  <c r="K2" i="10"/>
  <c r="J14" i="9" l="1"/>
  <c r="B27" i="8" s="1"/>
  <c r="U18" i="12"/>
  <c r="B5" i="8" s="1"/>
  <c r="K15" i="10"/>
  <c r="B19" i="8" s="1"/>
  <c r="B18" i="8"/>
  <c r="H14" i="9"/>
  <c r="B26" i="8" s="1"/>
  <c r="K15" i="32"/>
  <c r="B15" i="8" s="1"/>
</calcChain>
</file>

<file path=xl/sharedStrings.xml><?xml version="1.0" encoding="utf-8"?>
<sst xmlns="http://schemas.openxmlformats.org/spreadsheetml/2006/main" count="1099" uniqueCount="195">
  <si>
    <t>NAMA BAHAN</t>
  </si>
  <si>
    <t>HARGA KULAK SATUAN</t>
  </si>
  <si>
    <t>MODAL SATUAN</t>
  </si>
  <si>
    <t>ISI</t>
  </si>
  <si>
    <t>HARGA KULAK</t>
  </si>
  <si>
    <t>KEB.</t>
  </si>
  <si>
    <t>BURGER MEDIUM NUGGET AYAM</t>
  </si>
  <si>
    <t>NAMA MENU</t>
  </si>
  <si>
    <t>CAHYA GALLERY FOOD &amp; BEVERAGE</t>
  </si>
  <si>
    <t>PIZZA YES 17 CM SOSIS + AYAM</t>
  </si>
  <si>
    <t>PIZZA YES 17 CM JAGUNG + AYAM</t>
  </si>
  <si>
    <t>BURGER MEDIUM DAGING SAPI</t>
  </si>
  <si>
    <t>PIZZA YUHU 21 CM JAGUNG + AYAM</t>
  </si>
  <si>
    <t>JAMUR</t>
  </si>
  <si>
    <t>PIZZA YUHU 21 CM AYAM + JAMUR</t>
  </si>
  <si>
    <t>ABON</t>
  </si>
  <si>
    <t>JAGUNG</t>
  </si>
  <si>
    <t>PIZZA YES 17 CM FULL SOSIZ+MOZZA</t>
  </si>
  <si>
    <t>PIZZA YUHU 21 CM FULL SOSIZ+MOZZA</t>
  </si>
  <si>
    <t>SATUAN</t>
  </si>
  <si>
    <t>MODAL</t>
  </si>
  <si>
    <t>MODAL KEMBALI KE PERUSAHAAN PRODUK OFF LINE</t>
  </si>
  <si>
    <t>MODAL KEMBALI KE PERUSAHAAN PRODUK GOBIZ</t>
  </si>
  <si>
    <t>PORSI</t>
  </si>
  <si>
    <t>ROTI MARYAM</t>
  </si>
  <si>
    <t>GULA NYES</t>
  </si>
  <si>
    <t>LEMBAR</t>
  </si>
  <si>
    <t>BATANG</t>
  </si>
  <si>
    <t>SAOS SAMBAL SACHET</t>
  </si>
  <si>
    <t>SACHET</t>
  </si>
  <si>
    <t>BIJI</t>
  </si>
  <si>
    <t>PLASTIK KLIP 20 CM</t>
  </si>
  <si>
    <t>PLASTIK KLIP BESAR 15 CM</t>
  </si>
  <si>
    <t>PLASTIK KLIP SEDANG 13 CM</t>
  </si>
  <si>
    <t>PLASTIK KLIP KECIL 10 CM</t>
  </si>
  <si>
    <t>ROTI ROCAS MEDIUM</t>
  </si>
  <si>
    <t>GRAM</t>
  </si>
  <si>
    <t>SAOS TOMAT GRAM</t>
  </si>
  <si>
    <t>BURGER MEDIUM DAGING SAPI TANPA SAYUR</t>
  </si>
  <si>
    <t>ROTI MARYAM MINI COKLAT GOBIZ</t>
  </si>
  <si>
    <t>ROTI MARYAM MINI PAKET KENYANG COKLAT GOBIZ</t>
  </si>
  <si>
    <t>UDANG</t>
  </si>
  <si>
    <t>KENTANG</t>
  </si>
  <si>
    <t>PIZZA YUHU 21 CM TOP KOREA DASARAN JAGUNG+MOZZA</t>
  </si>
  <si>
    <t>PIZZA YUHU 21 CM TOP KOREA DASARAN AYAM+MOZZA</t>
  </si>
  <si>
    <t>PIZZA YUHU 21 CM TOP KOREA TABUR</t>
  </si>
  <si>
    <t>PIZZA YES 18 CM TOPPING KOREA TABUR</t>
  </si>
  <si>
    <t>PIZZA YES 18 CM TOP KOREA DASARAN JAGUNG+MOZZA</t>
  </si>
  <si>
    <t>PIZZA YES 18 CM TOP KOREA DASARAN AYAM+MOZZA</t>
  </si>
  <si>
    <t>PIZZA SIP 25 CM TOP KOREA DASARAN JAGUNG+MOZZA</t>
  </si>
  <si>
    <t>PIZZA SIP 25 CM TOP KOREA DASARAN AYAM+MOZZA</t>
  </si>
  <si>
    <t>PIZZA SIP 25 CM TOP KOREA TABUR</t>
  </si>
  <si>
    <t>KRESEK 10 CM</t>
  </si>
  <si>
    <t>MISIS COKLAT</t>
  </si>
  <si>
    <t>MENTEGA</t>
  </si>
  <si>
    <t>GAS ELPIJI</t>
  </si>
  <si>
    <t>KOTAK BURGER</t>
  </si>
  <si>
    <t>SOSIZ BATANG</t>
  </si>
  <si>
    <t>AYAM SUWIR</t>
  </si>
  <si>
    <t>SLADA</t>
  </si>
  <si>
    <t>KRESEK 15 CM</t>
  </si>
  <si>
    <t>KRESEK 20 CM</t>
  </si>
  <si>
    <t>SAOS SAMBAL GRAM</t>
  </si>
  <si>
    <t>SAOS BBQ GRAM</t>
  </si>
  <si>
    <t>MAYONAIS GRAM</t>
  </si>
  <si>
    <t>KEJU SLICE MEDIUM SACHET</t>
  </si>
  <si>
    <t>NUGGET AYAM</t>
  </si>
  <si>
    <t>ROTI BURGER MEDIUM</t>
  </si>
  <si>
    <t>TIMUN IRIS</t>
  </si>
  <si>
    <t>TOMAT IRIS</t>
  </si>
  <si>
    <t>KERTAS NASI/BURGER</t>
  </si>
  <si>
    <t>SAOS SPAGHETI GRAM</t>
  </si>
  <si>
    <t>KULIT KEBAB 19/20 CM</t>
  </si>
  <si>
    <t>KERTAS KEBAB</t>
  </si>
  <si>
    <t>SAOS TOMAT SACHET</t>
  </si>
  <si>
    <t>GULA PASIR</t>
  </si>
  <si>
    <t>GARAM HALUS</t>
  </si>
  <si>
    <t>VERMIPAN</t>
  </si>
  <si>
    <t>SUSU BUBUK</t>
  </si>
  <si>
    <t>TEPUNG SEGITIGA BIRU</t>
  </si>
  <si>
    <t>TEPUNG CAKRA KEMBAR</t>
  </si>
  <si>
    <t>BASIL</t>
  </si>
  <si>
    <t>KALDU JAMUR</t>
  </si>
  <si>
    <t>BAWANG BOMBAY</t>
  </si>
  <si>
    <t>KOTAK 26 CM</t>
  </si>
  <si>
    <t>TALI RAFIA</t>
  </si>
  <si>
    <t>KRESEK 50 CM</t>
  </si>
  <si>
    <t>KRESEK 30 CM</t>
  </si>
  <si>
    <t>KOTAK 18 CM</t>
  </si>
  <si>
    <t>KOTAK 21 CM</t>
  </si>
  <si>
    <t>KODE BAHAN</t>
  </si>
  <si>
    <t>IRIS</t>
  </si>
  <si>
    <t>BURGER MEDIUM NUGGET AYAM TANPA SAYUR</t>
  </si>
  <si>
    <t>KEBAB AYAM + SOSIZ</t>
  </si>
  <si>
    <t>KEBAB AYAM + SOSIZ (PEDAS)</t>
  </si>
  <si>
    <t>KEBAB AYAM + SOSIZ TANPA SAYUR (AYAM EKSTRA)</t>
  </si>
  <si>
    <t>KEBAB AYAM + SOSIZ TANPA SAYUR (SOSIZ EKSTRA)</t>
  </si>
  <si>
    <t>PIZZA YES 17 CM FULL SOSIZ + MOZZARELLA</t>
  </si>
  <si>
    <t>PIZZA SIP 25 CM FULL SOSIZ + MOZZARELLA</t>
  </si>
  <si>
    <t>PIZZA SIP 25 CM JAGUNG + AYAM</t>
  </si>
  <si>
    <t>PIZZA SIP 25 CM AYAM + JAMUR</t>
  </si>
  <si>
    <t xml:space="preserve">PIZZA YES 17 CM SOSIS + AYAM </t>
  </si>
  <si>
    <t>PIZZA YES 17 CM KOREA SEKAT DASARAN JAGUNG+MOZZA</t>
  </si>
  <si>
    <t>PIZZA YES 17 CM KOREA SEKAT DASARAN AYAM+MOZZA</t>
  </si>
  <si>
    <t>PIZZA YUHU 21 CM KOREA SEKAT DASARAN JAGUNG+MOZZA</t>
  </si>
  <si>
    <t>PIZZA YUHU 21 CM KOREA SEKAT DASARAN AYAM+MOZZA</t>
  </si>
  <si>
    <t>PIZZA SIP 25 CM KOREA SEKAT DASARAN JAGUNG+MOZZA</t>
  </si>
  <si>
    <t>PIZZA SIP 25 CM KOREA SEKAT DASARAN AYAM+MOZZA</t>
  </si>
  <si>
    <t>PIZZA YES 17 CM KOREA TABUR</t>
  </si>
  <si>
    <t>PIZZA YUHU 21 CM KOREA TABUR</t>
  </si>
  <si>
    <t>PIZZA SIP 25 CM KOREA TABUR</t>
  </si>
  <si>
    <t>KEBAB SOSIZ (KECIL)</t>
  </si>
  <si>
    <t>KEBAB SOSIZ (KECIL) PEDAS</t>
  </si>
  <si>
    <t>KEBAB SOSIZ (KECIL) TANPA SAYUR EKSTRA SOSIZ</t>
  </si>
  <si>
    <t>KEBAB SOSIZ (KECIL) PEDAS TANPA SAYUR EKSTRA SOSIZ</t>
  </si>
  <si>
    <t>KEBAB AYAM + SOSIZ (KECIL)</t>
  </si>
  <si>
    <t>KEBAB AYAM + SOSIZ (KECIL) PEDAS</t>
  </si>
  <si>
    <t>PIZZA YES 17 CM AYAM + JAMUR</t>
  </si>
  <si>
    <t>KEBAB AYAM + SOSIZ (KECIL) TANPA SAYUR EKSTRA SOSIZ</t>
  </si>
  <si>
    <t>KEBAB AYAM + SOSIZ (KECIL) TANPA SAYUR EKSTRA AYAM</t>
  </si>
  <si>
    <t>KEBAB AYAM + SOSIZ (MEDIUM) PEDAS</t>
  </si>
  <si>
    <t>KEBAB AYAM + SOSIZ (MEDIUM)</t>
  </si>
  <si>
    <t>KEBAB AYAM + SOSIZ (MEDIUM) TANPA SAYUR EKSTRA AYAM</t>
  </si>
  <si>
    <t>KEBAB AYAM + SOSIZ (MEIDUM) TANPA SAYUR EKSTRA SOSIZ</t>
  </si>
  <si>
    <t>PIZZA YUHU 21 CM FULL SOSIZ + MOZZARELLA</t>
  </si>
  <si>
    <t xml:space="preserve">PIZZA YUHU 21 CM SOSIS + AYAM </t>
  </si>
  <si>
    <t>PIZZA SIP 25 CM SOSIS + AYAM</t>
  </si>
  <si>
    <t>KEBAB SOSIZ TANPA SAYUR</t>
  </si>
  <si>
    <t>KEBAB SOSIZ TANPA SAYUR PEDAS</t>
  </si>
  <si>
    <t>ROTI MARYAM ORI PAKET DOBEL KENYANG</t>
  </si>
  <si>
    <t>ROTI MARYAM ORI PAKET KENYANG</t>
  </si>
  <si>
    <t>ROTI MARYAM COKLAT PAKET DOBEL KENYANG</t>
  </si>
  <si>
    <t>ROTI MARYAM COKLAT PAKET KENYANG</t>
  </si>
  <si>
    <t>ROTI MARYAM COKLAT SINGLE</t>
  </si>
  <si>
    <t>ROTI MARYAM ORI SINGLE</t>
  </si>
  <si>
    <t>PIZZA YUHU 21 CM SOSIS + AYAM</t>
  </si>
  <si>
    <t>PIZZA SIP 25CM SOSIZ + AYAM</t>
  </si>
  <si>
    <t>PIZZA SIP 25CM AYAM + JAGUNG</t>
  </si>
  <si>
    <t>PIZZA SIP 25CM SOSIZ + MOZZARELLA</t>
  </si>
  <si>
    <t>PIZZA SIP 25CM AYAM + JAMUR</t>
  </si>
  <si>
    <t>ZAMBI 10 CM SOSIZ+AYAM</t>
  </si>
  <si>
    <t>PAPRIKA GRAM</t>
  </si>
  <si>
    <t>ZAMBI 10 CM DAGING SAPI</t>
  </si>
  <si>
    <t>DAGING SAPI</t>
  </si>
  <si>
    <t>NAMA PRODUK</t>
  </si>
  <si>
    <t>JUMLAH MODAL</t>
  </si>
  <si>
    <t>KEB.2</t>
  </si>
  <si>
    <t>KEB.3</t>
  </si>
  <si>
    <t>KEB.4</t>
  </si>
  <si>
    <t>KEB.5</t>
  </si>
  <si>
    <t>KEB.6</t>
  </si>
  <si>
    <t>KEB.7</t>
  </si>
  <si>
    <t>KEB.8</t>
  </si>
  <si>
    <t>KEB</t>
  </si>
  <si>
    <t>NAMA BAHAN2</t>
  </si>
  <si>
    <t>AIR PANAS (CC/GRAM)</t>
  </si>
  <si>
    <t>PIZZA SIP 25CM MEAT LOVERS</t>
  </si>
  <si>
    <t>PIZZA YES 17 CM MEAT LOVERS</t>
  </si>
  <si>
    <t>PIZZA SIP 25 CM MEAT LOVERS</t>
  </si>
  <si>
    <t>PIZZA YUHU 21 CM MEAT LOVERS</t>
  </si>
  <si>
    <t>PIZZA SIP 25CM SOSIZ + ABON</t>
  </si>
  <si>
    <t>PIZZA YUHU 21 CM SOSIS + ABON</t>
  </si>
  <si>
    <t>PIZZA SIP 25 CM SOSIS + ABON</t>
  </si>
  <si>
    <t>PIZZA YES 17 CM SOSIS  + ABON</t>
  </si>
  <si>
    <t>PIZZA YES 17 CM SOSIS + ABON</t>
  </si>
  <si>
    <t>KEBAB AYAM MINI (PEDAS)</t>
  </si>
  <si>
    <t>KEBAB AYAM MEDIUM</t>
  </si>
  <si>
    <t>KEBAB AYAM MINI</t>
  </si>
  <si>
    <t>KEBAB AYAM MEDIUM (PEDAS)</t>
  </si>
  <si>
    <t>KEBAB AYAM MEDIUM TANPA SAYUR</t>
  </si>
  <si>
    <t>KEBAB AYAM MEDIUM PEDAS</t>
  </si>
  <si>
    <t>KEBAB AYAM MEDIUM TANPA SAYUR PEDAS</t>
  </si>
  <si>
    <t>KEBAB AYAM MINI TANPA SAYUR</t>
  </si>
  <si>
    <t>KEBAB AYAM MINI TANPA SAYUR PEDAS</t>
  </si>
  <si>
    <t>KEBAB AYAM (KECIL)</t>
  </si>
  <si>
    <t>KEBAB AYAM (KECIL) PEDAS</t>
  </si>
  <si>
    <t>KEBAB AYAM (KECIL) TANPA SAYUR</t>
  </si>
  <si>
    <t>KEBAB AYAM (KECIL) TANPA SAYUR PEDAS</t>
  </si>
  <si>
    <t>PIZZA KULIT KEBAB</t>
  </si>
  <si>
    <t>SINGLE</t>
  </si>
  <si>
    <t>DOUBLE</t>
  </si>
  <si>
    <t>BURGER MEDIUM DAGING SAPI DOUBLE BEEF</t>
  </si>
  <si>
    <t>JUMLAH MODAL2</t>
  </si>
  <si>
    <t>KERTAS ROTI OVEN</t>
  </si>
  <si>
    <t>FIFTY FIFTY (MEAT + AYAM)</t>
  </si>
  <si>
    <t>PIZZA YUHU 21 CM MEAT + AYAM</t>
  </si>
  <si>
    <t xml:space="preserve">PIZZA YES 17 CM MEAT + AYAM </t>
  </si>
  <si>
    <t>KEBAB SOSIZ KECIL</t>
  </si>
  <si>
    <t>KEBAB SOSIZ PEDAS KECIL</t>
  </si>
  <si>
    <t>KULIT KEBAB 17/18 CM</t>
  </si>
  <si>
    <t>KEJU MOZZARELLA</t>
  </si>
  <si>
    <t>ROCAS SAPI</t>
  </si>
  <si>
    <t>MIKA ROCAS MEDIUM</t>
  </si>
  <si>
    <t>ROCAS MEDIUM</t>
  </si>
  <si>
    <t>ROCAS MEDIUM 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</si>
</sst>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;[Red]#,##0"/>
    <numFmt numFmtId="165" formatCode="#,##0.0;[Red]#,##0.0"/>
    <numFmt numFmtId="166" formatCode="#,##0.0"/>
    <numFmt numFmtId="167" formatCode="#.##0;[Red]#.##0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54">
    <xf numFmtId="0" fontId="0" fillId="0" borderId="0" xfId="0"/>
    <xf numFmtId="164" fontId="0" fillId="0" borderId="0" xfId="0" applyNumberFormat="1" applyBorder="1"/>
    <xf numFmtId="0" fontId="0" fillId="0" borderId="0" xfId="0" applyFill="1" applyBorder="1" applyAlignment="1">
      <alignment horizontal="center" vertical="center" wrapText="1"/>
    </xf>
    <xf numFmtId="164" fontId="0" fillId="0" borderId="0" xfId="0" applyNumberFormat="1" applyBorder="1" applyAlignment="1"/>
    <xf numFmtId="0" fontId="4" fillId="0" borderId="0" xfId="0" applyFont="1" applyFill="1" applyBorder="1"/>
    <xf numFmtId="0" fontId="12" fillId="0" borderId="0" xfId="0" applyFont="1" applyFill="1" applyBorder="1" applyAlignment="1">
      <alignment horizontal="center" vertical="center" wrapText="1"/>
    </xf>
    <xf numFmtId="15" fontId="12" fillId="0" borderId="0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Fill="1" applyBorder="1"/>
    <xf numFmtId="164" fontId="0" fillId="0" borderId="0" xfId="0" applyNumberForma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ill="1" applyBorder="1"/>
    <xf numFmtId="165" fontId="0" fillId="0" borderId="0" xfId="0" applyNumberFormat="1" applyFill="1" applyBorder="1"/>
    <xf numFmtId="164" fontId="0" fillId="0" borderId="0" xfId="0" applyNumberFormat="1" applyFill="1" applyBorder="1" applyAlignment="1">
      <alignment horizontal="right"/>
    </xf>
    <xf numFmtId="165" fontId="6" fillId="6" borderId="0" xfId="0" applyNumberFormat="1" applyFont="1" applyFill="1" applyBorder="1"/>
    <xf numFmtId="164" fontId="6" fillId="6" borderId="0" xfId="0" applyNumberFormat="1" applyFont="1" applyFill="1" applyBorder="1"/>
    <xf numFmtId="164" fontId="6" fillId="0" borderId="0" xfId="0" applyNumberFormat="1" applyFont="1" applyBorder="1"/>
    <xf numFmtId="165" fontId="0" fillId="0" borderId="0" xfId="0" applyNumberFormat="1" applyBorder="1"/>
    <xf numFmtId="0" fontId="8" fillId="11" borderId="0" xfId="0" applyFont="1" applyFill="1" applyBorder="1" applyAlignment="1">
      <alignment horizontal="center" vertical="center" wrapText="1"/>
    </xf>
    <xf numFmtId="0" fontId="8" fillId="11" borderId="0" xfId="0" applyFont="1" applyFill="1" applyBorder="1" applyAlignment="1">
      <alignment horizontal="center" vertical="center"/>
    </xf>
    <xf numFmtId="164" fontId="9" fillId="11" borderId="0" xfId="0" applyNumberFormat="1" applyFont="1" applyFill="1" applyBorder="1" applyAlignment="1">
      <alignment horizontal="center" vertical="center"/>
    </xf>
    <xf numFmtId="164" fontId="9" fillId="11" borderId="0" xfId="0" applyNumberFormat="1" applyFont="1" applyFill="1" applyBorder="1" applyAlignment="1">
      <alignment horizontal="center" vertical="center" wrapText="1"/>
    </xf>
    <xf numFmtId="165" fontId="9" fillId="11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/>
    <xf numFmtId="165" fontId="0" fillId="0" borderId="0" xfId="0" applyNumberFormat="1" applyFont="1" applyFill="1" applyBorder="1"/>
    <xf numFmtId="164" fontId="0" fillId="0" borderId="0" xfId="0" applyNumberFormat="1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/>
    <xf numFmtId="164" fontId="3" fillId="0" borderId="0" xfId="0" applyNumberFormat="1" applyFont="1" applyFill="1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/>
    <xf numFmtId="164" fontId="16" fillId="0" borderId="0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164" fontId="11" fillId="0" borderId="0" xfId="0" applyNumberFormat="1" applyFont="1" applyFill="1" applyBorder="1" applyAlignment="1">
      <alignment horizontal="center" vertical="center" wrapText="1"/>
    </xf>
    <xf numFmtId="165" fontId="11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 wrapText="1"/>
    </xf>
    <xf numFmtId="164" fontId="6" fillId="0" borderId="0" xfId="0" applyNumberFormat="1" applyFont="1" applyFill="1" applyBorder="1"/>
    <xf numFmtId="165" fontId="6" fillId="0" borderId="0" xfId="0" applyNumberFormat="1" applyFont="1" applyFill="1" applyBorder="1"/>
    <xf numFmtId="164" fontId="0" fillId="0" borderId="0" xfId="0" applyNumberFormat="1" applyBorder="1" applyAlignment="1">
      <alignment horizontal="center"/>
    </xf>
    <xf numFmtId="0" fontId="13" fillId="0" borderId="0" xfId="0" applyFont="1" applyFill="1" applyBorder="1" applyAlignment="1">
      <alignment horizontal="center" vertical="center" wrapText="1"/>
    </xf>
    <xf numFmtId="164" fontId="13" fillId="0" borderId="0" xfId="0" applyNumberFormat="1" applyFont="1" applyFill="1" applyBorder="1" applyAlignment="1">
      <alignment horizontal="center" vertical="center" wrapText="1"/>
    </xf>
    <xf numFmtId="165" fontId="13" fillId="0" borderId="0" xfId="0" applyNumberFormat="1" applyFont="1" applyFill="1" applyBorder="1" applyAlignment="1">
      <alignment horizontal="center" vertical="center" wrapText="1"/>
    </xf>
    <xf numFmtId="164" fontId="6" fillId="3" borderId="0" xfId="0" applyNumberFormat="1" applyFont="1" applyFill="1" applyBorder="1"/>
    <xf numFmtId="165" fontId="6" fillId="3" borderId="0" xfId="0" applyNumberFormat="1" applyFont="1" applyFill="1" applyBorder="1"/>
    <xf numFmtId="164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65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/>
    <xf numFmtId="164" fontId="7" fillId="0" borderId="0" xfId="0" applyNumberFormat="1" applyFont="1" applyFill="1" applyBorder="1" applyAlignment="1">
      <alignment horizontal="center"/>
    </xf>
    <xf numFmtId="165" fontId="7" fillId="0" borderId="0" xfId="0" applyNumberFormat="1" applyFont="1" applyFill="1" applyBorder="1"/>
    <xf numFmtId="0" fontId="15" fillId="0" borderId="0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/>
    <xf numFmtId="164" fontId="14" fillId="0" borderId="0" xfId="0" applyNumberFormat="1" applyFont="1" applyFill="1" applyBorder="1"/>
    <xf numFmtId="164" fontId="0" fillId="0" borderId="0" xfId="0" applyNumberFormat="1" applyBorder="1" applyAlignment="1">
      <alignment horizontal="center" vertical="center" wrapText="1"/>
    </xf>
    <xf numFmtId="165" fontId="0" fillId="6" borderId="0" xfId="0" applyNumberFormat="1" applyFill="1" applyBorder="1" applyAlignment="1">
      <alignment horizontal="center" vertical="center" wrapText="1"/>
    </xf>
    <xf numFmtId="164" fontId="0" fillId="6" borderId="0" xfId="0" applyNumberFormat="1" applyFill="1" applyBorder="1" applyAlignment="1">
      <alignment horizontal="center" vertical="center" wrapText="1"/>
    </xf>
    <xf numFmtId="165" fontId="0" fillId="5" borderId="0" xfId="0" applyNumberFormat="1" applyFill="1" applyBorder="1" applyAlignment="1">
      <alignment horizontal="center" vertical="center" wrapText="1"/>
    </xf>
    <xf numFmtId="164" fontId="0" fillId="5" borderId="0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165" fontId="0" fillId="6" borderId="0" xfId="0" applyNumberFormat="1" applyFill="1" applyBorder="1"/>
    <xf numFmtId="164" fontId="0" fillId="6" borderId="0" xfId="0" applyNumberFormat="1" applyFill="1" applyBorder="1"/>
    <xf numFmtId="165" fontId="0" fillId="5" borderId="0" xfId="0" applyNumberFormat="1" applyFill="1" applyBorder="1"/>
    <xf numFmtId="164" fontId="0" fillId="5" borderId="0" xfId="0" applyNumberFormat="1" applyFill="1" applyBorder="1"/>
    <xf numFmtId="164" fontId="6" fillId="0" borderId="0" xfId="0" applyNumberFormat="1" applyFont="1" applyBorder="1" applyAlignment="1">
      <alignment horizontal="center"/>
    </xf>
    <xf numFmtId="165" fontId="6" fillId="5" borderId="0" xfId="0" applyNumberFormat="1" applyFont="1" applyFill="1" applyBorder="1"/>
    <xf numFmtId="164" fontId="6" fillId="5" borderId="0" xfId="0" applyNumberFormat="1" applyFont="1" applyFill="1" applyBorder="1"/>
    <xf numFmtId="165" fontId="0" fillId="9" borderId="0" xfId="0" applyNumberFormat="1" applyFill="1" applyBorder="1" applyAlignment="1">
      <alignment horizontal="center" vertical="center" wrapText="1"/>
    </xf>
    <xf numFmtId="164" fontId="0" fillId="9" borderId="0" xfId="0" applyNumberFormat="1" applyFill="1" applyBorder="1" applyAlignment="1">
      <alignment horizontal="center" vertical="center" wrapText="1"/>
    </xf>
    <xf numFmtId="165" fontId="0" fillId="9" borderId="0" xfId="0" applyNumberFormat="1" applyFill="1" applyBorder="1"/>
    <xf numFmtId="164" fontId="0" fillId="9" borderId="0" xfId="0" applyNumberFormat="1" applyFill="1" applyBorder="1"/>
    <xf numFmtId="165" fontId="6" fillId="9" borderId="0" xfId="0" applyNumberFormat="1" applyFont="1" applyFill="1" applyBorder="1"/>
    <xf numFmtId="164" fontId="6" fillId="9" borderId="0" xfId="0" applyNumberFormat="1" applyFont="1" applyFill="1" applyBorder="1"/>
    <xf numFmtId="1" fontId="0" fillId="5" borderId="0" xfId="0" applyNumberFormat="1" applyFill="1" applyBorder="1"/>
    <xf numFmtId="165" fontId="6" fillId="0" borderId="0" xfId="0" applyNumberFormat="1" applyFont="1" applyBorder="1"/>
    <xf numFmtId="165" fontId="6" fillId="7" borderId="0" xfId="0" applyNumberFormat="1" applyFont="1" applyFill="1" applyBorder="1"/>
    <xf numFmtId="164" fontId="6" fillId="7" borderId="0" xfId="0" applyNumberFormat="1" applyFont="1" applyFill="1" applyBorder="1"/>
    <xf numFmtId="165" fontId="0" fillId="10" borderId="0" xfId="0" applyNumberFormat="1" applyFill="1" applyBorder="1"/>
    <xf numFmtId="164" fontId="0" fillId="10" borderId="0" xfId="0" applyNumberFormat="1" applyFill="1" applyBorder="1"/>
    <xf numFmtId="165" fontId="0" fillId="8" borderId="0" xfId="0" applyNumberFormat="1" applyFill="1" applyBorder="1"/>
    <xf numFmtId="164" fontId="0" fillId="8" borderId="0" xfId="0" applyNumberFormat="1" applyFill="1" applyBorder="1"/>
    <xf numFmtId="0" fontId="0" fillId="2" borderId="0" xfId="0" applyFill="1" applyBorder="1"/>
    <xf numFmtId="0" fontId="0" fillId="0" borderId="0" xfId="0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horizontal="center" vertical="center" wrapText="1"/>
    </xf>
    <xf numFmtId="49" fontId="15" fillId="5" borderId="0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Fill="1" applyBorder="1"/>
    <xf numFmtId="164" fontId="15" fillId="0" borderId="0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Fill="1" applyBorder="1"/>
    <xf numFmtId="165" fontId="15" fillId="5" borderId="0" xfId="0" applyNumberFormat="1" applyFont="1" applyFill="1" applyBorder="1"/>
    <xf numFmtId="167" fontId="15" fillId="5" borderId="0" xfId="0" applyNumberFormat="1" applyFont="1" applyFill="1" applyBorder="1"/>
    <xf numFmtId="0" fontId="15" fillId="0" borderId="0" xfId="0" applyFont="1" applyFill="1" applyBorder="1"/>
    <xf numFmtId="164" fontId="15" fillId="0" borderId="0" xfId="0" applyNumberFormat="1" applyFont="1" applyFill="1" applyBorder="1" applyAlignment="1">
      <alignment horizontal="right"/>
    </xf>
    <xf numFmtId="165" fontId="17" fillId="5" borderId="0" xfId="0" applyNumberFormat="1" applyFont="1" applyFill="1" applyBorder="1"/>
    <xf numFmtId="164" fontId="17" fillId="5" borderId="0" xfId="0" applyNumberFormat="1" applyFont="1" applyFill="1" applyBorder="1"/>
    <xf numFmtId="164" fontId="17" fillId="0" borderId="0" xfId="0" applyNumberFormat="1" applyFont="1" applyFill="1" applyBorder="1"/>
    <xf numFmtId="165" fontId="15" fillId="0" borderId="0" xfId="0" applyNumberFormat="1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Border="1"/>
    <xf numFmtId="165" fontId="7" fillId="5" borderId="0" xfId="0" applyNumberFormat="1" applyFont="1" applyFill="1" applyBorder="1" applyAlignment="1">
      <alignment horizontal="center" vertical="center" wrapText="1"/>
    </xf>
    <xf numFmtId="164" fontId="7" fillId="5" borderId="0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15" fillId="5" borderId="0" xfId="0" applyNumberFormat="1" applyFont="1" applyFill="1" applyBorder="1" applyAlignment="1">
      <alignment horizontal="center" vertical="center" wrapText="1"/>
    </xf>
    <xf numFmtId="166" fontId="15" fillId="5" borderId="0" xfId="0" applyNumberFormat="1" applyFont="1" applyFill="1" applyBorder="1"/>
    <xf numFmtId="166" fontId="17" fillId="5" borderId="0" xfId="0" applyNumberFormat="1" applyFont="1" applyFill="1" applyBorder="1"/>
    <xf numFmtId="166" fontId="15" fillId="0" borderId="0" xfId="0" applyNumberFormat="1" applyFont="1" applyFill="1" applyBorder="1"/>
    <xf numFmtId="164" fontId="0" fillId="0" borderId="0" xfId="0" applyNumberFormat="1" applyFont="1" applyBorder="1"/>
    <xf numFmtId="165" fontId="0" fillId="4" borderId="0" xfId="0" applyNumberFormat="1" applyFont="1" applyFill="1" applyBorder="1"/>
    <xf numFmtId="164" fontId="0" fillId="4" borderId="0" xfId="0" applyNumberFormat="1" applyFont="1" applyFill="1" applyBorder="1"/>
    <xf numFmtId="3" fontId="0" fillId="4" borderId="0" xfId="0" applyNumberFormat="1" applyFont="1" applyFill="1" applyBorder="1"/>
    <xf numFmtId="166" fontId="0" fillId="4" borderId="0" xfId="0" applyNumberFormat="1" applyFont="1" applyFill="1" applyBorder="1"/>
    <xf numFmtId="164" fontId="0" fillId="0" borderId="0" xfId="0" applyNumberFormat="1" applyFont="1" applyFill="1" applyBorder="1" applyAlignment="1">
      <alignment horizontal="right"/>
    </xf>
    <xf numFmtId="165" fontId="9" fillId="0" borderId="0" xfId="0" applyNumberFormat="1" applyFont="1" applyBorder="1"/>
    <xf numFmtId="164" fontId="9" fillId="0" borderId="0" xfId="0" applyNumberFormat="1" applyFont="1" applyBorder="1"/>
    <xf numFmtId="165" fontId="0" fillId="0" borderId="0" xfId="0" applyNumberFormat="1" applyFont="1" applyBorder="1"/>
    <xf numFmtId="0" fontId="18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65" fontId="15" fillId="10" borderId="0" xfId="0" applyNumberFormat="1" applyFont="1" applyFill="1" applyBorder="1"/>
    <xf numFmtId="165" fontId="0" fillId="8" borderId="0" xfId="0" applyNumberFormat="1" applyFont="1" applyFill="1" applyBorder="1"/>
    <xf numFmtId="164" fontId="6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applyNumberFormat="1" applyFont="1" applyBorder="1" applyAlignment="1">
      <alignment horizontal="center" vertical="center" wrapText="1"/>
    </xf>
    <xf numFmtId="165" fontId="7" fillId="9" borderId="0" xfId="0" applyNumberFormat="1" applyFont="1" applyFill="1" applyBorder="1" applyAlignment="1">
      <alignment horizontal="center" vertical="center" wrapText="1"/>
    </xf>
    <xf numFmtId="164" fontId="7" fillId="9" borderId="0" xfId="0" applyNumberFormat="1" applyFont="1" applyFill="1" applyBorder="1" applyAlignment="1">
      <alignment horizontal="center" vertical="center" wrapText="1"/>
    </xf>
    <xf numFmtId="164" fontId="0" fillId="8" borderId="0" xfId="0" applyNumberFormat="1" applyFont="1" applyFill="1" applyBorder="1"/>
    <xf numFmtId="165" fontId="11" fillId="0" borderId="1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5" fontId="0" fillId="8" borderId="2" xfId="0" applyNumberFormat="1" applyFont="1" applyFill="1" applyBorder="1"/>
    <xf numFmtId="164" fontId="0" fillId="8" borderId="3" xfId="0" applyNumberFormat="1" applyFont="1" applyFill="1" applyBorder="1"/>
    <xf numFmtId="165" fontId="0" fillId="5" borderId="2" xfId="0" applyNumberFormat="1" applyFont="1" applyFill="1" applyBorder="1"/>
    <xf numFmtId="165" fontId="0" fillId="5" borderId="4" xfId="0" applyNumberFormat="1" applyFont="1" applyFill="1" applyBorder="1"/>
    <xf numFmtId="3" fontId="0" fillId="5" borderId="0" xfId="0" applyNumberFormat="1" applyFill="1" applyBorder="1"/>
    <xf numFmtId="164" fontId="15" fillId="5" borderId="0" xfId="0" applyNumberFormat="1" applyFont="1" applyFill="1" applyBorder="1"/>
    <xf numFmtId="0" fontId="0" fillId="0" borderId="0" xfId="0" applyFill="1" applyBorder="1"/>
    <xf numFmtId="1" fontId="0" fillId="0" borderId="0" xfId="0" applyNumberFormat="1" applyBorder="1"/>
    <xf numFmtId="165" fontId="0" fillId="6" borderId="2" xfId="0" applyNumberFormat="1" applyFont="1" applyFill="1" applyBorder="1"/>
    <xf numFmtId="3" fontId="0" fillId="0" borderId="0" xfId="0" applyNumberFormat="1" applyBorder="1"/>
    <xf numFmtId="3" fontId="6" fillId="0" borderId="0" xfId="0" applyNumberFormat="1" applyFont="1" applyBorder="1"/>
    <xf numFmtId="164" fontId="6" fillId="0" borderId="0" xfId="0" applyNumberFormat="1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Fill="1" applyBorder="1" applyAlignment="1">
      <alignment horizontal="center" vertical="center" wrapText="1"/>
    </xf>
    <xf numFmtId="164" fontId="17" fillId="0" borderId="0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393"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solid">
          <fgColor indexed="64"/>
          <bgColor theme="5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#,##0.0;[Red]#,##0.0"/>
      <fill>
        <patternFill patternType="solid">
          <fgColor indexed="64"/>
          <bgColor theme="5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000000"/>
          <bgColor rgb="FFDA9694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solid">
          <fgColor indexed="64"/>
          <bgColor theme="5" tint="0.39997558519241921"/>
        </patternFill>
      </fill>
    </dxf>
    <dxf>
      <numFmt numFmtId="165" formatCode="#,##0.0;[Red]#,##0.0"/>
      <fill>
        <patternFill patternType="solid">
          <fgColor indexed="64"/>
          <bgColor theme="5" tint="0.39997558519241921"/>
        </patternFill>
      </fill>
    </dxf>
    <dxf>
      <numFmt numFmtId="164" formatCode="#,##0;[Red]#,##0"/>
      <fill>
        <patternFill patternType="solid">
          <fgColor indexed="64"/>
          <bgColor theme="5" tint="0.39997558519241921"/>
        </patternFill>
      </fill>
    </dxf>
    <dxf>
      <numFmt numFmtId="165" formatCode="#,##0.0;[Red]#,##0.0"/>
      <fill>
        <patternFill patternType="solid">
          <fgColor indexed="64"/>
          <bgColor theme="5" tint="0.39997558519241921"/>
        </patternFill>
      </fill>
    </dxf>
    <dxf>
      <numFmt numFmtId="164" formatCode="#,##0;[Red]#,##0"/>
      <fill>
        <patternFill patternType="solid">
          <fgColor indexed="64"/>
          <bgColor theme="5" tint="0.39997558519241921"/>
        </patternFill>
      </fill>
    </dxf>
    <dxf>
      <numFmt numFmtId="165" formatCode="#,##0.0;[Red]#,##0.0"/>
      <fill>
        <patternFill patternType="solid">
          <fgColor indexed="64"/>
          <bgColor theme="5" tint="0.39997558519241921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solid">
          <fgColor indexed="64"/>
          <bgColor theme="2" tint="-9.9978637043366805E-2"/>
        </patternFill>
      </fill>
    </dxf>
    <dxf>
      <numFmt numFmtId="165" formatCode="#,##0.0;[Red]#,##0.0"/>
      <fill>
        <patternFill patternType="solid">
          <fgColor indexed="64"/>
          <bgColor theme="2" tint="-9.9978637043366805E-2"/>
        </patternFill>
      </fill>
    </dxf>
    <dxf>
      <numFmt numFmtId="164" formatCode="#,##0;[Red]#,##0"/>
      <fill>
        <patternFill patternType="solid">
          <fgColor indexed="64"/>
          <bgColor theme="2" tint="-9.9978637043366805E-2"/>
        </patternFill>
      </fill>
    </dxf>
    <dxf>
      <numFmt numFmtId="165" formatCode="#,##0.0;[Red]#,##0.0"/>
      <fill>
        <patternFill patternType="solid">
          <fgColor indexed="64"/>
          <bgColor theme="2" tint="-9.9978637043366805E-2"/>
        </patternFill>
      </fill>
    </dxf>
    <dxf>
      <numFmt numFmtId="164" formatCode="#,##0;[Red]#,##0"/>
      <fill>
        <patternFill patternType="solid">
          <fgColor indexed="64"/>
          <bgColor theme="2" tint="-9.9978637043366805E-2"/>
        </patternFill>
      </fill>
    </dxf>
    <dxf>
      <numFmt numFmtId="165" formatCode="#,##0.0;[Red]#,##0.0"/>
      <fill>
        <patternFill patternType="solid">
          <fgColor indexed="64"/>
          <bgColor theme="2" tint="-9.9978637043366805E-2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6" formatCode="#,##0.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6" formatCode="#,##0.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6" formatCode="#,##0.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6" formatCode="#,##0.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3" formatCode="#,##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5" formatCode="#,##0.0;[Red]#,##0.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4" formatCode="#,##0;[Red]#,##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5" formatCode="#,##0.0;[Red]#,##0.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4" formatCode="#,##0;[Red]#,##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5" formatCode="#,##0.0;[Red]#,##0.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4" formatCode="#,##0;[Red]#,##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5" formatCode="#,##0.0;[Red]#,##0.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4" formatCode="#,##0;[Red]#,##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7" formatCode="#.##0;[Red]#.##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7" formatCode="#.##0;[Red]#.##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6" formatCode="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#,##0.0;[Red]#,##0.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7" formatCode="#.##0;[Red]#.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#.##0;[Red]#.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</border>
    </dxf>
    <dxf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</border>
    </dxf>
    <dxf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right style="medium">
          <color rgb="FF000000"/>
        </right>
      </border>
    </dxf>
    <dxf>
      <fill>
        <patternFill patternType="solid">
          <fgColor rgb="FF000000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solid">
          <fgColor indexed="64"/>
          <bgColor rgb="FFFFC000"/>
        </patternFill>
      </fill>
    </dxf>
    <dxf>
      <numFmt numFmtId="165" formatCode="#,##0.0;[Red]#,##0.0"/>
      <fill>
        <patternFill patternType="solid">
          <fgColor indexed="64"/>
          <bgColor rgb="FFFFC000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right style="medium">
          <color rgb="FF000000"/>
        </right>
      </border>
    </dxf>
    <dxf>
      <fill>
        <patternFill patternType="solid">
          <fgColor rgb="FF000000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rgb="FFFFFF00"/>
        </patternFill>
      </fill>
    </dxf>
    <dxf>
      <numFmt numFmtId="165" formatCode="#,##0.0;[Red]#,##0.0"/>
      <fill>
        <patternFill patternType="solid">
          <fgColor indexed="64"/>
          <bgColor rgb="FFFFFF00"/>
        </patternFill>
      </fill>
    </dxf>
    <dxf>
      <numFmt numFmtId="164" formatCode="#,##0;[Red]#,##0"/>
      <fill>
        <patternFill patternType="solid">
          <fgColor indexed="64"/>
          <bgColor theme="9" tint="0.59999389629810485"/>
        </patternFill>
      </fill>
    </dxf>
    <dxf>
      <numFmt numFmtId="165" formatCode="#,##0.0;[Red]#,##0.0"/>
      <fill>
        <patternFill patternType="solid">
          <fgColor indexed="64"/>
          <bgColor theme="9" tint="0.59999389629810485"/>
        </patternFill>
      </fill>
    </dxf>
    <dxf>
      <numFmt numFmtId="164" formatCode="#,##0;[Red]#,##0"/>
      <fill>
        <patternFill patternType="solid">
          <fgColor indexed="64"/>
          <bgColor theme="9" tint="0.59999389629810485"/>
        </patternFill>
      </fill>
    </dxf>
    <dxf>
      <numFmt numFmtId="165" formatCode="#,##0.0;[Red]#,##0.0"/>
      <fill>
        <patternFill patternType="solid">
          <fgColor indexed="64"/>
          <bgColor theme="9" tint="0.5999938962981048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right style="medium">
          <color indexed="64"/>
        </right>
      </border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#.##0;[Red]#.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#.##0;[Red]#.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#.##0;[Red]#.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#.##0;[Red]#.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#.##0;[Red]#.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#.##0;[Red]#.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5" formatCode="#,##0.0;[Red]#,##0.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5" formatCode="#,##0.0;[Red]#,##0.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5" formatCode="#,##0.0;[Red]#,##0.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5" formatCode="#,##0.0;[Red]#,##0.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5" formatCode="#,##0.0;[Red]#,##0.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5" formatCode="#,##0.0;[Red]#,##0.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numFmt numFmtId="164" formatCode="#,##0;[Red]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indexed="64"/>
        </right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#,##0.0;[Red]#,##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PORAN%20PENJUALAN%20DAN%20KEUANG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APORAN%20PENJUALAN%20DAN%20KEUANG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ITRA"/>
      <sheetName val="DATA CUSTOMER"/>
      <sheetName val="KATALOG"/>
      <sheetName val="REKAP BAHAN"/>
      <sheetName val="DATA BAHAN MASUK"/>
      <sheetName val="DATA BAHAN KELUAR"/>
      <sheetName val="PRODUK KELUAR"/>
      <sheetName val="REKAP PENJUALAN"/>
      <sheetName val="KOMISI CAMPURAN"/>
      <sheetName val="KAS TOKO"/>
      <sheetName val="KAS PERPUTARAN MODAL"/>
      <sheetName val="REKAP KOMISI"/>
      <sheetName val="REKAP KEUANGAN"/>
      <sheetName val="ASET &amp; PIUTANG"/>
      <sheetName val="OMZET"/>
      <sheetName val="LAPORAN PENJUALAN DAN KEUANGA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ITRA"/>
      <sheetName val="DATA CUSTOMER"/>
      <sheetName val="KATALOG"/>
      <sheetName val="REKAP BAHAN"/>
      <sheetName val="DATA BAHAN MASUK"/>
      <sheetName val="DATA BAHAN KELUAR"/>
      <sheetName val="PRODUK KELUAR"/>
      <sheetName val="REKAP PENJUALAN"/>
      <sheetName val="KOMISI CAMPURAN"/>
      <sheetName val="KAS TOKO"/>
      <sheetName val="KAS PERPUTARAN MODAL"/>
      <sheetName val="REKAP KOMISI"/>
      <sheetName val="REKAP KEUANGAN"/>
      <sheetName val="ASET &amp; PIUTANG"/>
      <sheetName val="OMZ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2" name="TBLZAMBISOSYAM" displayName="TBLZAMBISOSYAM" ref="A2:J22" totalsRowShown="0">
  <autoFilter ref="A2:J22"/>
  <tableColumns count="10">
    <tableColumn id="1" name="NAMA PRODUK" dataDxfId="392"/>
    <tableColumn id="2" name="KODE BAHAN" dataDxfId="391"/>
    <tableColumn id="3" name="NAMA BAHAN" dataDxfId="390"/>
    <tableColumn id="4" name="HARGA KULAK" dataDxfId="389">
      <calculatedColumnFormula>VLOOKUP(TBLZAMBISOSYAM[NAMA BAHAN],[2]!TBLREKAPBAHAN[[NAMA BAHAN]:[MODAL SATUAN]],2,FALSE)</calculatedColumnFormula>
    </tableColumn>
    <tableColumn id="5" name="ISI" dataDxfId="388">
      <calculatedColumnFormula>VLOOKUP(TBLZAMBISOSYAM[NAMA BAHAN],[2]!TBLREKAPBAHAN[[NAMA BAHAN]:[MODAL SATUAN]],3,FALSE)</calculatedColumnFormula>
    </tableColumn>
    <tableColumn id="10" name="SATUAN" dataDxfId="387"/>
    <tableColumn id="6" name="HARGA KULAK SATUAN" dataDxfId="386">
      <calculatedColumnFormula>VLOOKUP(TBLZAMBISOSYAM[NAMA BAHAN],[2]!TBLREKAPBAHAN[[NAMA BAHAN]:[MODAL SATUAN]],4,FALSE)</calculatedColumnFormula>
    </tableColumn>
    <tableColumn id="7" name="MODAL SATUAN" dataDxfId="385">
      <calculatedColumnFormula>VLOOKUP(TBLZAMBISOSYAM[NAMA BAHAN],[2]!TBLREKAPBAHAN[[NAMA BAHAN]:[MODAL SATUAN]],4,FALSE)</calculatedColumnFormula>
    </tableColumn>
    <tableColumn id="8" name="KEB." dataDxfId="384"/>
    <tableColumn id="9" name="JUMLAH MODAL" dataDxfId="383">
      <calculatedColumnFormula>H3*I3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BLZAMBIDAGINGSAPI" displayName="TBLZAMBIDAGINGSAPI" ref="A28:J48" totalsRowShown="0" headerRowDxfId="382" dataDxfId="381" tableBorderDxfId="380">
  <autoFilter ref="A28:J48"/>
  <tableColumns count="10">
    <tableColumn id="1" name="NAMA PRODUK" dataDxfId="379"/>
    <tableColumn id="2" name="KODE BAHAN" dataDxfId="378"/>
    <tableColumn id="3" name="NAMA BAHAN" dataDxfId="377"/>
    <tableColumn id="4" name="HARGA KULAK" dataDxfId="376">
      <calculatedColumnFormula>VLOOKUP(TBLZAMBIDAGINGSAPI[NAMA BAHAN],[2]!TBLREKAPBAHAN[[NAMA BAHAN]:[MODAL SATUAN]],2,FALSE)</calculatedColumnFormula>
    </tableColumn>
    <tableColumn id="5" name="ISI" dataDxfId="375">
      <calculatedColumnFormula>VLOOKUP(TBLZAMBIDAGINGSAPI[NAMA BAHAN],[2]!TBLREKAPBAHAN[[NAMA BAHAN]:[MODAL SATUAN]],3,FALSE)</calculatedColumnFormula>
    </tableColumn>
    <tableColumn id="10" name="SATUAN" dataDxfId="374"/>
    <tableColumn id="6" name="HARGA KULAK SATUAN" dataDxfId="373">
      <calculatedColumnFormula>VLOOKUP(TBLZAMBIDAGINGSAPI[NAMA BAHAN],[2]!TBLREKAPBAHAN[[NAMA BAHAN]:[MODAL SATUAN]],4,FALSE)</calculatedColumnFormula>
    </tableColumn>
    <tableColumn id="7" name="MODAL SATUAN" dataDxfId="372">
      <calculatedColumnFormula>VLOOKUP(TBLZAMBIDAGINGSAPI[NAMA BAHAN],[2]!TBLREKAPBAHAN[[NAMA BAHAN]:[MODAL SATUAN]],4,FALSE)</calculatedColumnFormula>
    </tableColumn>
    <tableColumn id="8" name="KEB." dataDxfId="371"/>
    <tableColumn id="9" name="JUMLAH MODAL" dataDxfId="370">
      <calculatedColumnFormula>H29*I29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BLBURGERNUGGETAYAM" displayName="TBLBURGERNUGGETAYAM" ref="A1:J17" totalsRowShown="0" headerRowDxfId="369" dataDxfId="367" headerRowBorderDxfId="368" tableBorderDxfId="366">
  <autoFilter ref="A1:J17"/>
  <tableColumns count="10">
    <tableColumn id="1" name="NAMA PRODUK" dataDxfId="365"/>
    <tableColumn id="16" name="KODE BAHAN" dataDxfId="364"/>
    <tableColumn id="15" name="NAMA BAHAN" dataDxfId="363"/>
    <tableColumn id="2" name="HARGA KULAK" dataDxfId="362">
      <calculatedColumnFormula>VLOOKUP(TBLBURGERNUGGETAYAM[NAMA BAHAN],[2]!TBLREKAPBAHAN[[NAMA BAHAN]:[MODAL SATUAN]],2,FALSE)</calculatedColumnFormula>
    </tableColumn>
    <tableColumn id="3" name="ISI" dataDxfId="361">
      <calculatedColumnFormula>VLOOKUP(TBLBURGERNUGGETAYAM[NAMA BAHAN],[2]!TBLREKAPBAHAN[[NAMA BAHAN]:[MODAL SATUAN]],3,FALSE)</calculatedColumnFormula>
    </tableColumn>
    <tableColumn id="4" name="SATUAN" dataDxfId="360"/>
    <tableColumn id="5" name="HARGA KULAK SATUAN" dataDxfId="359">
      <calculatedColumnFormula>VLOOKUP(TBLBURGERNUGGETAYAM[NAMA BAHAN],[2]!TBLREKAPBAHAN[[NAMA BAHAN]:[MODAL SATUAN]],4,FALSE)</calculatedColumnFormula>
    </tableColumn>
    <tableColumn id="6" name="MODAL SATUAN" dataDxfId="358">
      <calculatedColumnFormula>VLOOKUP(TBLBURGERNUGGETAYAM[NAMA BAHAN],[2]!TBLREKAPBAHAN[[NAMA BAHAN]:[MODAL SATUAN]],4,FALSE)</calculatedColumnFormula>
    </tableColumn>
    <tableColumn id="7" name="KEB." dataDxfId="357"/>
    <tableColumn id="8" name="JUMLAH MODAL" dataDxfId="356">
      <calculatedColumnFormula>H2*I2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TBLBURGERDAGINGSAPI" displayName="TBLBURGERDAGINGSAPI" ref="L1:W17" totalsRowShown="0" headerRowDxfId="355" dataDxfId="353" headerRowBorderDxfId="354" tableBorderDxfId="352">
  <autoFilter ref="L1:W17"/>
  <tableColumns count="12">
    <tableColumn id="1" name="NAMA PRODUK" dataDxfId="351"/>
    <tableColumn id="16" name="KODE BAHAN" dataDxfId="350"/>
    <tableColumn id="15" name="NAMA BAHAN" dataDxfId="349"/>
    <tableColumn id="2" name="HARGA KULAK" dataDxfId="348">
      <calculatedColumnFormula>VLOOKUP(TBLBURGERDAGINGSAPI[NAMA BAHAN],[2]!TBLREKAPBAHAN[[NAMA BAHAN]:[MODAL SATUAN]],2,FALSE)</calculatedColumnFormula>
    </tableColumn>
    <tableColumn id="3" name="ISI" dataDxfId="347">
      <calculatedColumnFormula>VLOOKUP(TBLBURGERDAGINGSAPI[NAMA BAHAN],[2]!TBLREKAPBAHAN[[NAMA BAHAN]:[MODAL SATUAN]],3,FALSE)</calculatedColumnFormula>
    </tableColumn>
    <tableColumn id="4" name="SATUAN" dataDxfId="346"/>
    <tableColumn id="5" name="HARGA KULAK SATUAN" dataDxfId="345">
      <calculatedColumnFormula>VLOOKUP(TBLBURGERDAGINGSAPI[NAMA BAHAN],[2]!TBLREKAPBAHAN[[NAMA BAHAN]:[MODAL SATUAN]],4,FALSE)</calculatedColumnFormula>
    </tableColumn>
    <tableColumn id="6" name="MODAL SATUAN" dataDxfId="344">
      <calculatedColumnFormula>VLOOKUP(TBLBURGERDAGINGSAPI[NAMA BAHAN],[2]!TBLREKAPBAHAN[[NAMA BAHAN]:[MODAL SATUAN]],4,FALSE)</calculatedColumnFormula>
    </tableColumn>
    <tableColumn id="7" name="SINGLE" dataDxfId="343"/>
    <tableColumn id="8" name="JUMLAH MODAL" dataDxfId="342">
      <calculatedColumnFormula>S2*T2</calculatedColumnFormula>
    </tableColumn>
    <tableColumn id="9" name="DOUBLE" dataDxfId="341"/>
    <tableColumn id="10" name="JUMLAH MODAL2" dataDxfId="340">
      <calculatedColumnFormula>TBLBURGERDAGINGSAPI[[#This Row],[MODAL SATUAN]]*TBLBURGERDAGINGSAPI[[#This Row],[DOUBLE]]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2" name="TBLBURGERDAGINGSAPITANPASAYUR" displayName="TBLBURGERDAGINGSAPITANPASAYUR" ref="Z1:AI17" totalsRowShown="0" headerRowDxfId="339" dataDxfId="337" headerRowBorderDxfId="338" tableBorderDxfId="336">
  <autoFilter ref="Z1:AI17"/>
  <tableColumns count="10">
    <tableColumn id="1" name="NAMA PRODUK" dataDxfId="335"/>
    <tableColumn id="16" name="KODE BAHAN" dataDxfId="334"/>
    <tableColumn id="15" name="NAMA BAHAN" dataDxfId="333"/>
    <tableColumn id="2" name="HARGA KULAK" dataDxfId="332">
      <calculatedColumnFormula>VLOOKUP(TBLBURGERDAGINGSAPITANPASAYUR[NAMA BAHAN],[2]!TBLREKAPBAHAN[[NAMA BAHAN]:[MODAL SATUAN]],2,FALSE)</calculatedColumnFormula>
    </tableColumn>
    <tableColumn id="3" name="ISI" dataDxfId="331">
      <calculatedColumnFormula>VLOOKUP(TBLBURGERDAGINGSAPITANPASAYUR[NAMA BAHAN],[2]!TBLREKAPBAHAN[[NAMA BAHAN]:[MODAL SATUAN]],3,FALSE)</calculatedColumnFormula>
    </tableColumn>
    <tableColumn id="4" name="SATUAN" dataDxfId="330"/>
    <tableColumn id="5" name="HARGA KULAK SATUAN" dataDxfId="329">
      <calculatedColumnFormula>VLOOKUP(TBLBURGERDAGINGSAPITANPASAYUR[NAMA BAHAN],[2]!TBLREKAPBAHAN[[NAMA BAHAN]:[MODAL SATUAN]],4,FALSE)</calculatedColumnFormula>
    </tableColumn>
    <tableColumn id="6" name="MODAL SATUAN" dataDxfId="328">
      <calculatedColumnFormula>VLOOKUP(TBLBURGERDAGINGSAPITANPASAYUR[NAMA BAHAN],[2]!TBLREKAPBAHAN[[NAMA BAHAN]:[MODAL SATUAN]],4,FALSE)</calculatedColumnFormula>
    </tableColumn>
    <tableColumn id="7" name="KEB." dataDxfId="327"/>
    <tableColumn id="8" name="JUMLAH MODAL" dataDxfId="326">
      <calculatedColumnFormula>AG2*AH2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3" name="TBLBURGERNUGGETAYAMTANPASAYUR" displayName="TBLBURGERNUGGETAYAMTANPASAYUR" ref="AK1:AT17" totalsRowShown="0" headerRowDxfId="325" dataDxfId="323" headerRowBorderDxfId="324" tableBorderDxfId="322">
  <autoFilter ref="AK1:AT17"/>
  <tableColumns count="10">
    <tableColumn id="1" name="NAMA PRODUK" dataDxfId="321"/>
    <tableColumn id="16" name="KODE BAHAN" dataDxfId="320"/>
    <tableColumn id="15" name="NAMA BAHAN" dataDxfId="319"/>
    <tableColumn id="2" name="HARGA KULAK" dataDxfId="318">
      <calculatedColumnFormula>VLOOKUP(TBLBURGERNUGGETAYAMTANPASAYUR[NAMA BAHAN],[2]!TBLREKAPBAHAN[[NAMA BAHAN]:[MODAL SATUAN]],2,FALSE)</calculatedColumnFormula>
    </tableColumn>
    <tableColumn id="3" name="ISI" dataDxfId="317">
      <calculatedColumnFormula>VLOOKUP(TBLBURGERNUGGETAYAMTANPASAYUR[NAMA BAHAN],[2]!TBLREKAPBAHAN[[NAMA BAHAN]:[MODAL SATUAN]],3,FALSE)</calculatedColumnFormula>
    </tableColumn>
    <tableColumn id="4" name="SATUAN" dataDxfId="316"/>
    <tableColumn id="5" name="HARGA KULAK SATUAN" dataDxfId="315">
      <calculatedColumnFormula>VLOOKUP(TBLBURGERNUGGETAYAMTANPASAYUR[NAMA BAHAN],[2]!TBLREKAPBAHAN[[NAMA BAHAN]:[MODAL SATUAN]],4,FALSE)</calculatedColumnFormula>
    </tableColumn>
    <tableColumn id="6" name="MODAL SATUAN" dataDxfId="314">
      <calculatedColumnFormula>VLOOKUP(TBLBURGERNUGGETAYAMTANPASAYUR[NAMA BAHAN],[2]!TBLREKAPBAHAN[[NAMA BAHAN]:[MODAL SATUAN]],4,FALSE)</calculatedColumnFormula>
    </tableColumn>
    <tableColumn id="7" name="KEB." dataDxfId="313"/>
    <tableColumn id="8" name="JUMLAH MODAL" dataDxfId="312">
      <calculatedColumnFormula>AR2*AS2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0" name="TBLROCASMEDIUM" displayName="TBLROCASMEDIUM" ref="A1:J14" totalsRowShown="0" headerRowDxfId="311" dataDxfId="309" headerRowBorderDxfId="310" tableBorderDxfId="308">
  <autoFilter ref="A1:J14"/>
  <tableColumns count="10">
    <tableColumn id="1" name="NAMA PRODUK" dataDxfId="307"/>
    <tableColumn id="20" name="KODE BAHAN" dataDxfId="306"/>
    <tableColumn id="19" name="NAMA BAHAN" dataDxfId="305"/>
    <tableColumn id="2" name="HARGA KULAK" dataDxfId="304">
      <calculatedColumnFormula>VLOOKUP(TBLROCASMEDIUM[NAMA BAHAN],[2]!TBLREKAPBAHAN[[NAMA BAHAN]:[MODAL SATUAN]],2,FALSE)</calculatedColumnFormula>
    </tableColumn>
    <tableColumn id="3" name="ISI" dataDxfId="303">
      <calculatedColumnFormula>VLOOKUP(TBLROCASMEDIUM[NAMA BAHAN],[2]!TBLREKAPBAHAN[[NAMA BAHAN]:[MODAL SATUAN]],3,FALSE)</calculatedColumnFormula>
    </tableColumn>
    <tableColumn id="4" name="SATUAN" dataDxfId="302"/>
    <tableColumn id="5" name="HARGA KULAK SATUAN" dataDxfId="301">
      <calculatedColumnFormula>VLOOKUP(TBLROCASMEDIUM[NAMA BAHAN],[2]!TBLREKAPBAHAN[[NAMA BAHAN]:[MODAL SATUAN]],4,FALSE)</calculatedColumnFormula>
    </tableColumn>
    <tableColumn id="6" name="MODAL SATUAN" dataDxfId="300">
      <calculatedColumnFormula>VLOOKUP(TBLROCASMEDIUM[NAMA BAHAN],[2]!TBLREKAPBAHAN[[NAMA BAHAN]:[MODAL SATUAN]],4,FALSE)</calculatedColumnFormula>
    </tableColumn>
    <tableColumn id="11" name="KEB" dataDxfId="299"/>
    <tableColumn id="12" name="JUMLAH MODAL" dataDxfId="298">
      <calculatedColumnFormula>H2*I2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1" name="TBLROCASMEDIUMSAPI" displayName="TBLROCASMEDIUMSAPI" ref="A20:J33" totalsRowShown="0" headerRowDxfId="297" dataDxfId="295" headerRowBorderDxfId="296" tableBorderDxfId="294">
  <autoFilter ref="A20:J33"/>
  <tableColumns count="10">
    <tableColumn id="1" name="NAMA PRODUK" dataDxfId="293"/>
    <tableColumn id="20" name="KODE BAHAN" dataDxfId="292"/>
    <tableColumn id="19" name="NAMA BAHAN" dataDxfId="291"/>
    <tableColumn id="2" name="HARGA KULAK" dataDxfId="290">
      <calculatedColumnFormula>VLOOKUP(TBLROCASMEDIUMSAPI[NAMA BAHAN],[2]!TBLREKAPBAHAN[[NAMA BAHAN]:[MODAL SATUAN]],2,FALSE)</calculatedColumnFormula>
    </tableColumn>
    <tableColumn id="3" name="ISI" dataDxfId="289">
      <calculatedColumnFormula>VLOOKUP(TBLROCASMEDIUMSAPI[NAMA BAHAN],[2]!TBLREKAPBAHAN[[NAMA BAHAN]:[MODAL SATUAN]],3,FALSE)</calculatedColumnFormula>
    </tableColumn>
    <tableColumn id="4" name="SATUAN" dataDxfId="288"/>
    <tableColumn id="5" name="HARGA KULAK SATUAN" dataDxfId="287">
      <calculatedColumnFormula>VLOOKUP(TBLROCASMEDIUMSAPI[NAMA BAHAN],[2]!TBLREKAPBAHAN[[NAMA BAHAN]:[MODAL SATUAN]],4,FALSE)</calculatedColumnFormula>
    </tableColumn>
    <tableColumn id="6" name="MODAL SATUAN" dataDxfId="286">
      <calculatedColumnFormula>VLOOKUP(TBLROCASMEDIUMSAPI[NAMA BAHAN],[2]!TBLREKAPBAHAN[[NAMA BAHAN]:[MODAL SATUAN]],4,FALSE)</calculatedColumnFormula>
    </tableColumn>
    <tableColumn id="13" name="KEB" dataDxfId="285"/>
    <tableColumn id="14" name="JUMLAH MODAL" dataDxfId="284">
      <calculatedColumnFormula>H21*I21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6" name="TBLROYAMORISINGLE" displayName="TBLROYAMORISINGLE" ref="A1:J13" totalsRowShown="0" headerRowDxfId="283" dataDxfId="282" tableBorderDxfId="281">
  <autoFilter ref="A1:J13"/>
  <tableColumns count="10">
    <tableColumn id="1" name="NAMA PRODUK" dataDxfId="280"/>
    <tableColumn id="25" name="KODE BAHAN" dataDxfId="279"/>
    <tableColumn id="24" name="NAMA BAHAN" dataDxfId="278"/>
    <tableColumn id="2" name="HARGA KULAK" dataDxfId="277">
      <calculatedColumnFormula>VLOOKUP(TBLROYAMORISINGLE[NAMA BAHAN],[2]!TBLREKAPBAHAN[[NAMA BAHAN]:[MODAL SATUAN]],2,FALSE)</calculatedColumnFormula>
    </tableColumn>
    <tableColumn id="3" name="ISI" dataDxfId="276">
      <calculatedColumnFormula>VLOOKUP(TBLROYAMORISINGLE[NAMA BAHAN],[2]!TBLREKAPBAHAN[[NAMA BAHAN]:[MODAL SATUAN]],3,FALSE)</calculatedColumnFormula>
    </tableColumn>
    <tableColumn id="4" name="SATUAN" dataDxfId="275"/>
    <tableColumn id="5" name="HARGA KULAK SATUAN" dataDxfId="274">
      <calculatedColumnFormula>VLOOKUP(TBLROYAMORISINGLE[NAMA BAHAN],[2]!TBLREKAPBAHAN[[NAMA BAHAN]:[MODAL SATUAN]],4,FALSE)</calculatedColumnFormula>
    </tableColumn>
    <tableColumn id="6" name="MODAL SATUAN" dataDxfId="273">
      <calculatedColumnFormula>VLOOKUP(TBLROYAMORISINGLE[NAMA BAHAN],[2]!TBLREKAPBAHAN[[NAMA BAHAN]:[MODAL SATUAN]],4,FALSE)</calculatedColumnFormula>
    </tableColumn>
    <tableColumn id="7" name="KEB." dataDxfId="272"/>
    <tableColumn id="8" name="JUMLAH MODAL" dataDxfId="271">
      <calculatedColumnFormula>H2*I2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7" name="TBLROYAMORIKENYANG" displayName="TBLROYAMORIKENYANG" ref="A18:J30" totalsRowShown="0" headerRowDxfId="270" dataDxfId="269" tableBorderDxfId="268">
  <autoFilter ref="A18:J30"/>
  <tableColumns count="10">
    <tableColumn id="1" name="NAMA PRODUK" dataDxfId="267"/>
    <tableColumn id="25" name="KODE BAHAN" dataDxfId="266"/>
    <tableColumn id="24" name="NAMA BAHAN" dataDxfId="265"/>
    <tableColumn id="2" name="HARGA KULAK" dataDxfId="264">
      <calculatedColumnFormula>VLOOKUP(TBLROYAMORIKENYANG[NAMA BAHAN],[2]!TBLREKAPBAHAN[[NAMA BAHAN]:[MODAL SATUAN]],2,FALSE)</calculatedColumnFormula>
    </tableColumn>
    <tableColumn id="3" name="ISI" dataDxfId="263">
      <calculatedColumnFormula>VLOOKUP(TBLROYAMORIKENYANG[NAMA BAHAN],[2]!TBLREKAPBAHAN[[NAMA BAHAN]:[MODAL SATUAN]],3,FALSE)</calculatedColumnFormula>
    </tableColumn>
    <tableColumn id="4" name="SATUAN" dataDxfId="262"/>
    <tableColumn id="5" name="HARGA KULAK SATUAN" dataDxfId="261">
      <calculatedColumnFormula>VLOOKUP(TBLROYAMORIKENYANG[NAMA BAHAN],[2]!TBLREKAPBAHAN[[NAMA BAHAN]:[MODAL SATUAN]],4,FALSE)</calculatedColumnFormula>
    </tableColumn>
    <tableColumn id="6" name="MODAL SATUAN" dataDxfId="260">
      <calculatedColumnFormula>VLOOKUP(TBLROYAMORIKENYANG[NAMA BAHAN],[2]!TBLREKAPBAHAN[[NAMA BAHAN]:[MODAL SATUAN]],4,FALSE)</calculatedColumnFormula>
    </tableColumn>
    <tableColumn id="9" name="KEB.2" dataDxfId="259"/>
    <tableColumn id="10" name="JUMLAH MODAL" dataDxfId="258">
      <calculatedColumnFormula>H19*I19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8" name="TBLROYAMORIDOBEL" displayName="TBLROYAMORIDOBEL" ref="A36:J48" totalsRowShown="0" headerRowDxfId="257" dataDxfId="256" tableBorderDxfId="255">
  <autoFilter ref="A36:J48"/>
  <tableColumns count="10">
    <tableColumn id="1" name="NAMA PRODUK" dataDxfId="254"/>
    <tableColumn id="25" name="KODE BAHAN" dataDxfId="253"/>
    <tableColumn id="24" name="NAMA BAHAN2" dataDxfId="252"/>
    <tableColumn id="2" name="HARGA KULAK" dataDxfId="251"/>
    <tableColumn id="3" name="ISI" dataDxfId="250"/>
    <tableColumn id="4" name="SATUAN" dataDxfId="249"/>
    <tableColumn id="5" name="HARGA KULAK SATUAN" dataDxfId="248">
      <calculatedColumnFormula>D37/E37</calculatedColumnFormula>
    </tableColumn>
    <tableColumn id="6" name="MODAL SATUAN" dataDxfId="247">
      <calculatedColumnFormula>G37</calculatedColumnFormula>
    </tableColumn>
    <tableColumn id="11" name="KEB.3" dataDxfId="246"/>
    <tableColumn id="12" name="JUMLAH MODAL" dataDxfId="245">
      <calculatedColumnFormula>H37*I37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4" name="TBLROYAMCOKLATSINGLE" displayName="TBLROYAMCOKLATSINGLE" ref="P1:Y13" totalsRowShown="0" headerRowDxfId="244" dataDxfId="243" tableBorderDxfId="242">
  <autoFilter ref="P1:Y13"/>
  <tableColumns count="10">
    <tableColumn id="1" name="NAMA PRODUK" dataDxfId="241"/>
    <tableColumn id="25" name="KODE BAHAN" dataDxfId="240"/>
    <tableColumn id="24" name="NAMA BAHAN" dataDxfId="239"/>
    <tableColumn id="2" name="HARGA KULAK" dataDxfId="238">
      <calculatedColumnFormula>VLOOKUP(TBLROYAMCOKLATSINGLE[NAMA BAHAN],[2]!TBLREKAPBAHAN[[NAMA BAHAN]:[MODAL SATUAN]],2,FALSE)</calculatedColumnFormula>
    </tableColumn>
    <tableColumn id="3" name="ISI" dataDxfId="237">
      <calculatedColumnFormula>VLOOKUP(TBLROYAMCOKLATSINGLE[NAMA BAHAN],[2]!TBLREKAPBAHAN[[NAMA BAHAN]:[MODAL SATUAN]],3,FALSE)</calculatedColumnFormula>
    </tableColumn>
    <tableColumn id="4" name="SATUAN" dataDxfId="236"/>
    <tableColumn id="5" name="HARGA KULAK SATUAN" dataDxfId="235">
      <calculatedColumnFormula>VLOOKUP(TBLROYAMCOKLATSINGLE[NAMA BAHAN],[2]!TBLREKAPBAHAN[[NAMA BAHAN]:[MODAL SATUAN]],4,FALSE)</calculatedColumnFormula>
    </tableColumn>
    <tableColumn id="6" name="MODAL SATUAN" dataDxfId="234">
      <calculatedColumnFormula>VLOOKUP(TBLROYAMCOKLATSINGLE[NAMA BAHAN],[2]!TBLREKAPBAHAN[[NAMA BAHAN]:[MODAL SATUAN]],4,FALSE)</calculatedColumnFormula>
    </tableColumn>
    <tableColumn id="17" name="KEB.6" dataDxfId="233"/>
    <tableColumn id="18" name="JUMLAH MODAL" dataDxfId="232">
      <calculatedColumnFormula>V2*X2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5" name="TBLROYAMCOKLATKENYANG" displayName="TBLROYAMCOKLATKENYANG" ref="P18:Y30" totalsRowShown="0" headerRowDxfId="231" dataDxfId="230" tableBorderDxfId="229">
  <autoFilter ref="P18:Y30"/>
  <tableColumns count="10">
    <tableColumn id="1" name="NAMA PRODUK" dataDxfId="228"/>
    <tableColumn id="25" name="KODE BAHAN" dataDxfId="227"/>
    <tableColumn id="24" name="NAMA BAHAN" dataDxfId="226"/>
    <tableColumn id="2" name="HARGA KULAK" dataDxfId="225">
      <calculatedColumnFormula>VLOOKUP(TBLROYAMCOKLATKENYANG[NAMA BAHAN],[2]!TBLREKAPBAHAN[[NAMA BAHAN]:[MODAL SATUAN]],2,FALSE)</calculatedColumnFormula>
    </tableColumn>
    <tableColumn id="3" name="ISI" dataDxfId="224">
      <calculatedColumnFormula>VLOOKUP(TBLROYAMCOKLATKENYANG[NAMA BAHAN],[2]!TBLREKAPBAHAN[[NAMA BAHAN]:[MODAL SATUAN]],3,FALSE)</calculatedColumnFormula>
    </tableColumn>
    <tableColumn id="4" name="SATUAN" dataDxfId="223"/>
    <tableColumn id="5" name="HARGA KULAK SATUAN" dataDxfId="222">
      <calculatedColumnFormula>VLOOKUP(TBLROYAMCOKLATKENYANG[NAMA BAHAN],[2]!TBLREKAPBAHAN[[NAMA BAHAN]:[MODAL SATUAN]],4,FALSE)</calculatedColumnFormula>
    </tableColumn>
    <tableColumn id="6" name="MODAL SATUAN" dataDxfId="221">
      <calculatedColumnFormula>VLOOKUP(TBLROYAMCOKLATKENYANG[NAMA BAHAN],[2]!TBLREKAPBAHAN[[NAMA BAHAN]:[MODAL SATUAN]],4,FALSE)</calculatedColumnFormula>
    </tableColumn>
    <tableColumn id="19" name="KEB.7" dataDxfId="220"/>
    <tableColumn id="20" name="JUMLAH MODAL" dataDxfId="219">
      <calculatedColumnFormula>W19*X19</calculatedColumn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6" name="TBLROYAMCOKLATDOBEL" displayName="TBLROYAMCOKLATDOBEL" ref="P36:Y48" totalsRowShown="0" headerRowDxfId="218" dataDxfId="217" tableBorderDxfId="216">
  <autoFilter ref="P36:Y48"/>
  <tableColumns count="10">
    <tableColumn id="1" name="NAMA PRODUK" dataDxfId="215"/>
    <tableColumn id="25" name="KODE BAHAN" dataDxfId="214"/>
    <tableColumn id="24" name="NAMA BAHAN" dataDxfId="213"/>
    <tableColumn id="2" name="HARGA KULAK" dataDxfId="212">
      <calculatedColumnFormula>VLOOKUP(TBLROYAMCOKLATDOBEL[NAMA BAHAN],[1]!TBLREKAPBAHAN[[NAMA BAHAN]:[MODAL SATUAN]],2,FALSE)</calculatedColumnFormula>
    </tableColumn>
    <tableColumn id="3" name="ISI" dataDxfId="211">
      <calculatedColumnFormula>VLOOKUP(TBLROYAMCOKLATDOBEL[NAMA BAHAN],[1]!TBLREKAPBAHAN[[NAMA BAHAN]:[MODAL SATUAN]],3,FALSE)</calculatedColumnFormula>
    </tableColumn>
    <tableColumn id="4" name="SATUAN" dataDxfId="210"/>
    <tableColumn id="5" name="HARGA KULAK SATUAN" dataDxfId="209">
      <calculatedColumnFormula>VLOOKUP(TBLROYAMCOKLATDOBEL[NAMA BAHAN],[1]!TBLREKAPBAHAN[[NAMA BAHAN]:[MODAL SATUAN]],4,FALSE)</calculatedColumnFormula>
    </tableColumn>
    <tableColumn id="6" name="MODAL SATUAN" dataDxfId="208">
      <calculatedColumnFormula>VLOOKUP(TBLROYAMCOKLATDOBEL[NAMA BAHAN],[1]!TBLREKAPBAHAN[[NAMA BAHAN]:[MODAL SATUAN]],4,FALSE)</calculatedColumnFormula>
    </tableColumn>
    <tableColumn id="21" name="KEB.8" dataDxfId="207"/>
    <tableColumn id="22" name="JUMLAH MODAL" dataDxfId="206">
      <calculatedColumnFormula>W37*X37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4" name="TBLKEBABSOSIZ" displayName="TBLKEBABSOSIZ" ref="A1:N13" totalsRowShown="0" dataDxfId="205" tableBorderDxfId="204">
  <autoFilter ref="A1:N13"/>
  <tableColumns count="14">
    <tableColumn id="1" name="KODE BAHAN" dataDxfId="203"/>
    <tableColumn id="2" name="NAMA BAHAN" dataDxfId="202"/>
    <tableColumn id="3" name="HARGA KULAK" dataDxfId="201">
      <calculatedColumnFormula>VLOOKUP(TBLKEBABSOSIZ[NAMA BAHAN],[2]!TBLREKAPBAHAN[[NAMA BAHAN]:[MODAL SATUAN]],2,FALSE)</calculatedColumnFormula>
    </tableColumn>
    <tableColumn id="4" name="ISI" dataDxfId="200">
      <calculatedColumnFormula>VLOOKUP(TBLKEBABSOSIZ[NAMA BAHAN],[2]!TBLREKAPBAHAN[[NAMA BAHAN]:[MODAL SATUAN]],3,FALSE)</calculatedColumnFormula>
    </tableColumn>
    <tableColumn id="5" name="HARGA KULAK SATUAN" dataDxfId="199">
      <calculatedColumnFormula>VLOOKUP(TBLKEBABSOSIZ[NAMA BAHAN],[2]!TBLREKAPBAHAN[[NAMA BAHAN]:[MODAL SATUAN]],4,FALSE)</calculatedColumnFormula>
    </tableColumn>
    <tableColumn id="6" name="MODAL SATUAN" dataDxfId="198">
      <calculatedColumnFormula>VLOOKUP(TBLKEBABSOSIZ[NAMA BAHAN],[2]!TBLREKAPBAHAN[[NAMA BAHAN]:[MODAL SATUAN]],4,FALSE)</calculatedColumnFormula>
    </tableColumn>
    <tableColumn id="7" name="KEB." dataDxfId="197"/>
    <tableColumn id="8" name="KEBAB SOSIZ KECIL" dataDxfId="196">
      <calculatedColumnFormula>F2*G2</calculatedColumnFormula>
    </tableColumn>
    <tableColumn id="9" name="KEB.2" dataDxfId="195"/>
    <tableColumn id="10" name="KEBAB SOSIZ PEDAS KECIL" dataDxfId="194">
      <calculatedColumnFormula>F2*I2</calculatedColumnFormula>
    </tableColumn>
    <tableColumn id="11" name="KEB.3" dataDxfId="193"/>
    <tableColumn id="12" name="KEBAB SOSIZ TANPA SAYUR" dataDxfId="192">
      <calculatedColumnFormula>F2*K2</calculatedColumnFormula>
    </tableColumn>
    <tableColumn id="13" name="KEB.4" dataDxfId="191"/>
    <tableColumn id="14" name="KEBAB SOSIZ TANPA SAYUR PEDAS" dataDxfId="190">
      <calculatedColumnFormula>F2*M2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5" name="TBLKEBABAYAMMEDIUM" displayName="TBLKEBABAYAMMEDIUM" ref="A1:O13" totalsRowShown="0" headerRowDxfId="189" dataDxfId="188" tableBorderDxfId="187">
  <autoFilter ref="A1:O13"/>
  <tableColumns count="15">
    <tableColumn id="1" name="KODE BAHAN" dataDxfId="186"/>
    <tableColumn id="2" name="NAMA BAHAN" dataDxfId="185"/>
    <tableColumn id="3" name="HARGA KULAK" dataDxfId="184">
      <calculatedColumnFormula>VLOOKUP(TBLKEBABAYAMMEDIUM[NAMA BAHAN],[2]!TBLREKAPBAHAN[[NAMA BAHAN]:[MODAL SATUAN]],2,FALSE)</calculatedColumnFormula>
    </tableColumn>
    <tableColumn id="4" name="ISI" dataDxfId="183">
      <calculatedColumnFormula>VLOOKUP(TBLKEBABAYAMMEDIUM[NAMA BAHAN],[2]!TBLREKAPBAHAN[[NAMA BAHAN]:[MODAL SATUAN]],3,FALSE)</calculatedColumnFormula>
    </tableColumn>
    <tableColumn id="5" name="SATUAN" dataDxfId="182"/>
    <tableColumn id="6" name="HARGA KULAK SATUAN" dataDxfId="181">
      <calculatedColumnFormula>VLOOKUP(TBLKEBABAYAMMEDIUM[NAMA BAHAN],[2]!TBLREKAPBAHAN[[NAMA BAHAN]:[MODAL SATUAN]],4,FALSE)</calculatedColumnFormula>
    </tableColumn>
    <tableColumn id="7" name="MODAL SATUAN" dataDxfId="180">
      <calculatedColumnFormula>VLOOKUP(TBLKEBABAYAMMEDIUM[NAMA BAHAN],[2]!TBLREKAPBAHAN[[NAMA BAHAN]:[MODAL SATUAN]],4,FALSE)</calculatedColumnFormula>
    </tableColumn>
    <tableColumn id="8" name="KEB." dataDxfId="179"/>
    <tableColumn id="9" name="KEBAB AYAM MEDIUM" dataDxfId="178">
      <calculatedColumnFormula>G2*H2</calculatedColumnFormula>
    </tableColumn>
    <tableColumn id="10" name="KEB.2" dataDxfId="177"/>
    <tableColumn id="11" name="KEBAB AYAM MEDIUM (PEDAS)" dataDxfId="176">
      <calculatedColumnFormula>G2*J2</calculatedColumnFormula>
    </tableColumn>
    <tableColumn id="16" name="KEB.5" dataDxfId="175"/>
    <tableColumn id="17" name="KEBAB AYAM MEDIUM TANPA SAYUR" dataDxfId="174">
      <calculatedColumnFormula>G2*L2</calculatedColumnFormula>
    </tableColumn>
    <tableColumn id="18" name="KEB.6" dataDxfId="173"/>
    <tableColumn id="19" name="KEBAB AYAM MEDIUM TANPA SAYUR PEDAS" dataDxfId="172">
      <calculatedColumnFormula>G2*N2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6" name="TBLKEBABAYAMMINI" displayName="TBLKEBABAYAMMINI" ref="A25:O37" totalsRowShown="0" headerRowDxfId="171" dataDxfId="170" tableBorderDxfId="169">
  <autoFilter ref="A25:O37"/>
  <tableColumns count="15">
    <tableColumn id="1" name="KODE BAHAN" dataDxfId="168"/>
    <tableColumn id="2" name="NAMA BAHAN" dataDxfId="167"/>
    <tableColumn id="3" name="HARGA KULAK" dataDxfId="166">
      <calculatedColumnFormula>VLOOKUP(TBLKEBABAYAMMINI[NAMA BAHAN],[2]!TBLREKAPBAHAN[[NAMA BAHAN]:[MODAL SATUAN]],2,FALSE)</calculatedColumnFormula>
    </tableColumn>
    <tableColumn id="4" name="ISI" dataDxfId="165">
      <calculatedColumnFormula>VLOOKUP(TBLKEBABAYAMMINI[NAMA BAHAN],[2]!TBLREKAPBAHAN[[NAMA BAHAN]:[MODAL SATUAN]],3,FALSE)</calculatedColumnFormula>
    </tableColumn>
    <tableColumn id="5" name="SATUAN" dataDxfId="164"/>
    <tableColumn id="6" name="HARGA KULAK SATUAN" dataDxfId="163">
      <calculatedColumnFormula>VLOOKUP(TBLKEBABAYAMMINI[NAMA BAHAN],[2]!TBLREKAPBAHAN[[NAMA BAHAN]:[MODAL SATUAN]],4,FALSE)</calculatedColumnFormula>
    </tableColumn>
    <tableColumn id="7" name="MODAL SATUAN" dataDxfId="162">
      <calculatedColumnFormula>VLOOKUP(TBLKEBABAYAMMINI[NAMA BAHAN],[2]!TBLREKAPBAHAN[[NAMA BAHAN]:[MODAL SATUAN]],4,FALSE)</calculatedColumnFormula>
    </tableColumn>
    <tableColumn id="8" name="KEB." dataDxfId="161"/>
    <tableColumn id="9" name="KEBAB AYAM MINI" dataDxfId="160">
      <calculatedColumnFormula>G26*H26</calculatedColumnFormula>
    </tableColumn>
    <tableColumn id="10" name="KEB.2" dataDxfId="159"/>
    <tableColumn id="11" name="KEBAB AYAM MINI (PEDAS)" dataDxfId="158">
      <calculatedColumnFormula>G26*J26</calculatedColumnFormula>
    </tableColumn>
    <tableColumn id="16" name="KEB.5" dataDxfId="157"/>
    <tableColumn id="17" name="KEBAB AYAM MINI TANPA SAYUR" dataDxfId="156">
      <calculatedColumnFormula>G26*L26</calculatedColumnFormula>
    </tableColumn>
    <tableColumn id="18" name="KEB.6" dataDxfId="155"/>
    <tableColumn id="19" name="KEBAB AYAM MINI TANPA SAYUR PEDAS" dataDxfId="154">
      <calculatedColumnFormula>G26*N26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7" name="TBLKEBABSOSYAMKECIL" displayName="TBLKEBABSOSYAMKECIL" ref="A1:O14" totalsRowShown="0" dataDxfId="153" tableBorderDxfId="152">
  <autoFilter ref="A1:O14"/>
  <tableColumns count="15">
    <tableColumn id="1" name="KODE BAHAN" dataDxfId="151"/>
    <tableColumn id="2" name="NAMA BAHAN" dataDxfId="150"/>
    <tableColumn id="3" name="HARGA KULAK" dataDxfId="149">
      <calculatedColumnFormula>VLOOKUP(TBLKEBABSOSYAMKECIL[NAMA BAHAN],[2]!TBLREKAPBAHAN[[NAMA BAHAN]:[MODAL SATUAN]],2,FALSE)</calculatedColumnFormula>
    </tableColumn>
    <tableColumn id="4" name="ISI" dataDxfId="148">
      <calculatedColumnFormula>VLOOKUP(TBLKEBABSOSYAMKECIL[NAMA BAHAN],[2]!TBLREKAPBAHAN[[NAMA BAHAN]:[MODAL SATUAN]],3,FALSE)</calculatedColumnFormula>
    </tableColumn>
    <tableColumn id="5" name="SATUAN" dataDxfId="147"/>
    <tableColumn id="6" name="HARGA KULAK SATUAN" dataDxfId="146">
      <calculatedColumnFormula>VLOOKUP(TBLKEBABSOSYAMKECIL[NAMA BAHAN],[2]!TBLREKAPBAHAN[[NAMA BAHAN]:[MODAL SATUAN]],4,FALSE)</calculatedColumnFormula>
    </tableColumn>
    <tableColumn id="7" name="MODAL SATUAN" dataDxfId="145">
      <calculatedColumnFormula>VLOOKUP(TBLKEBABSOSYAMKECIL[NAMA BAHAN],[2]!TBLREKAPBAHAN[[NAMA BAHAN]:[MODAL SATUAN]],4,FALSE)</calculatedColumnFormula>
    </tableColumn>
    <tableColumn id="8" name="KEB." dataDxfId="144"/>
    <tableColumn id="9" name="KEBAB AYAM + SOSIZ" dataDxfId="143">
      <calculatedColumnFormula>G2*H2</calculatedColumnFormula>
    </tableColumn>
    <tableColumn id="10" name="KEB.2" dataDxfId="142"/>
    <tableColumn id="11" name="KEBAB AYAM + SOSIZ (PEDAS)" dataDxfId="141">
      <calculatedColumnFormula>G2*J2</calculatedColumnFormula>
    </tableColumn>
    <tableColumn id="12" name="KEB.3" dataDxfId="140"/>
    <tableColumn id="13" name="KEBAB AYAM + SOSIZ TANPA SAYUR (AYAM EKSTRA)" dataDxfId="139">
      <calculatedColumnFormula>G2*L2</calculatedColumnFormula>
    </tableColumn>
    <tableColumn id="14" name="KEB.4" dataDxfId="138"/>
    <tableColumn id="15" name="KEBAB AYAM + SOSIZ TANPA SAYUR (SOSIZ EKSTRA)" dataDxfId="137">
      <calculatedColumnFormula>G2*N2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8" name="TBLKEBABSOSYAMMEDIUM" displayName="TBLKEBABSOSYAMMEDIUM" ref="A1:O14" totalsRowShown="0" dataDxfId="136" tableBorderDxfId="135">
  <autoFilter ref="A1:O14"/>
  <tableColumns count="15">
    <tableColumn id="1" name="KODE BAHAN" dataDxfId="134"/>
    <tableColumn id="2" name="NAMA BAHAN" dataDxfId="133"/>
    <tableColumn id="3" name="HARGA KULAK" dataDxfId="132">
      <calculatedColumnFormula>VLOOKUP(TBLKEBABSOSYAMMEDIUM[NAMA BAHAN],[2]!TBLREKAPBAHAN[[NAMA BAHAN]:[MODAL SATUAN]],2,FALSE)</calculatedColumnFormula>
    </tableColumn>
    <tableColumn id="4" name="ISI" dataDxfId="131">
      <calculatedColumnFormula>VLOOKUP(TBLKEBABSOSYAMMEDIUM[NAMA BAHAN],[2]!TBLREKAPBAHAN[[NAMA BAHAN]:[MODAL SATUAN]],3,FALSE)</calculatedColumnFormula>
    </tableColumn>
    <tableColumn id="5" name="SATUAN" dataDxfId="130"/>
    <tableColumn id="6" name="HARGA KULAK SATUAN" dataDxfId="129">
      <calculatedColumnFormula>VLOOKUP(TBLKEBABSOSYAMMEDIUM[NAMA BAHAN],[2]!TBLREKAPBAHAN[[NAMA BAHAN]:[MODAL SATUAN]],4,FALSE)</calculatedColumnFormula>
    </tableColumn>
    <tableColumn id="7" name="MODAL SATUAN" dataDxfId="128">
      <calculatedColumnFormula>VLOOKUP(TBLKEBABSOSYAMMEDIUM[NAMA BAHAN],[2]!TBLREKAPBAHAN[[NAMA BAHAN]:[MODAL SATUAN]],4,FALSE)</calculatedColumnFormula>
    </tableColumn>
    <tableColumn id="8" name="KEB." dataDxfId="127"/>
    <tableColumn id="9" name="KEBAB AYAM + SOSIZ" dataDxfId="126">
      <calculatedColumnFormula>G2*H2</calculatedColumnFormula>
    </tableColumn>
    <tableColumn id="10" name="KEB.2" dataDxfId="125"/>
    <tableColumn id="11" name="KEBAB AYAM + SOSIZ (PEDAS)" dataDxfId="124">
      <calculatedColumnFormula>G2*J2</calculatedColumnFormula>
    </tableColumn>
    <tableColumn id="16" name="KEB.5" dataDxfId="123"/>
    <tableColumn id="17" name="KEBAB AYAM + SOSIZ TANPA SAYUR (AYAM EKSTRA)" dataDxfId="122">
      <calculatedColumnFormula>G2*L2</calculatedColumnFormula>
    </tableColumn>
    <tableColumn id="18" name="KEB.6" dataDxfId="121"/>
    <tableColumn id="19" name="KEBAB AYAM + SOSIZ TANPA SAYUR (SOSIZ EKSTRA)" dataDxfId="120">
      <calculatedColumnFormula>G2*N2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10" name="TBLPIZZAYES" displayName="TBLPIZZAYES" ref="A1:R29" totalsRowShown="0" headerRowDxfId="119" dataDxfId="118" tableBorderDxfId="117">
  <autoFilter ref="A1:R29"/>
  <tableColumns count="18">
    <tableColumn id="1" name="KODE BAHAN" dataDxfId="116"/>
    <tableColumn id="22" name="NAMA BAHAN" dataDxfId="115"/>
    <tableColumn id="2" name="HARGA KULAK" dataDxfId="114">
      <calculatedColumnFormula>VLOOKUP(TBLPIZZAYES[NAMA BAHAN],[2]!TBLREKAPBAHAN[[NAMA BAHAN]:[MODAL SATUAN]],2,FALSE)</calculatedColumnFormula>
    </tableColumn>
    <tableColumn id="3" name="ISI" dataDxfId="113">
      <calculatedColumnFormula>VLOOKUP(TBLPIZZAYES[NAMA BAHAN],[2]!TBLREKAPBAHAN[[NAMA BAHAN]:[MODAL SATUAN]],3,FALSE)</calculatedColumnFormula>
    </tableColumn>
    <tableColumn id="4" name="HARGA KULAK SATUAN" dataDxfId="112">
      <calculatedColumnFormula>VLOOKUP(TBLPIZZAYES[NAMA BAHAN],[2]!TBLREKAPBAHAN[[NAMA BAHAN]:[MODAL SATUAN]],4,FALSE)</calculatedColumnFormula>
    </tableColumn>
    <tableColumn id="5" name="MODAL SATUAN" dataDxfId="111">
      <calculatedColumnFormula>VLOOKUP(TBLPIZZAYES[NAMA BAHAN],[2]!TBLREKAPBAHAN[[NAMA BAHAN]:[MODAL SATUAN]],4,FALSE)</calculatedColumnFormula>
    </tableColumn>
    <tableColumn id="6" name="KEB." dataDxfId="110"/>
    <tableColumn id="7" name="PIZZA YES 17 CM FULL SOSIZ+MOZZA" dataDxfId="109">
      <calculatedColumnFormula>F2*G2</calculatedColumnFormula>
    </tableColumn>
    <tableColumn id="8" name="KEB.2" dataDxfId="108"/>
    <tableColumn id="9" name="PIZZA YES 17 CM SOSIS + AYAM" dataDxfId="107">
      <calculatedColumnFormula>F2*I2</calculatedColumnFormula>
    </tableColumn>
    <tableColumn id="10" name="KEB.3" dataDxfId="106"/>
    <tableColumn id="11" name="PIZZA YES 17 CM SOSIS  + ABON" dataDxfId="105">
      <calculatedColumnFormula>F2*K2</calculatedColumnFormula>
    </tableColumn>
    <tableColumn id="12" name="KEB.4" dataDxfId="104"/>
    <tableColumn id="13" name="PIZZA YES 17 CM JAGUNG + AYAM" dataDxfId="103">
      <calculatedColumnFormula>F2*M2</calculatedColumnFormula>
    </tableColumn>
    <tableColumn id="14" name="KEB.5" dataDxfId="102"/>
    <tableColumn id="15" name="PIZZA YES 17 CM AYAM + JAMUR" dataDxfId="101">
      <calculatedColumnFormula>F2*O2</calculatedColumnFormula>
    </tableColumn>
    <tableColumn id="20" name="KEB.6" dataDxfId="100"/>
    <tableColumn id="21" name="PIZZA YES 17 CM MEAT LOVERS" dataDxfId="99">
      <calculatedColumnFormula>F2*Q2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9" name="TBLPIZZAYUHU" displayName="TBLPIZZAYUHU" ref="A1:R30" totalsRowShown="0" headerRowDxfId="98" dataDxfId="97" tableBorderDxfId="96">
  <autoFilter ref="A1:R30"/>
  <tableColumns count="18">
    <tableColumn id="1" name="KODE BAHAN" dataDxfId="95"/>
    <tableColumn id="20" name="NAMA BAHAN" dataDxfId="94"/>
    <tableColumn id="2" name="HARGA KULAK" dataDxfId="93">
      <calculatedColumnFormula>VLOOKUP(TBLPIZZAYUHU[NAMA BAHAN],[2]!TBLREKAPBAHAN[[NAMA BAHAN]:[MODAL SATUAN]],2,FALSE)</calculatedColumnFormula>
    </tableColumn>
    <tableColumn id="3" name="ISI" dataDxfId="92">
      <calculatedColumnFormula>VLOOKUP(TBLPIZZAYUHU[NAMA BAHAN],[2]!TBLREKAPBAHAN[[NAMA BAHAN]:[MODAL SATUAN]],3,FALSE)</calculatedColumnFormula>
    </tableColumn>
    <tableColumn id="4" name="HARGA KULAK SATUAN" dataDxfId="91">
      <calculatedColumnFormula>VLOOKUP(TBLPIZZAYUHU[NAMA BAHAN],[2]!TBLREKAPBAHAN[[NAMA BAHAN]:[MODAL SATUAN]],4,FALSE)</calculatedColumnFormula>
    </tableColumn>
    <tableColumn id="5" name="MODAL SATUAN" dataDxfId="90">
      <calculatedColumnFormula>VLOOKUP(TBLPIZZAYUHU[NAMA BAHAN],[2]!TBLREKAPBAHAN[[NAMA BAHAN]:[MODAL SATUAN]],4,FALSE)</calculatedColumnFormula>
    </tableColumn>
    <tableColumn id="6" name="KEB." dataDxfId="89"/>
    <tableColumn id="7" name="PIZZA YUHU 21 CM FULL SOSIZ+MOZZA" dataDxfId="88">
      <calculatedColumnFormula>F2*G2</calculatedColumnFormula>
    </tableColumn>
    <tableColumn id="8" name="KEB.2" dataDxfId="87"/>
    <tableColumn id="9" name="PIZZA YUHU 21 CM SOSIS + AYAM" dataDxfId="86">
      <calculatedColumnFormula>F2*I2</calculatedColumnFormula>
    </tableColumn>
    <tableColumn id="10" name="KEB.3" dataDxfId="85"/>
    <tableColumn id="11" name="PIZZA YUHU 21 CM SOSIS + ABON" dataDxfId="84">
      <calculatedColumnFormula>F2*K2</calculatedColumnFormula>
    </tableColumn>
    <tableColumn id="12" name="KEB.4" dataDxfId="83"/>
    <tableColumn id="13" name="PIZZA YUHU 21 CM JAGUNG + AYAM" dataDxfId="82">
      <calculatedColumnFormula>F2*M2</calculatedColumnFormula>
    </tableColumn>
    <tableColumn id="18" name="KEB.5" dataDxfId="81"/>
    <tableColumn id="19" name="PIZZA YUHU 21 CM AYAM + JAMUR" dataDxfId="80">
      <calculatedColumnFormula>F2*O2</calculatedColumnFormula>
    </tableColumn>
    <tableColumn id="21" name="KEB.6" dataDxfId="79"/>
    <tableColumn id="22" name="PIZZA YUHU 21 CM MEAT LOVERS" dataDxfId="78">
      <calculatedColumnFormula>TBLPIZZAYUHU[[#This Row],[MODAL SATUAN]]*TBLPIZZAYUHU[[#This Row],[KEB.6]]</calculatedColumnFormula>
    </tableColumn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id="19" name="TBLPIZZASIP" displayName="TBLPIZZASIP" ref="A1:R30" totalsRowShown="0" headerRowDxfId="77" dataDxfId="76" tableBorderDxfId="75">
  <autoFilter ref="A1:R30"/>
  <tableColumns count="18">
    <tableColumn id="1" name="KODE BAHAN" dataDxfId="74"/>
    <tableColumn id="22" name="NAMA BAHAN" dataDxfId="73"/>
    <tableColumn id="2" name="HARGA KULAK" dataDxfId="72">
      <calculatedColumnFormula>VLOOKUP(TBLPIZZASIP[NAMA BAHAN],[2]!TBLREKAPBAHAN[[NAMA BAHAN]:[MODAL SATUAN]],2,FALSE)</calculatedColumnFormula>
    </tableColumn>
    <tableColumn id="3" name="ISI" dataDxfId="71">
      <calculatedColumnFormula>VLOOKUP(TBLPIZZASIP[NAMA BAHAN],[2]!TBLREKAPBAHAN[[NAMA BAHAN]:[MODAL SATUAN]],3,FALSE)</calculatedColumnFormula>
    </tableColumn>
    <tableColumn id="4" name="HARGA KULAK SATUAN" dataDxfId="70">
      <calculatedColumnFormula>VLOOKUP(TBLPIZZASIP[NAMA BAHAN],[2]!TBLREKAPBAHAN[[NAMA BAHAN]:[MODAL SATUAN]],4,FALSE)</calculatedColumnFormula>
    </tableColumn>
    <tableColumn id="5" name="MODAL SATUAN" dataDxfId="69">
      <calculatedColumnFormula>VLOOKUP(TBLPIZZASIP[NAMA BAHAN],[2]!TBLREKAPBAHAN[[NAMA BAHAN]:[MODAL SATUAN]],4,FALSE)</calculatedColumnFormula>
    </tableColumn>
    <tableColumn id="6" name="KEB." dataDxfId="68"/>
    <tableColumn id="7" name="PIZZA SIP 25CM SOSIZ + MOZZARELLA" dataDxfId="67">
      <calculatedColumnFormula>F2*G2</calculatedColumnFormula>
    </tableColumn>
    <tableColumn id="8" name="KEB.2" dataDxfId="66"/>
    <tableColumn id="9" name="PIZZA SIP 25CM SOSIZ + AYAM" dataDxfId="65">
      <calculatedColumnFormula>F2*I2</calculatedColumnFormula>
    </tableColumn>
    <tableColumn id="10" name="KEB.3" dataDxfId="64"/>
    <tableColumn id="11" name="PIZZA SIP 25CM AYAM + JAMUR" dataDxfId="63">
      <calculatedColumnFormula>F2*K2</calculatedColumnFormula>
    </tableColumn>
    <tableColumn id="12" name="KEB.4" dataDxfId="62"/>
    <tableColumn id="13" name="PIZZA SIP 25CM SOSIZ + ABON" dataDxfId="61">
      <calculatedColumnFormula>F2*M2</calculatedColumnFormula>
    </tableColumn>
    <tableColumn id="16" name="KEB.5" dataDxfId="60"/>
    <tableColumn id="17" name="PIZZA SIP 25CM AYAM + JAGUNG" dataDxfId="59">
      <calculatedColumnFormula>F2*O2</calculatedColumnFormula>
    </tableColumn>
    <tableColumn id="20" name="KEB.6" dataDxfId="58"/>
    <tableColumn id="21" name="PIZZA SIP 25CM MEAT LOVERS" dataDxfId="57">
      <calculatedColumnFormula>TBLPIZZASIP[[#This Row],[MODAL SATUAN]]*TBLPIZZASIP[[#This Row],[KEB.6]]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2" name="TBLYESKOREA" displayName="TBLYESKOREA" ref="A1:L29" totalsRowShown="0" headerRowDxfId="56" dataDxfId="55">
  <autoFilter ref="A1:L29"/>
  <tableColumns count="12">
    <tableColumn id="1" name="KODE BAHAN" dataDxfId="54"/>
    <tableColumn id="12" name="NAMA BAHAN" dataDxfId="53"/>
    <tableColumn id="2" name="HARGA KULAK" dataDxfId="52">
      <calculatedColumnFormula>VLOOKUP(TBLYESKOREA[NAMA BAHAN],[2]!TBLREKAPBAHAN[[NAMA BAHAN]:[MODAL SATUAN]],2,FALSE)</calculatedColumnFormula>
    </tableColumn>
    <tableColumn id="3" name="ISI" dataDxfId="51">
      <calculatedColumnFormula>VLOOKUP(TBLYESKOREA[NAMA BAHAN],[2]!TBLREKAPBAHAN[[NAMA BAHAN]:[MODAL SATUAN]],3,FALSE)</calculatedColumnFormula>
    </tableColumn>
    <tableColumn id="4" name="HARGA KULAK SATUAN" dataDxfId="50">
      <calculatedColumnFormula>VLOOKUP(TBLYESKOREA[NAMA BAHAN],[2]!TBLREKAPBAHAN[[NAMA BAHAN]:[MODAL SATUAN]],4,FALSE)</calculatedColumnFormula>
    </tableColumn>
    <tableColumn id="5" name="MODAL SATUAN" dataDxfId="49">
      <calculatedColumnFormula>VLOOKUP(TBLYESKOREA[NAMA BAHAN],[2]!TBLREKAPBAHAN[[NAMA BAHAN]:[MODAL SATUAN]],4,FALSE)</calculatedColumnFormula>
    </tableColumn>
    <tableColumn id="6" name="KEB." dataDxfId="48"/>
    <tableColumn id="7" name="PIZZA YES 18 CM TOP KOREA DASARAN JAGUNG+MOZZA" dataDxfId="47">
      <calculatedColumnFormula>F2*G2</calculatedColumnFormula>
    </tableColumn>
    <tableColumn id="8" name="KEB.2" dataDxfId="46"/>
    <tableColumn id="9" name="PIZZA YES 18 CM TOP KOREA DASARAN AYAM+MOZZA" dataDxfId="45">
      <calculatedColumnFormula>F2*I2</calculatedColumnFormula>
    </tableColumn>
    <tableColumn id="10" name="KEB.3" dataDxfId="44"/>
    <tableColumn id="11" name="PIZZA YES 18 CM TOPPING KOREA TABUR" dataDxfId="43">
      <calculatedColumnFormula>F2*K2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3" name="TBLYUHUKOREA" displayName="TBLYUHUKOREA" ref="A1:L29" totalsRowShown="0" headerRowDxfId="42" dataDxfId="41">
  <autoFilter ref="A1:L29"/>
  <tableColumns count="12">
    <tableColumn id="1" name="KODE BAHAN" dataDxfId="40"/>
    <tableColumn id="12" name="NAMA BAHAN" dataDxfId="39"/>
    <tableColumn id="2" name="HARGA KULAK" dataDxfId="38">
      <calculatedColumnFormula>VLOOKUP(TBLYUHUKOREA[NAMA BAHAN],[2]!TBLREKAPBAHAN[[NAMA BAHAN]:[MODAL SATUAN]],2,FALSE)</calculatedColumnFormula>
    </tableColumn>
    <tableColumn id="3" name="ISI" dataDxfId="37">
      <calculatedColumnFormula>VLOOKUP(TBLYUHUKOREA[NAMA BAHAN],[2]!TBLREKAPBAHAN[[NAMA BAHAN]:[MODAL SATUAN]],3,FALSE)</calculatedColumnFormula>
    </tableColumn>
    <tableColumn id="4" name="HARGA KULAK SATUAN" dataDxfId="36">
      <calculatedColumnFormula>VLOOKUP(TBLYUHUKOREA[NAMA BAHAN],[2]!TBLREKAPBAHAN[[NAMA BAHAN]:[MODAL SATUAN]],4,FALSE)</calculatedColumnFormula>
    </tableColumn>
    <tableColumn id="5" name="MODAL SATUAN" dataDxfId="35">
      <calculatedColumnFormula>VLOOKUP(TBLYUHUKOREA[NAMA BAHAN],[2]!TBLREKAPBAHAN[[NAMA BAHAN]:[MODAL SATUAN]],4,FALSE)</calculatedColumnFormula>
    </tableColumn>
    <tableColumn id="6" name="KEB." dataDxfId="34"/>
    <tableColumn id="7" name="PIZZA YUHU 21 CM TOP KOREA DASARAN JAGUNG+MOZZA" dataDxfId="33">
      <calculatedColumnFormula>F2*G2</calculatedColumnFormula>
    </tableColumn>
    <tableColumn id="8" name="KEB.2" dataDxfId="32"/>
    <tableColumn id="9" name="PIZZA YUHU 21 CM TOP KOREA DASARAN AYAM+MOZZA" dataDxfId="31">
      <calculatedColumnFormula>F2*I2</calculatedColumnFormula>
    </tableColumn>
    <tableColumn id="10" name="KEB.3" dataDxfId="30"/>
    <tableColumn id="11" name="PIZZA YUHU 21 CM TOP KOREA TABUR" dataDxfId="29">
      <calculatedColumnFormula>F2*K2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4" name="TBLSIPKOREA" displayName="TBLSIPKOREA" ref="A1:L29" totalsRowShown="0" headerRowDxfId="28" dataDxfId="27">
  <autoFilter ref="A1:L29"/>
  <tableColumns count="12">
    <tableColumn id="1" name="KODE BAHAN" dataDxfId="26"/>
    <tableColumn id="12" name="NAMA BAHAN" dataDxfId="25"/>
    <tableColumn id="2" name="HARGA KULAK" dataDxfId="24">
      <calculatedColumnFormula>VLOOKUP(TBLSIPKOREA[NAMA BAHAN],[2]!TBLREKAPBAHAN[[NAMA BAHAN]:[MODAL SATUAN]],2,FALSE)</calculatedColumnFormula>
    </tableColumn>
    <tableColumn id="3" name="ISI" dataDxfId="23">
      <calculatedColumnFormula>VLOOKUP(TBLSIPKOREA[NAMA BAHAN],[2]!TBLREKAPBAHAN[[NAMA BAHAN]:[MODAL SATUAN]],3,FALSE)</calculatedColumnFormula>
    </tableColumn>
    <tableColumn id="4" name="HARGA KULAK SATUAN" dataDxfId="22">
      <calculatedColumnFormula>VLOOKUP(TBLSIPKOREA[NAMA BAHAN],[2]!TBLREKAPBAHAN[[NAMA BAHAN]:[MODAL SATUAN]],4,FALSE)</calculatedColumnFormula>
    </tableColumn>
    <tableColumn id="5" name="MODAL SATUAN" dataDxfId="21">
      <calculatedColumnFormula>VLOOKUP(TBLSIPKOREA[NAMA BAHAN],[2]!TBLREKAPBAHAN[[NAMA BAHAN]:[MODAL SATUAN]],4,FALSE)</calculatedColumnFormula>
    </tableColumn>
    <tableColumn id="6" name="KEB." dataDxfId="20"/>
    <tableColumn id="7" name="PIZZA SIP 25 CM TOP KOREA DASARAN JAGUNG+MOZZA" dataDxfId="19">
      <calculatedColumnFormula>F2*G2</calculatedColumnFormula>
    </tableColumn>
    <tableColumn id="8" name="KEB.2" dataDxfId="18"/>
    <tableColumn id="9" name="PIZZA SIP 25 CM TOP KOREA DASARAN AYAM+MOZZA" dataDxfId="17">
      <calculatedColumnFormula>F2*I2</calculatedColumnFormula>
    </tableColumn>
    <tableColumn id="10" name="KEB.3" dataDxfId="16"/>
    <tableColumn id="11" name="PIZZA SIP 25 CM TOP KOREA TABUR" dataDxfId="15">
      <calculatedColumnFormula>F2*K2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7" name="TBLPIZZAKULITKEBAB" displayName="TBLPIZZAKULITKEBAB" ref="A1:H23" totalsRowShown="0" headerRowDxfId="14" dataDxfId="13">
  <autoFilter ref="A1:H23"/>
  <tableColumns count="8">
    <tableColumn id="1" name="KODE BAHAN" dataDxfId="12"/>
    <tableColumn id="12" name="NAMA BAHAN" dataDxfId="11"/>
    <tableColumn id="2" name="HARGA KULAK" dataDxfId="10">
      <calculatedColumnFormula>VLOOKUP(TBLPIZZAKULITKEBAB[NAMA BAHAN],[2]!TBLREKAPBAHAN[[NAMA BAHAN]:[MODAL SATUAN]],2,FALSE)</calculatedColumnFormula>
    </tableColumn>
    <tableColumn id="3" name="ISI" dataDxfId="9">
      <calculatedColumnFormula>VLOOKUP(TBLPIZZAKULITKEBAB[NAMA BAHAN],[2]!TBLREKAPBAHAN[[NAMA BAHAN]:[MODAL SATUAN]],3,FALSE)</calculatedColumnFormula>
    </tableColumn>
    <tableColumn id="4" name="HARGA KULAK SATUAN" dataDxfId="8">
      <calculatedColumnFormula>VLOOKUP(TBLPIZZAKULITKEBAB[NAMA BAHAN],[2]!TBLREKAPBAHAN[[NAMA BAHAN]:[MODAL SATUAN]],4,FALSE)</calculatedColumnFormula>
    </tableColumn>
    <tableColumn id="5" name="MODAL SATUAN" dataDxfId="7">
      <calculatedColumnFormula>VLOOKUP(TBLPIZZAKULITKEBAB[NAMA BAHAN],[2]!TBLREKAPBAHAN[[NAMA BAHAN]:[MODAL SATUAN]],4,FALSE)</calculatedColumnFormula>
    </tableColumn>
    <tableColumn id="6" name="KEB." dataDxfId="6"/>
    <tableColumn id="7" name="PIZZA SIP 25 CM TOP KOREA DASARAN JAGUNG+MOZZA" dataDxfId="5">
      <calculatedColumnFormula>F2*G2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1" name="TBLMODAL" displayName="TBLMODAL" ref="A4:C69" totalsRowShown="0" headerRowDxfId="4" dataDxfId="3">
  <autoFilter ref="A4:C69"/>
  <sortState ref="A5:C69">
    <sortCondition ref="A5:A69"/>
  </sortState>
  <tableColumns count="3">
    <tableColumn id="2" name="NAMA MENU" dataDxfId="2"/>
    <tableColumn id="3" name="MODAL KEMBALI KE PERUSAHAAN PRODUK OFF LINE" dataDxfId="1"/>
    <tableColumn id="4" name="MODAL KEMBALI KE PERUSAHAAN PRODUK GOBIZ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9"/>
  <sheetViews>
    <sheetView zoomScale="90" zoomScaleNormal="90" workbookViewId="0">
      <pane xSplit="3" ySplit="1" topLeftCell="D27" activePane="bottomRight" state="frozen"/>
      <selection pane="topRight" activeCell="C1" sqref="C1"/>
      <selection pane="bottomLeft" activeCell="A2" sqref="A2"/>
      <selection pane="bottomRight" activeCell="G30" sqref="G30"/>
    </sheetView>
  </sheetViews>
  <sheetFormatPr defaultRowHeight="15" x14ac:dyDescent="0.25"/>
  <cols>
    <col min="1" max="1" width="38.5703125" style="9" customWidth="1"/>
    <col min="2" max="2" width="14.7109375" style="34" customWidth="1"/>
    <col min="3" max="3" width="28.140625" style="35" customWidth="1"/>
    <col min="4" max="4" width="15.7109375" style="3" customWidth="1"/>
    <col min="5" max="6" width="12.42578125" style="3" customWidth="1"/>
    <col min="7" max="7" width="12.85546875" style="3" customWidth="1"/>
    <col min="8" max="8" width="17.42578125" style="3" customWidth="1"/>
    <col min="9" max="9" width="7.7109375" style="18" customWidth="1"/>
    <col min="10" max="10" width="17.42578125" style="1" customWidth="1"/>
    <col min="11" max="12" width="9.140625" style="9"/>
    <col min="13" max="13" width="9.140625" style="9" customWidth="1"/>
    <col min="14" max="16384" width="9.140625" style="9"/>
  </cols>
  <sheetData>
    <row r="2" spans="1:10" ht="60" customHeight="1" x14ac:dyDescent="0.25">
      <c r="A2" s="19" t="s">
        <v>144</v>
      </c>
      <c r="B2" s="19" t="s">
        <v>90</v>
      </c>
      <c r="C2" s="20" t="s">
        <v>0</v>
      </c>
      <c r="D2" s="21" t="s">
        <v>4</v>
      </c>
      <c r="E2" s="21" t="s">
        <v>3</v>
      </c>
      <c r="F2" s="21" t="s">
        <v>19</v>
      </c>
      <c r="G2" s="22" t="s">
        <v>1</v>
      </c>
      <c r="H2" s="22" t="s">
        <v>2</v>
      </c>
      <c r="I2" s="23" t="s">
        <v>5</v>
      </c>
      <c r="J2" s="22" t="s">
        <v>145</v>
      </c>
    </row>
    <row r="3" spans="1:10" ht="14.25" customHeight="1" x14ac:dyDescent="0.25">
      <c r="A3" s="10" t="s">
        <v>140</v>
      </c>
      <c r="B3" s="10">
        <v>1</v>
      </c>
      <c r="C3" s="24" t="s">
        <v>71</v>
      </c>
      <c r="D3" s="25">
        <f>VLOOKUP(TBLZAMBISOSYAM[NAMA BAHAN],[2]!TBLREKAPBAHAN[[NAMA BAHAN]:[MODAL SATUAN]],2,FALSE)</f>
        <v>12000</v>
      </c>
      <c r="E3" s="25">
        <f>VLOOKUP(TBLZAMBISOSYAM[NAMA BAHAN],[2]!TBLREKAPBAHAN[[NAMA BAHAN]:[MODAL SATUAN]],3,FALSE)</f>
        <v>250</v>
      </c>
      <c r="F3" s="25"/>
      <c r="G3" s="26">
        <f>VLOOKUP(TBLZAMBISOSYAM[NAMA BAHAN],[2]!TBLREKAPBAHAN[[NAMA BAHAN]:[MODAL SATUAN]],4,FALSE)</f>
        <v>48</v>
      </c>
      <c r="H3" s="26">
        <f>VLOOKUP(TBLZAMBISOSYAM[NAMA BAHAN],[2]!TBLREKAPBAHAN[[NAMA BAHAN]:[MODAL SATUAN]],4,FALSE)</f>
        <v>48</v>
      </c>
      <c r="I3" s="27">
        <v>20</v>
      </c>
      <c r="J3" s="28">
        <f t="shared" ref="J3:J22" si="0">H3*I3</f>
        <v>960</v>
      </c>
    </row>
    <row r="4" spans="1:10" x14ac:dyDescent="0.25">
      <c r="A4" s="10"/>
      <c r="B4" s="10">
        <v>2</v>
      </c>
      <c r="C4" s="24" t="s">
        <v>63</v>
      </c>
      <c r="D4" s="25">
        <f>VLOOKUP(TBLZAMBISOSYAM[NAMA BAHAN],[2]!TBLREKAPBAHAN[[NAMA BAHAN]:[MODAL SATUAN]],2,FALSE)</f>
        <v>12000</v>
      </c>
      <c r="E4" s="25">
        <f>VLOOKUP(TBLZAMBISOSYAM[NAMA BAHAN],[2]!TBLREKAPBAHAN[[NAMA BAHAN]:[MODAL SATUAN]],3,FALSE)</f>
        <v>250</v>
      </c>
      <c r="F4" s="25"/>
      <c r="G4" s="26">
        <f>VLOOKUP(TBLZAMBISOSYAM[NAMA BAHAN],[2]!TBLREKAPBAHAN[[NAMA BAHAN]:[MODAL SATUAN]],4,FALSE)</f>
        <v>48</v>
      </c>
      <c r="H4" s="26">
        <f>VLOOKUP(TBLZAMBISOSYAM[NAMA BAHAN],[2]!TBLREKAPBAHAN[[NAMA BAHAN]:[MODAL SATUAN]],4,FALSE)</f>
        <v>48</v>
      </c>
      <c r="I4" s="27">
        <v>10</v>
      </c>
      <c r="J4" s="28">
        <f t="shared" si="0"/>
        <v>480</v>
      </c>
    </row>
    <row r="5" spans="1:10" x14ac:dyDescent="0.25">
      <c r="A5" s="29"/>
      <c r="B5" s="10">
        <v>3</v>
      </c>
      <c r="C5" s="30" t="s">
        <v>143</v>
      </c>
      <c r="D5" s="25">
        <f>VLOOKUP(TBLZAMBISOSYAM[NAMA BAHAN],[2]!TBLREKAPBAHAN[[NAMA BAHAN]:[MODAL SATUAN]],2,FALSE)</f>
        <v>85000</v>
      </c>
      <c r="E5" s="25">
        <f>VLOOKUP(TBLZAMBISOSYAM[NAMA BAHAN],[2]!TBLREKAPBAHAN[[NAMA BAHAN]:[MODAL SATUAN]],3,FALSE)</f>
        <v>1000</v>
      </c>
      <c r="F5" s="31"/>
      <c r="G5" s="26">
        <f>VLOOKUP(TBLZAMBISOSYAM[NAMA BAHAN],[2]!TBLREKAPBAHAN[[NAMA BAHAN]:[MODAL SATUAN]],4,FALSE)</f>
        <v>85</v>
      </c>
      <c r="H5" s="26">
        <f>VLOOKUP(TBLZAMBISOSYAM[NAMA BAHAN],[2]!TBLREKAPBAHAN[[NAMA BAHAN]:[MODAL SATUAN]],4,FALSE)</f>
        <v>85</v>
      </c>
      <c r="I5" s="32">
        <v>0</v>
      </c>
      <c r="J5" s="33">
        <f>H5*I5</f>
        <v>0</v>
      </c>
    </row>
    <row r="6" spans="1:10" x14ac:dyDescent="0.25">
      <c r="A6" s="10"/>
      <c r="B6" s="10">
        <v>4</v>
      </c>
      <c r="C6" s="24" t="s">
        <v>57</v>
      </c>
      <c r="D6" s="25">
        <f>VLOOKUP(TBLZAMBISOSYAM[NAMA BAHAN],[2]!TBLREKAPBAHAN[[NAMA BAHAN]:[MODAL SATUAN]],2,FALSE)</f>
        <v>35000</v>
      </c>
      <c r="E6" s="25">
        <f>VLOOKUP(TBLZAMBISOSYAM[NAMA BAHAN],[2]!TBLREKAPBAHAN[[NAMA BAHAN]:[MODAL SATUAN]],3,FALSE)</f>
        <v>38</v>
      </c>
      <c r="F6" s="25"/>
      <c r="G6" s="26">
        <f>VLOOKUP(TBLZAMBISOSYAM[NAMA BAHAN],[2]!TBLREKAPBAHAN[[NAMA BAHAN]:[MODAL SATUAN]],4,FALSE)</f>
        <v>921.0526315789474</v>
      </c>
      <c r="H6" s="26">
        <f>VLOOKUP(TBLZAMBISOSYAM[NAMA BAHAN],[2]!TBLREKAPBAHAN[[NAMA BAHAN]:[MODAL SATUAN]],4,FALSE)</f>
        <v>921.0526315789474</v>
      </c>
      <c r="I6" s="27">
        <v>1</v>
      </c>
      <c r="J6" s="28">
        <f t="shared" si="0"/>
        <v>921.0526315789474</v>
      </c>
    </row>
    <row r="7" spans="1:10" x14ac:dyDescent="0.25">
      <c r="A7" s="10"/>
      <c r="B7" s="10">
        <v>5</v>
      </c>
      <c r="C7" s="24" t="s">
        <v>58</v>
      </c>
      <c r="D7" s="25">
        <f>VLOOKUP(TBLZAMBISOSYAM[NAMA BAHAN],[2]!TBLREKAPBAHAN[[NAMA BAHAN]:[MODAL SATUAN]],2,FALSE)</f>
        <v>45000</v>
      </c>
      <c r="E7" s="25">
        <f>VLOOKUP(TBLZAMBISOSYAM[NAMA BAHAN],[2]!TBLREKAPBAHAN[[NAMA BAHAN]:[MODAL SATUAN]],3,FALSE)</f>
        <v>400</v>
      </c>
      <c r="F7" s="25"/>
      <c r="G7" s="26">
        <f>VLOOKUP(TBLZAMBISOSYAM[NAMA BAHAN],[2]!TBLREKAPBAHAN[[NAMA BAHAN]:[MODAL SATUAN]],4,FALSE)</f>
        <v>112.5</v>
      </c>
      <c r="H7" s="26">
        <f>VLOOKUP(TBLZAMBISOSYAM[NAMA BAHAN],[2]!TBLREKAPBAHAN[[NAMA BAHAN]:[MODAL SATUAN]],4,FALSE)</f>
        <v>112.5</v>
      </c>
      <c r="I7" s="27">
        <v>10</v>
      </c>
      <c r="J7" s="28">
        <f t="shared" si="0"/>
        <v>1125</v>
      </c>
    </row>
    <row r="8" spans="1:10" x14ac:dyDescent="0.25">
      <c r="A8" s="10"/>
      <c r="B8" s="10">
        <v>6</v>
      </c>
      <c r="C8" s="24" t="s">
        <v>28</v>
      </c>
      <c r="D8" s="25">
        <f>VLOOKUP(TBLZAMBISOSYAM[NAMA BAHAN],[2]!TBLREKAPBAHAN[[NAMA BAHAN]:[MODAL SATUAN]],2,FALSE)</f>
        <v>8000</v>
      </c>
      <c r="E8" s="25">
        <f>VLOOKUP(TBLZAMBISOSYAM[NAMA BAHAN],[2]!TBLREKAPBAHAN[[NAMA BAHAN]:[MODAL SATUAN]],3,FALSE)</f>
        <v>24</v>
      </c>
      <c r="F8" s="25"/>
      <c r="G8" s="26">
        <f>VLOOKUP(TBLZAMBISOSYAM[NAMA BAHAN],[2]!TBLREKAPBAHAN[[NAMA BAHAN]:[MODAL SATUAN]],4,FALSE)</f>
        <v>333.33333333333331</v>
      </c>
      <c r="H8" s="26">
        <f>VLOOKUP(TBLZAMBISOSYAM[NAMA BAHAN],[2]!TBLREKAPBAHAN[[NAMA BAHAN]:[MODAL SATUAN]],4,FALSE)</f>
        <v>333.33333333333331</v>
      </c>
      <c r="I8" s="27">
        <v>1</v>
      </c>
      <c r="J8" s="28">
        <f t="shared" si="0"/>
        <v>333.33333333333331</v>
      </c>
    </row>
    <row r="9" spans="1:10" x14ac:dyDescent="0.25">
      <c r="A9" s="10"/>
      <c r="B9" s="10">
        <v>7</v>
      </c>
      <c r="C9" s="24" t="s">
        <v>54</v>
      </c>
      <c r="D9" s="25">
        <f>VLOOKUP(TBLZAMBISOSYAM[NAMA BAHAN],[2]!TBLREKAPBAHAN[[NAMA BAHAN]:[MODAL SATUAN]],2,FALSE)</f>
        <v>35000</v>
      </c>
      <c r="E9" s="25">
        <f>VLOOKUP(TBLZAMBISOSYAM[NAMA BAHAN],[2]!TBLREKAPBAHAN[[NAMA BAHAN]:[MODAL SATUAN]],3,FALSE)</f>
        <v>1000</v>
      </c>
      <c r="F9" s="25"/>
      <c r="G9" s="26">
        <f>VLOOKUP(TBLZAMBISOSYAM[NAMA BAHAN],[2]!TBLREKAPBAHAN[[NAMA BAHAN]:[MODAL SATUAN]],4,FALSE)</f>
        <v>35</v>
      </c>
      <c r="H9" s="26">
        <f>VLOOKUP(TBLZAMBISOSYAM[NAMA BAHAN],[2]!TBLREKAPBAHAN[[NAMA BAHAN]:[MODAL SATUAN]],4,FALSE)</f>
        <v>35</v>
      </c>
      <c r="I9" s="27">
        <v>7.5</v>
      </c>
      <c r="J9" s="28">
        <f t="shared" si="0"/>
        <v>262.5</v>
      </c>
    </row>
    <row r="10" spans="1:10" x14ac:dyDescent="0.25">
      <c r="A10" s="10"/>
      <c r="B10" s="10">
        <v>8</v>
      </c>
      <c r="C10" s="24" t="s">
        <v>75</v>
      </c>
      <c r="D10" s="25">
        <f>VLOOKUP(TBLZAMBISOSYAM[NAMA BAHAN],[2]!TBLREKAPBAHAN[[NAMA BAHAN]:[MODAL SATUAN]],2,FALSE)</f>
        <v>18000</v>
      </c>
      <c r="E10" s="25">
        <f>VLOOKUP(TBLZAMBISOSYAM[NAMA BAHAN],[2]!TBLREKAPBAHAN[[NAMA BAHAN]:[MODAL SATUAN]],3,FALSE)</f>
        <v>1000</v>
      </c>
      <c r="F10" s="25"/>
      <c r="G10" s="26">
        <f>VLOOKUP(TBLZAMBISOSYAM[NAMA BAHAN],[2]!TBLREKAPBAHAN[[NAMA BAHAN]:[MODAL SATUAN]],4,FALSE)</f>
        <v>18</v>
      </c>
      <c r="H10" s="26">
        <f>VLOOKUP(TBLZAMBISOSYAM[NAMA BAHAN],[2]!TBLREKAPBAHAN[[NAMA BAHAN]:[MODAL SATUAN]],4,FALSE)</f>
        <v>18</v>
      </c>
      <c r="I10" s="27">
        <v>4.5</v>
      </c>
      <c r="J10" s="28">
        <f t="shared" si="0"/>
        <v>81</v>
      </c>
    </row>
    <row r="11" spans="1:10" x14ac:dyDescent="0.25">
      <c r="A11" s="10"/>
      <c r="B11" s="10">
        <v>9</v>
      </c>
      <c r="C11" s="24" t="s">
        <v>76</v>
      </c>
      <c r="D11" s="25">
        <f>VLOOKUP(TBLZAMBISOSYAM[NAMA BAHAN],[2]!TBLREKAPBAHAN[[NAMA BAHAN]:[MODAL SATUAN]],2,FALSE)</f>
        <v>4000</v>
      </c>
      <c r="E11" s="25">
        <f>VLOOKUP(TBLZAMBISOSYAM[NAMA BAHAN],[2]!TBLREKAPBAHAN[[NAMA BAHAN]:[MODAL SATUAN]],3,FALSE)</f>
        <v>250</v>
      </c>
      <c r="F11" s="25"/>
      <c r="G11" s="26">
        <f>VLOOKUP(TBLZAMBISOSYAM[NAMA BAHAN],[2]!TBLREKAPBAHAN[[NAMA BAHAN]:[MODAL SATUAN]],4,FALSE)</f>
        <v>16</v>
      </c>
      <c r="H11" s="26">
        <f>VLOOKUP(TBLZAMBISOSYAM[NAMA BAHAN],[2]!TBLREKAPBAHAN[[NAMA BAHAN]:[MODAL SATUAN]],4,FALSE)</f>
        <v>16</v>
      </c>
      <c r="I11" s="27">
        <v>0.5</v>
      </c>
      <c r="J11" s="28">
        <f t="shared" si="0"/>
        <v>8</v>
      </c>
    </row>
    <row r="12" spans="1:10" x14ac:dyDescent="0.25">
      <c r="A12" s="10"/>
      <c r="B12" s="10">
        <v>10</v>
      </c>
      <c r="C12" s="24" t="s">
        <v>77</v>
      </c>
      <c r="D12" s="25">
        <f>VLOOKUP(TBLZAMBISOSYAM[NAMA BAHAN],[2]!TBLREKAPBAHAN[[NAMA BAHAN]:[MODAL SATUAN]],2,FALSE)</f>
        <v>7000</v>
      </c>
      <c r="E12" s="25">
        <f>VLOOKUP(TBLZAMBISOSYAM[NAMA BAHAN],[2]!TBLREKAPBAHAN[[NAMA BAHAN]:[MODAL SATUAN]],3,FALSE)</f>
        <v>11</v>
      </c>
      <c r="F12" s="25"/>
      <c r="G12" s="26">
        <f>VLOOKUP(TBLZAMBISOSYAM[NAMA BAHAN],[2]!TBLREKAPBAHAN[[NAMA BAHAN]:[MODAL SATUAN]],4,FALSE)</f>
        <v>636.36363636363637</v>
      </c>
      <c r="H12" s="26">
        <f>VLOOKUP(TBLZAMBISOSYAM[NAMA BAHAN],[2]!TBLREKAPBAHAN[[NAMA BAHAN]:[MODAL SATUAN]],4,FALSE)</f>
        <v>636.36363636363637</v>
      </c>
      <c r="I12" s="27">
        <v>0.5</v>
      </c>
      <c r="J12" s="28">
        <f t="shared" si="0"/>
        <v>318.18181818181819</v>
      </c>
    </row>
    <row r="13" spans="1:10" x14ac:dyDescent="0.25">
      <c r="A13" s="10"/>
      <c r="B13" s="10">
        <v>11</v>
      </c>
      <c r="C13" s="24" t="s">
        <v>78</v>
      </c>
      <c r="D13" s="25">
        <f>VLOOKUP(TBLZAMBISOSYAM[NAMA BAHAN],[2]!TBLREKAPBAHAN[[NAMA BAHAN]:[MODAL SATUAN]],2,FALSE)</f>
        <v>18000</v>
      </c>
      <c r="E13" s="25">
        <f>VLOOKUP(TBLZAMBISOSYAM[NAMA BAHAN],[2]!TBLREKAPBAHAN[[NAMA BAHAN]:[MODAL SATUAN]],3,FALSE)</f>
        <v>250</v>
      </c>
      <c r="F13" s="25"/>
      <c r="G13" s="26">
        <f>VLOOKUP(TBLZAMBISOSYAM[NAMA BAHAN],[2]!TBLREKAPBAHAN[[NAMA BAHAN]:[MODAL SATUAN]],4,FALSE)</f>
        <v>72</v>
      </c>
      <c r="H13" s="26">
        <f>VLOOKUP(TBLZAMBISOSYAM[NAMA BAHAN],[2]!TBLREKAPBAHAN[[NAMA BAHAN]:[MODAL SATUAN]],4,FALSE)</f>
        <v>72</v>
      </c>
      <c r="I13" s="27">
        <v>5</v>
      </c>
      <c r="J13" s="28">
        <f t="shared" si="0"/>
        <v>360</v>
      </c>
    </row>
    <row r="14" spans="1:10" x14ac:dyDescent="0.25">
      <c r="A14" s="10"/>
      <c r="B14" s="10">
        <v>12</v>
      </c>
      <c r="C14" s="24" t="s">
        <v>79</v>
      </c>
      <c r="D14" s="25">
        <f>VLOOKUP(TBLZAMBISOSYAM[NAMA BAHAN],[2]!TBLREKAPBAHAN[[NAMA BAHAN]:[MODAL SATUAN]],2,FALSE)</f>
        <v>14000</v>
      </c>
      <c r="E14" s="25">
        <f>VLOOKUP(TBLZAMBISOSYAM[NAMA BAHAN],[2]!TBLREKAPBAHAN[[NAMA BAHAN]:[MODAL SATUAN]],3,FALSE)</f>
        <v>1000</v>
      </c>
      <c r="F14" s="25"/>
      <c r="G14" s="26">
        <f>VLOOKUP(TBLZAMBISOSYAM[NAMA BAHAN],[2]!TBLREKAPBAHAN[[NAMA BAHAN]:[MODAL SATUAN]],4,FALSE)</f>
        <v>14</v>
      </c>
      <c r="H14" s="26">
        <f>VLOOKUP(TBLZAMBISOSYAM[NAMA BAHAN],[2]!TBLREKAPBAHAN[[NAMA BAHAN]:[MODAL SATUAN]],4,FALSE)</f>
        <v>14</v>
      </c>
      <c r="I14" s="27">
        <v>10</v>
      </c>
      <c r="J14" s="28">
        <f t="shared" si="0"/>
        <v>140</v>
      </c>
    </row>
    <row r="15" spans="1:10" x14ac:dyDescent="0.25">
      <c r="A15" s="10"/>
      <c r="B15" s="10">
        <v>13</v>
      </c>
      <c r="C15" s="24" t="s">
        <v>80</v>
      </c>
      <c r="D15" s="25">
        <f>VLOOKUP(TBLZAMBISOSYAM[NAMA BAHAN],[2]!TBLREKAPBAHAN[[NAMA BAHAN]:[MODAL SATUAN]],2,FALSE)</f>
        <v>14000</v>
      </c>
      <c r="E15" s="25">
        <f>VLOOKUP(TBLZAMBISOSYAM[NAMA BAHAN],[2]!TBLREKAPBAHAN[[NAMA BAHAN]:[MODAL SATUAN]],3,FALSE)</f>
        <v>1000</v>
      </c>
      <c r="F15" s="25"/>
      <c r="G15" s="26">
        <f>VLOOKUP(TBLZAMBISOSYAM[NAMA BAHAN],[2]!TBLREKAPBAHAN[[NAMA BAHAN]:[MODAL SATUAN]],4,FALSE)</f>
        <v>14</v>
      </c>
      <c r="H15" s="26">
        <f>VLOOKUP(TBLZAMBISOSYAM[NAMA BAHAN],[2]!TBLREKAPBAHAN[[NAMA BAHAN]:[MODAL SATUAN]],4,FALSE)</f>
        <v>14</v>
      </c>
      <c r="I15" s="27">
        <v>20</v>
      </c>
      <c r="J15" s="28">
        <f t="shared" si="0"/>
        <v>280</v>
      </c>
    </row>
    <row r="16" spans="1:10" x14ac:dyDescent="0.25">
      <c r="A16" s="10"/>
      <c r="B16" s="10">
        <v>14</v>
      </c>
      <c r="C16" s="24" t="s">
        <v>155</v>
      </c>
      <c r="D16" s="25">
        <f>VLOOKUP(TBLZAMBISOSYAM[NAMA BAHAN],[2]!TBLREKAPBAHAN[[NAMA BAHAN]:[MODAL SATUAN]],2,FALSE)</f>
        <v>17000</v>
      </c>
      <c r="E16" s="25">
        <f>VLOOKUP(TBLZAMBISOSYAM[NAMA BAHAN],[2]!TBLREKAPBAHAN[[NAMA BAHAN]:[MODAL SATUAN]],3,FALSE)</f>
        <v>19000</v>
      </c>
      <c r="F16" s="25"/>
      <c r="G16" s="26">
        <f>VLOOKUP(TBLZAMBISOSYAM[NAMA BAHAN],[2]!TBLREKAPBAHAN[[NAMA BAHAN]:[MODAL SATUAN]],4,FALSE)</f>
        <v>0.89473684210526316</v>
      </c>
      <c r="H16" s="26">
        <f>VLOOKUP(TBLZAMBISOSYAM[NAMA BAHAN],[2]!TBLREKAPBAHAN[[NAMA BAHAN]:[MODAL SATUAN]],4,FALSE)</f>
        <v>0.89473684210526316</v>
      </c>
      <c r="I16" s="27">
        <v>40</v>
      </c>
      <c r="J16" s="28">
        <f t="shared" si="0"/>
        <v>35.789473684210527</v>
      </c>
    </row>
    <row r="17" spans="1:10" x14ac:dyDescent="0.25">
      <c r="A17" s="10"/>
      <c r="B17" s="10">
        <v>15</v>
      </c>
      <c r="C17" s="24" t="s">
        <v>82</v>
      </c>
      <c r="D17" s="25">
        <f>VLOOKUP(TBLZAMBISOSYAM[NAMA BAHAN],[2]!TBLREKAPBAHAN[[NAMA BAHAN]:[MODAL SATUAN]],2,FALSE)</f>
        <v>15000</v>
      </c>
      <c r="E17" s="25">
        <f>VLOOKUP(TBLZAMBISOSYAM[NAMA BAHAN],[2]!TBLREKAPBAHAN[[NAMA BAHAN]:[MODAL SATUAN]],3,FALSE)</f>
        <v>80</v>
      </c>
      <c r="F17" s="25"/>
      <c r="G17" s="26">
        <f>VLOOKUP(TBLZAMBISOSYAM[NAMA BAHAN],[2]!TBLREKAPBAHAN[[NAMA BAHAN]:[MODAL SATUAN]],4,FALSE)</f>
        <v>187.5</v>
      </c>
      <c r="H17" s="26">
        <f>VLOOKUP(TBLZAMBISOSYAM[NAMA BAHAN],[2]!TBLREKAPBAHAN[[NAMA BAHAN]:[MODAL SATUAN]],4,FALSE)</f>
        <v>187.5</v>
      </c>
      <c r="I17" s="27">
        <v>0.5</v>
      </c>
      <c r="J17" s="28">
        <f t="shared" si="0"/>
        <v>93.75</v>
      </c>
    </row>
    <row r="18" spans="1:10" x14ac:dyDescent="0.25">
      <c r="A18" s="10"/>
      <c r="B18" s="10">
        <v>16</v>
      </c>
      <c r="C18" s="24" t="s">
        <v>81</v>
      </c>
      <c r="D18" s="25">
        <f>VLOOKUP(TBLZAMBISOSYAM[NAMA BAHAN],[2]!TBLREKAPBAHAN[[NAMA BAHAN]:[MODAL SATUAN]],2,FALSE)</f>
        <v>30000</v>
      </c>
      <c r="E18" s="25">
        <f>VLOOKUP(TBLZAMBISOSYAM[NAMA BAHAN],[2]!TBLREKAPBAHAN[[NAMA BAHAN]:[MODAL SATUAN]],3,FALSE)</f>
        <v>30</v>
      </c>
      <c r="F18" s="25"/>
      <c r="G18" s="26">
        <f>VLOOKUP(TBLZAMBISOSYAM[NAMA BAHAN],[2]!TBLREKAPBAHAN[[NAMA BAHAN]:[MODAL SATUAN]],4,FALSE)</f>
        <v>1000</v>
      </c>
      <c r="H18" s="26">
        <f>VLOOKUP(TBLZAMBISOSYAM[NAMA BAHAN],[2]!TBLREKAPBAHAN[[NAMA BAHAN]:[MODAL SATUAN]],4,FALSE)</f>
        <v>1000</v>
      </c>
      <c r="I18" s="27">
        <v>0.2</v>
      </c>
      <c r="J18" s="28">
        <f t="shared" si="0"/>
        <v>200</v>
      </c>
    </row>
    <row r="19" spans="1:10" x14ac:dyDescent="0.25">
      <c r="A19" s="10"/>
      <c r="B19" s="10">
        <v>17</v>
      </c>
      <c r="C19" s="24" t="s">
        <v>141</v>
      </c>
      <c r="D19" s="25">
        <f>VLOOKUP(TBLZAMBISOSYAM[NAMA BAHAN],[2]!TBLREKAPBAHAN[[NAMA BAHAN]:[MODAL SATUAN]],2,FALSE)</f>
        <v>10000</v>
      </c>
      <c r="E19" s="25">
        <f>VLOOKUP(TBLZAMBISOSYAM[NAMA BAHAN],[2]!TBLREKAPBAHAN[[NAMA BAHAN]:[MODAL SATUAN]],3,FALSE)</f>
        <v>100</v>
      </c>
      <c r="F19" s="25"/>
      <c r="G19" s="26">
        <f>VLOOKUP(TBLZAMBISOSYAM[NAMA BAHAN],[2]!TBLREKAPBAHAN[[NAMA BAHAN]:[MODAL SATUAN]],4,FALSE)</f>
        <v>100</v>
      </c>
      <c r="H19" s="26">
        <f>VLOOKUP(TBLZAMBISOSYAM[NAMA BAHAN],[2]!TBLREKAPBAHAN[[NAMA BAHAN]:[MODAL SATUAN]],4,FALSE)</f>
        <v>100</v>
      </c>
      <c r="I19" s="27">
        <v>2</v>
      </c>
      <c r="J19" s="28">
        <f t="shared" si="0"/>
        <v>200</v>
      </c>
    </row>
    <row r="20" spans="1:10" x14ac:dyDescent="0.25">
      <c r="A20" s="10"/>
      <c r="B20" s="10">
        <v>18</v>
      </c>
      <c r="C20" s="24" t="s">
        <v>55</v>
      </c>
      <c r="D20" s="25">
        <f>VLOOKUP(TBLZAMBISOSYAM[NAMA BAHAN],[2]!TBLREKAPBAHAN[[NAMA BAHAN]:[MODAL SATUAN]],2,FALSE)</f>
        <v>23000</v>
      </c>
      <c r="E20" s="25">
        <f>VLOOKUP(TBLZAMBISOSYAM[NAMA BAHAN],[2]!TBLREKAPBAHAN[[NAMA BAHAN]:[MODAL SATUAN]],3,FALSE)</f>
        <v>3000</v>
      </c>
      <c r="F20" s="25"/>
      <c r="G20" s="26">
        <f>VLOOKUP(TBLZAMBISOSYAM[NAMA BAHAN],[2]!TBLREKAPBAHAN[[NAMA BAHAN]:[MODAL SATUAN]],4,FALSE)</f>
        <v>7.666666666666667</v>
      </c>
      <c r="H20" s="26">
        <f>VLOOKUP(TBLZAMBISOSYAM[NAMA BAHAN],[2]!TBLREKAPBAHAN[[NAMA BAHAN]:[MODAL SATUAN]],4,FALSE)</f>
        <v>7.666666666666667</v>
      </c>
      <c r="I20" s="27">
        <v>5</v>
      </c>
      <c r="J20" s="28">
        <f t="shared" si="0"/>
        <v>38.333333333333336</v>
      </c>
    </row>
    <row r="21" spans="1:10" x14ac:dyDescent="0.25">
      <c r="A21" s="10"/>
      <c r="B21" s="10">
        <v>19</v>
      </c>
      <c r="C21" s="24" t="s">
        <v>52</v>
      </c>
      <c r="D21" s="25">
        <f>VLOOKUP(TBLZAMBISOSYAM[NAMA BAHAN],[2]!TBLREKAPBAHAN[[NAMA BAHAN]:[MODAL SATUAN]],2,FALSE)</f>
        <v>5500</v>
      </c>
      <c r="E21" s="25">
        <f>VLOOKUP(TBLZAMBISOSYAM[NAMA BAHAN],[2]!TBLREKAPBAHAN[[NAMA BAHAN]:[MODAL SATUAN]],3,FALSE)</f>
        <v>100</v>
      </c>
      <c r="F21" s="25"/>
      <c r="G21" s="26">
        <f>VLOOKUP(TBLZAMBISOSYAM[NAMA BAHAN],[2]!TBLREKAPBAHAN[[NAMA BAHAN]:[MODAL SATUAN]],4,FALSE)</f>
        <v>55</v>
      </c>
      <c r="H21" s="26">
        <f>VLOOKUP(TBLZAMBISOSYAM[NAMA BAHAN],[2]!TBLREKAPBAHAN[[NAMA BAHAN]:[MODAL SATUAN]],4,FALSE)</f>
        <v>55</v>
      </c>
      <c r="I21" s="27">
        <v>1</v>
      </c>
      <c r="J21" s="28">
        <f t="shared" si="0"/>
        <v>55</v>
      </c>
    </row>
    <row r="22" spans="1:10" x14ac:dyDescent="0.25">
      <c r="A22" s="10"/>
      <c r="B22" s="10">
        <v>20</v>
      </c>
      <c r="C22" s="24" t="s">
        <v>33</v>
      </c>
      <c r="D22" s="25">
        <f>VLOOKUP(TBLZAMBISOSYAM[NAMA BAHAN],[2]!TBLREKAPBAHAN[[NAMA BAHAN]:[MODAL SATUAN]],2,FALSE)</f>
        <v>6000</v>
      </c>
      <c r="E22" s="25">
        <f>VLOOKUP(TBLZAMBISOSYAM[NAMA BAHAN],[2]!TBLREKAPBAHAN[[NAMA BAHAN]:[MODAL SATUAN]],3,FALSE)</f>
        <v>100</v>
      </c>
      <c r="F22" s="25"/>
      <c r="G22" s="26">
        <f>VLOOKUP(TBLZAMBISOSYAM[NAMA BAHAN],[2]!TBLREKAPBAHAN[[NAMA BAHAN]:[MODAL SATUAN]],4,FALSE)</f>
        <v>60</v>
      </c>
      <c r="H22" s="26">
        <f>VLOOKUP(TBLZAMBISOSYAM[NAMA BAHAN],[2]!TBLREKAPBAHAN[[NAMA BAHAN]:[MODAL SATUAN]],4,FALSE)</f>
        <v>60</v>
      </c>
      <c r="I22" s="27">
        <v>1</v>
      </c>
      <c r="J22" s="28">
        <f t="shared" si="0"/>
        <v>60</v>
      </c>
    </row>
    <row r="23" spans="1:10" x14ac:dyDescent="0.25">
      <c r="C23" s="147" t="s">
        <v>20</v>
      </c>
      <c r="D23" s="147"/>
      <c r="E23" s="147"/>
      <c r="F23" s="147"/>
      <c r="G23" s="147"/>
      <c r="H23" s="147"/>
      <c r="I23" s="147"/>
      <c r="J23" s="16">
        <f>SUM(J3:J22)</f>
        <v>5951.9405901116425</v>
      </c>
    </row>
    <row r="28" spans="1:10" ht="45" x14ac:dyDescent="0.25">
      <c r="A28" s="19" t="s">
        <v>144</v>
      </c>
      <c r="B28" s="19" t="s">
        <v>90</v>
      </c>
      <c r="C28" s="20" t="s">
        <v>0</v>
      </c>
      <c r="D28" s="22" t="s">
        <v>4</v>
      </c>
      <c r="E28" s="22" t="s">
        <v>3</v>
      </c>
      <c r="F28" s="22" t="s">
        <v>19</v>
      </c>
      <c r="G28" s="22" t="s">
        <v>1</v>
      </c>
      <c r="H28" s="22" t="s">
        <v>2</v>
      </c>
      <c r="I28" s="23" t="s">
        <v>5</v>
      </c>
      <c r="J28" s="22" t="s">
        <v>145</v>
      </c>
    </row>
    <row r="29" spans="1:10" x14ac:dyDescent="0.25">
      <c r="A29" s="2" t="s">
        <v>142</v>
      </c>
      <c r="B29" s="10">
        <v>1</v>
      </c>
      <c r="C29" s="24" t="s">
        <v>71</v>
      </c>
      <c r="D29" s="25">
        <f>VLOOKUP(TBLZAMBIDAGINGSAPI[NAMA BAHAN],[2]!TBLREKAPBAHAN[[NAMA BAHAN]:[MODAL SATUAN]],2,FALSE)</f>
        <v>12000</v>
      </c>
      <c r="E29" s="25">
        <f>VLOOKUP(TBLZAMBIDAGINGSAPI[NAMA BAHAN],[2]!TBLREKAPBAHAN[[NAMA BAHAN]:[MODAL SATUAN]],3,FALSE)</f>
        <v>250</v>
      </c>
      <c r="F29" s="11"/>
      <c r="G29" s="12">
        <f>VLOOKUP(TBLZAMBIDAGINGSAPI[NAMA BAHAN],[2]!TBLREKAPBAHAN[[NAMA BAHAN]:[MODAL SATUAN]],4,FALSE)</f>
        <v>48</v>
      </c>
      <c r="H29" s="12">
        <f>VLOOKUP(TBLZAMBIDAGINGSAPI[NAMA BAHAN],[2]!TBLREKAPBAHAN[[NAMA BAHAN]:[MODAL SATUAN]],4,FALSE)</f>
        <v>48</v>
      </c>
      <c r="I29" s="13">
        <v>20</v>
      </c>
      <c r="J29" s="12">
        <f>H29*I29</f>
        <v>960</v>
      </c>
    </row>
    <row r="30" spans="1:10" x14ac:dyDescent="0.25">
      <c r="A30" s="2"/>
      <c r="B30" s="10">
        <v>2</v>
      </c>
      <c r="C30" s="24" t="s">
        <v>63</v>
      </c>
      <c r="D30" s="25">
        <f>VLOOKUP(TBLZAMBIDAGINGSAPI[NAMA BAHAN],[2]!TBLREKAPBAHAN[[NAMA BAHAN]:[MODAL SATUAN]],2,FALSE)</f>
        <v>12000</v>
      </c>
      <c r="E30" s="25">
        <f>VLOOKUP(TBLZAMBIDAGINGSAPI[NAMA BAHAN],[2]!TBLREKAPBAHAN[[NAMA BAHAN]:[MODAL SATUAN]],3,FALSE)</f>
        <v>250</v>
      </c>
      <c r="F30" s="11"/>
      <c r="G30" s="12">
        <f>VLOOKUP(TBLZAMBIDAGINGSAPI[NAMA BAHAN],[2]!TBLREKAPBAHAN[[NAMA BAHAN]:[MODAL SATUAN]],4,FALSE)</f>
        <v>48</v>
      </c>
      <c r="H30" s="12">
        <f>VLOOKUP(TBLZAMBIDAGINGSAPI[NAMA BAHAN],[2]!TBLREKAPBAHAN[[NAMA BAHAN]:[MODAL SATUAN]],4,FALSE)</f>
        <v>48</v>
      </c>
      <c r="I30" s="13">
        <v>10</v>
      </c>
      <c r="J30" s="12">
        <f t="shared" ref="J30:J48" si="1">H30*I30</f>
        <v>480</v>
      </c>
    </row>
    <row r="31" spans="1:10" x14ac:dyDescent="0.25">
      <c r="A31" s="2"/>
      <c r="B31" s="10">
        <v>3</v>
      </c>
      <c r="C31" s="30" t="s">
        <v>143</v>
      </c>
      <c r="D31" s="25">
        <f>VLOOKUP(TBLZAMBIDAGINGSAPI[NAMA BAHAN],[2]!TBLREKAPBAHAN[[NAMA BAHAN]:[MODAL SATUAN]],2,FALSE)</f>
        <v>85000</v>
      </c>
      <c r="E31" s="25">
        <f>VLOOKUP(TBLZAMBIDAGINGSAPI[NAMA BAHAN],[2]!TBLREKAPBAHAN[[NAMA BAHAN]:[MODAL SATUAN]],3,FALSE)</f>
        <v>1000</v>
      </c>
      <c r="F31" s="11"/>
      <c r="G31" s="12">
        <f>VLOOKUP(TBLZAMBIDAGINGSAPI[NAMA BAHAN],[2]!TBLREKAPBAHAN[[NAMA BAHAN]:[MODAL SATUAN]],4,FALSE)</f>
        <v>85</v>
      </c>
      <c r="H31" s="12">
        <f>VLOOKUP(TBLZAMBIDAGINGSAPI[NAMA BAHAN],[2]!TBLREKAPBAHAN[[NAMA BAHAN]:[MODAL SATUAN]],4,FALSE)</f>
        <v>85</v>
      </c>
      <c r="I31" s="13">
        <v>20</v>
      </c>
      <c r="J31" s="12">
        <f t="shared" si="1"/>
        <v>1700</v>
      </c>
    </row>
    <row r="32" spans="1:10" x14ac:dyDescent="0.25">
      <c r="A32" s="2"/>
      <c r="B32" s="10">
        <v>4</v>
      </c>
      <c r="C32" s="24" t="s">
        <v>57</v>
      </c>
      <c r="D32" s="25">
        <f>VLOOKUP(TBLZAMBIDAGINGSAPI[NAMA BAHAN],[2]!TBLREKAPBAHAN[[NAMA BAHAN]:[MODAL SATUAN]],2,FALSE)</f>
        <v>35000</v>
      </c>
      <c r="E32" s="25">
        <f>VLOOKUP(TBLZAMBIDAGINGSAPI[NAMA BAHAN],[2]!TBLREKAPBAHAN[[NAMA BAHAN]:[MODAL SATUAN]],3,FALSE)</f>
        <v>38</v>
      </c>
      <c r="F32" s="11"/>
      <c r="G32" s="12">
        <f>VLOOKUP(TBLZAMBIDAGINGSAPI[NAMA BAHAN],[2]!TBLREKAPBAHAN[[NAMA BAHAN]:[MODAL SATUAN]],4,FALSE)</f>
        <v>921.0526315789474</v>
      </c>
      <c r="H32" s="12">
        <f>VLOOKUP(TBLZAMBIDAGINGSAPI[NAMA BAHAN],[2]!TBLREKAPBAHAN[[NAMA BAHAN]:[MODAL SATUAN]],4,FALSE)</f>
        <v>921.0526315789474</v>
      </c>
      <c r="I32" s="9">
        <v>0</v>
      </c>
      <c r="J32" s="12">
        <f t="shared" si="1"/>
        <v>0</v>
      </c>
    </row>
    <row r="33" spans="1:10" x14ac:dyDescent="0.25">
      <c r="A33" s="2"/>
      <c r="B33" s="10">
        <v>5</v>
      </c>
      <c r="C33" s="24" t="s">
        <v>58</v>
      </c>
      <c r="D33" s="25">
        <f>VLOOKUP(TBLZAMBIDAGINGSAPI[NAMA BAHAN],[2]!TBLREKAPBAHAN[[NAMA BAHAN]:[MODAL SATUAN]],2,FALSE)</f>
        <v>45000</v>
      </c>
      <c r="E33" s="25">
        <f>VLOOKUP(TBLZAMBIDAGINGSAPI[NAMA BAHAN],[2]!TBLREKAPBAHAN[[NAMA BAHAN]:[MODAL SATUAN]],3,FALSE)</f>
        <v>400</v>
      </c>
      <c r="F33" s="11"/>
      <c r="G33" s="12">
        <f>VLOOKUP(TBLZAMBIDAGINGSAPI[NAMA BAHAN],[2]!TBLREKAPBAHAN[[NAMA BAHAN]:[MODAL SATUAN]],4,FALSE)</f>
        <v>112.5</v>
      </c>
      <c r="H33" s="12">
        <f>VLOOKUP(TBLZAMBIDAGINGSAPI[NAMA BAHAN],[2]!TBLREKAPBAHAN[[NAMA BAHAN]:[MODAL SATUAN]],4,FALSE)</f>
        <v>112.5</v>
      </c>
      <c r="I33" s="9">
        <v>0</v>
      </c>
      <c r="J33" s="12">
        <f t="shared" si="1"/>
        <v>0</v>
      </c>
    </row>
    <row r="34" spans="1:10" x14ac:dyDescent="0.25">
      <c r="A34" s="2"/>
      <c r="B34" s="10">
        <v>6</v>
      </c>
      <c r="C34" s="24" t="s">
        <v>28</v>
      </c>
      <c r="D34" s="25">
        <f>VLOOKUP(TBLZAMBIDAGINGSAPI[NAMA BAHAN],[2]!TBLREKAPBAHAN[[NAMA BAHAN]:[MODAL SATUAN]],2,FALSE)</f>
        <v>8000</v>
      </c>
      <c r="E34" s="25">
        <f>VLOOKUP(TBLZAMBIDAGINGSAPI[NAMA BAHAN],[2]!TBLREKAPBAHAN[[NAMA BAHAN]:[MODAL SATUAN]],3,FALSE)</f>
        <v>24</v>
      </c>
      <c r="F34" s="11"/>
      <c r="G34" s="12">
        <f>VLOOKUP(TBLZAMBIDAGINGSAPI[NAMA BAHAN],[2]!TBLREKAPBAHAN[[NAMA BAHAN]:[MODAL SATUAN]],4,FALSE)</f>
        <v>333.33333333333331</v>
      </c>
      <c r="H34" s="12">
        <f>VLOOKUP(TBLZAMBIDAGINGSAPI[NAMA BAHAN],[2]!TBLREKAPBAHAN[[NAMA BAHAN]:[MODAL SATUAN]],4,FALSE)</f>
        <v>333.33333333333331</v>
      </c>
      <c r="I34" s="13">
        <v>1</v>
      </c>
      <c r="J34" s="12">
        <f t="shared" si="1"/>
        <v>333.33333333333331</v>
      </c>
    </row>
    <row r="35" spans="1:10" x14ac:dyDescent="0.25">
      <c r="A35" s="2"/>
      <c r="B35" s="10">
        <v>7</v>
      </c>
      <c r="C35" s="24" t="s">
        <v>54</v>
      </c>
      <c r="D35" s="25">
        <f>VLOOKUP(TBLZAMBIDAGINGSAPI[NAMA BAHAN],[2]!TBLREKAPBAHAN[[NAMA BAHAN]:[MODAL SATUAN]],2,FALSE)</f>
        <v>35000</v>
      </c>
      <c r="E35" s="25">
        <f>VLOOKUP(TBLZAMBIDAGINGSAPI[NAMA BAHAN],[2]!TBLREKAPBAHAN[[NAMA BAHAN]:[MODAL SATUAN]],3,FALSE)</f>
        <v>1000</v>
      </c>
      <c r="F35" s="11"/>
      <c r="G35" s="12">
        <f>VLOOKUP(TBLZAMBIDAGINGSAPI[NAMA BAHAN],[2]!TBLREKAPBAHAN[[NAMA BAHAN]:[MODAL SATUAN]],4,FALSE)</f>
        <v>35</v>
      </c>
      <c r="H35" s="12">
        <f>VLOOKUP(TBLZAMBIDAGINGSAPI[NAMA BAHAN],[2]!TBLREKAPBAHAN[[NAMA BAHAN]:[MODAL SATUAN]],4,FALSE)</f>
        <v>35</v>
      </c>
      <c r="I35" s="13">
        <v>7.5</v>
      </c>
      <c r="J35" s="12">
        <f t="shared" si="1"/>
        <v>262.5</v>
      </c>
    </row>
    <row r="36" spans="1:10" x14ac:dyDescent="0.25">
      <c r="A36" s="2"/>
      <c r="B36" s="10">
        <v>8</v>
      </c>
      <c r="C36" s="24" t="s">
        <v>75</v>
      </c>
      <c r="D36" s="25">
        <f>VLOOKUP(TBLZAMBIDAGINGSAPI[NAMA BAHAN],[2]!TBLREKAPBAHAN[[NAMA BAHAN]:[MODAL SATUAN]],2,FALSE)</f>
        <v>18000</v>
      </c>
      <c r="E36" s="25">
        <f>VLOOKUP(TBLZAMBIDAGINGSAPI[NAMA BAHAN],[2]!TBLREKAPBAHAN[[NAMA BAHAN]:[MODAL SATUAN]],3,FALSE)</f>
        <v>1000</v>
      </c>
      <c r="F36" s="11"/>
      <c r="G36" s="12">
        <f>VLOOKUP(TBLZAMBIDAGINGSAPI[NAMA BAHAN],[2]!TBLREKAPBAHAN[[NAMA BAHAN]:[MODAL SATUAN]],4,FALSE)</f>
        <v>18</v>
      </c>
      <c r="H36" s="12">
        <f>VLOOKUP(TBLZAMBIDAGINGSAPI[NAMA BAHAN],[2]!TBLREKAPBAHAN[[NAMA BAHAN]:[MODAL SATUAN]],4,FALSE)</f>
        <v>18</v>
      </c>
      <c r="I36" s="13">
        <v>4.5</v>
      </c>
      <c r="J36" s="12">
        <f t="shared" si="1"/>
        <v>81</v>
      </c>
    </row>
    <row r="37" spans="1:10" x14ac:dyDescent="0.25">
      <c r="A37" s="2"/>
      <c r="B37" s="10">
        <v>9</v>
      </c>
      <c r="C37" s="24" t="s">
        <v>76</v>
      </c>
      <c r="D37" s="25">
        <f>VLOOKUP(TBLZAMBIDAGINGSAPI[NAMA BAHAN],[2]!TBLREKAPBAHAN[[NAMA BAHAN]:[MODAL SATUAN]],2,FALSE)</f>
        <v>4000</v>
      </c>
      <c r="E37" s="25">
        <f>VLOOKUP(TBLZAMBIDAGINGSAPI[NAMA BAHAN],[2]!TBLREKAPBAHAN[[NAMA BAHAN]:[MODAL SATUAN]],3,FALSE)</f>
        <v>250</v>
      </c>
      <c r="F37" s="11"/>
      <c r="G37" s="12">
        <f>VLOOKUP(TBLZAMBIDAGINGSAPI[NAMA BAHAN],[2]!TBLREKAPBAHAN[[NAMA BAHAN]:[MODAL SATUAN]],4,FALSE)</f>
        <v>16</v>
      </c>
      <c r="H37" s="12">
        <f>VLOOKUP(TBLZAMBIDAGINGSAPI[NAMA BAHAN],[2]!TBLREKAPBAHAN[[NAMA BAHAN]:[MODAL SATUAN]],4,FALSE)</f>
        <v>16</v>
      </c>
      <c r="I37" s="13">
        <v>0.5</v>
      </c>
      <c r="J37" s="12">
        <f t="shared" si="1"/>
        <v>8</v>
      </c>
    </row>
    <row r="38" spans="1:10" x14ac:dyDescent="0.25">
      <c r="A38" s="2"/>
      <c r="B38" s="10">
        <v>10</v>
      </c>
      <c r="C38" s="24" t="s">
        <v>77</v>
      </c>
      <c r="D38" s="25">
        <f>VLOOKUP(TBLZAMBIDAGINGSAPI[NAMA BAHAN],[2]!TBLREKAPBAHAN[[NAMA BAHAN]:[MODAL SATUAN]],2,FALSE)</f>
        <v>7000</v>
      </c>
      <c r="E38" s="25">
        <f>VLOOKUP(TBLZAMBIDAGINGSAPI[NAMA BAHAN],[2]!TBLREKAPBAHAN[[NAMA BAHAN]:[MODAL SATUAN]],3,FALSE)</f>
        <v>11</v>
      </c>
      <c r="F38" s="11"/>
      <c r="G38" s="12">
        <f>VLOOKUP(TBLZAMBIDAGINGSAPI[NAMA BAHAN],[2]!TBLREKAPBAHAN[[NAMA BAHAN]:[MODAL SATUAN]],4,FALSE)</f>
        <v>636.36363636363637</v>
      </c>
      <c r="H38" s="12">
        <f>VLOOKUP(TBLZAMBIDAGINGSAPI[NAMA BAHAN],[2]!TBLREKAPBAHAN[[NAMA BAHAN]:[MODAL SATUAN]],4,FALSE)</f>
        <v>636.36363636363637</v>
      </c>
      <c r="I38" s="13">
        <v>0.5</v>
      </c>
      <c r="J38" s="12">
        <f t="shared" si="1"/>
        <v>318.18181818181819</v>
      </c>
    </row>
    <row r="39" spans="1:10" x14ac:dyDescent="0.25">
      <c r="A39" s="2"/>
      <c r="B39" s="10">
        <v>11</v>
      </c>
      <c r="C39" s="24" t="s">
        <v>78</v>
      </c>
      <c r="D39" s="25">
        <f>VLOOKUP(TBLZAMBIDAGINGSAPI[NAMA BAHAN],[2]!TBLREKAPBAHAN[[NAMA BAHAN]:[MODAL SATUAN]],2,FALSE)</f>
        <v>18000</v>
      </c>
      <c r="E39" s="25">
        <f>VLOOKUP(TBLZAMBIDAGINGSAPI[NAMA BAHAN],[2]!TBLREKAPBAHAN[[NAMA BAHAN]:[MODAL SATUAN]],3,FALSE)</f>
        <v>250</v>
      </c>
      <c r="F39" s="36"/>
      <c r="G39" s="12">
        <f>VLOOKUP(TBLZAMBIDAGINGSAPI[NAMA BAHAN],[2]!TBLREKAPBAHAN[[NAMA BAHAN]:[MODAL SATUAN]],4,FALSE)</f>
        <v>72</v>
      </c>
      <c r="H39" s="12">
        <f>VLOOKUP(TBLZAMBIDAGINGSAPI[NAMA BAHAN],[2]!TBLREKAPBAHAN[[NAMA BAHAN]:[MODAL SATUAN]],4,FALSE)</f>
        <v>72</v>
      </c>
      <c r="I39" s="13">
        <v>5</v>
      </c>
      <c r="J39" s="12">
        <f t="shared" si="1"/>
        <v>360</v>
      </c>
    </row>
    <row r="40" spans="1:10" x14ac:dyDescent="0.25">
      <c r="A40" s="2"/>
      <c r="B40" s="10">
        <v>12</v>
      </c>
      <c r="C40" s="24" t="s">
        <v>79</v>
      </c>
      <c r="D40" s="25">
        <f>VLOOKUP(TBLZAMBIDAGINGSAPI[NAMA BAHAN],[2]!TBLREKAPBAHAN[[NAMA BAHAN]:[MODAL SATUAN]],2,FALSE)</f>
        <v>14000</v>
      </c>
      <c r="E40" s="25">
        <f>VLOOKUP(TBLZAMBIDAGINGSAPI[NAMA BAHAN],[2]!TBLREKAPBAHAN[[NAMA BAHAN]:[MODAL SATUAN]],3,FALSE)</f>
        <v>1000</v>
      </c>
      <c r="F40" s="36"/>
      <c r="G40" s="12">
        <f>VLOOKUP(TBLZAMBIDAGINGSAPI[NAMA BAHAN],[2]!TBLREKAPBAHAN[[NAMA BAHAN]:[MODAL SATUAN]],4,FALSE)</f>
        <v>14</v>
      </c>
      <c r="H40" s="12">
        <f>VLOOKUP(TBLZAMBIDAGINGSAPI[NAMA BAHAN],[2]!TBLREKAPBAHAN[[NAMA BAHAN]:[MODAL SATUAN]],4,FALSE)</f>
        <v>14</v>
      </c>
      <c r="I40" s="13">
        <v>10</v>
      </c>
      <c r="J40" s="12">
        <f t="shared" si="1"/>
        <v>140</v>
      </c>
    </row>
    <row r="41" spans="1:10" x14ac:dyDescent="0.25">
      <c r="A41" s="2"/>
      <c r="B41" s="10">
        <v>13</v>
      </c>
      <c r="C41" s="24" t="s">
        <v>80</v>
      </c>
      <c r="D41" s="25">
        <f>VLOOKUP(TBLZAMBIDAGINGSAPI[NAMA BAHAN],[2]!TBLREKAPBAHAN[[NAMA BAHAN]:[MODAL SATUAN]],2,FALSE)</f>
        <v>14000</v>
      </c>
      <c r="E41" s="25">
        <f>VLOOKUP(TBLZAMBIDAGINGSAPI[NAMA BAHAN],[2]!TBLREKAPBAHAN[[NAMA BAHAN]:[MODAL SATUAN]],3,FALSE)</f>
        <v>1000</v>
      </c>
      <c r="F41" s="11"/>
      <c r="G41" s="12">
        <f>VLOOKUP(TBLZAMBIDAGINGSAPI[NAMA BAHAN],[2]!TBLREKAPBAHAN[[NAMA BAHAN]:[MODAL SATUAN]],4,FALSE)</f>
        <v>14</v>
      </c>
      <c r="H41" s="12">
        <f>VLOOKUP(TBLZAMBIDAGINGSAPI[NAMA BAHAN],[2]!TBLREKAPBAHAN[[NAMA BAHAN]:[MODAL SATUAN]],4,FALSE)</f>
        <v>14</v>
      </c>
      <c r="I41" s="13">
        <v>20</v>
      </c>
      <c r="J41" s="12">
        <f t="shared" si="1"/>
        <v>280</v>
      </c>
    </row>
    <row r="42" spans="1:10" x14ac:dyDescent="0.25">
      <c r="A42" s="2"/>
      <c r="B42" s="10">
        <v>14</v>
      </c>
      <c r="C42" s="24" t="s">
        <v>155</v>
      </c>
      <c r="D42" s="25">
        <f>VLOOKUP(TBLZAMBIDAGINGSAPI[NAMA BAHAN],[2]!TBLREKAPBAHAN[[NAMA BAHAN]:[MODAL SATUAN]],2,FALSE)</f>
        <v>17000</v>
      </c>
      <c r="E42" s="25">
        <f>VLOOKUP(TBLZAMBIDAGINGSAPI[NAMA BAHAN],[2]!TBLREKAPBAHAN[[NAMA BAHAN]:[MODAL SATUAN]],3,FALSE)</f>
        <v>19000</v>
      </c>
      <c r="F42" s="11"/>
      <c r="G42" s="12">
        <f>VLOOKUP(TBLZAMBIDAGINGSAPI[NAMA BAHAN],[2]!TBLREKAPBAHAN[[NAMA BAHAN]:[MODAL SATUAN]],4,FALSE)</f>
        <v>0.89473684210526316</v>
      </c>
      <c r="H42" s="12">
        <f>VLOOKUP(TBLZAMBIDAGINGSAPI[NAMA BAHAN],[2]!TBLREKAPBAHAN[[NAMA BAHAN]:[MODAL SATUAN]],4,FALSE)</f>
        <v>0.89473684210526316</v>
      </c>
      <c r="I42" s="13">
        <v>40</v>
      </c>
      <c r="J42" s="12">
        <f t="shared" si="1"/>
        <v>35.789473684210527</v>
      </c>
    </row>
    <row r="43" spans="1:10" x14ac:dyDescent="0.25">
      <c r="A43" s="2"/>
      <c r="B43" s="10">
        <v>15</v>
      </c>
      <c r="C43" s="24" t="s">
        <v>82</v>
      </c>
      <c r="D43" s="25">
        <f>VLOOKUP(TBLZAMBIDAGINGSAPI[NAMA BAHAN],[2]!TBLREKAPBAHAN[[NAMA BAHAN]:[MODAL SATUAN]],2,FALSE)</f>
        <v>15000</v>
      </c>
      <c r="E43" s="25">
        <f>VLOOKUP(TBLZAMBIDAGINGSAPI[NAMA BAHAN],[2]!TBLREKAPBAHAN[[NAMA BAHAN]:[MODAL SATUAN]],3,FALSE)</f>
        <v>80</v>
      </c>
      <c r="F43" s="11"/>
      <c r="G43" s="12">
        <f>VLOOKUP(TBLZAMBIDAGINGSAPI[NAMA BAHAN],[2]!TBLREKAPBAHAN[[NAMA BAHAN]:[MODAL SATUAN]],4,FALSE)</f>
        <v>187.5</v>
      </c>
      <c r="H43" s="12">
        <f>VLOOKUP(TBLZAMBIDAGINGSAPI[NAMA BAHAN],[2]!TBLREKAPBAHAN[[NAMA BAHAN]:[MODAL SATUAN]],4,FALSE)</f>
        <v>187.5</v>
      </c>
      <c r="I43" s="13">
        <v>0.5</v>
      </c>
      <c r="J43" s="12">
        <f t="shared" si="1"/>
        <v>93.75</v>
      </c>
    </row>
    <row r="44" spans="1:10" x14ac:dyDescent="0.25">
      <c r="A44" s="2"/>
      <c r="B44" s="10">
        <v>16</v>
      </c>
      <c r="C44" s="24" t="s">
        <v>81</v>
      </c>
      <c r="D44" s="25">
        <f>VLOOKUP(TBLZAMBIDAGINGSAPI[NAMA BAHAN],[2]!TBLREKAPBAHAN[[NAMA BAHAN]:[MODAL SATUAN]],2,FALSE)</f>
        <v>30000</v>
      </c>
      <c r="E44" s="25">
        <f>VLOOKUP(TBLZAMBIDAGINGSAPI[NAMA BAHAN],[2]!TBLREKAPBAHAN[[NAMA BAHAN]:[MODAL SATUAN]],3,FALSE)</f>
        <v>30</v>
      </c>
      <c r="F44" s="11"/>
      <c r="G44" s="12">
        <f>VLOOKUP(TBLZAMBIDAGINGSAPI[NAMA BAHAN],[2]!TBLREKAPBAHAN[[NAMA BAHAN]:[MODAL SATUAN]],4,FALSE)</f>
        <v>1000</v>
      </c>
      <c r="H44" s="12">
        <f>VLOOKUP(TBLZAMBIDAGINGSAPI[NAMA BAHAN],[2]!TBLREKAPBAHAN[[NAMA BAHAN]:[MODAL SATUAN]],4,FALSE)</f>
        <v>1000</v>
      </c>
      <c r="I44" s="13">
        <v>0.2</v>
      </c>
      <c r="J44" s="12">
        <f t="shared" si="1"/>
        <v>200</v>
      </c>
    </row>
    <row r="45" spans="1:10" x14ac:dyDescent="0.25">
      <c r="A45" s="2"/>
      <c r="B45" s="10">
        <v>17</v>
      </c>
      <c r="C45" s="24" t="s">
        <v>141</v>
      </c>
      <c r="D45" s="25">
        <f>VLOOKUP(TBLZAMBIDAGINGSAPI[NAMA BAHAN],[2]!TBLREKAPBAHAN[[NAMA BAHAN]:[MODAL SATUAN]],2,FALSE)</f>
        <v>10000</v>
      </c>
      <c r="E45" s="25">
        <f>VLOOKUP(TBLZAMBIDAGINGSAPI[NAMA BAHAN],[2]!TBLREKAPBAHAN[[NAMA BAHAN]:[MODAL SATUAN]],3,FALSE)</f>
        <v>100</v>
      </c>
      <c r="F45" s="11"/>
      <c r="G45" s="12">
        <f>VLOOKUP(TBLZAMBIDAGINGSAPI[NAMA BAHAN],[2]!TBLREKAPBAHAN[[NAMA BAHAN]:[MODAL SATUAN]],4,FALSE)</f>
        <v>100</v>
      </c>
      <c r="H45" s="12">
        <f>VLOOKUP(TBLZAMBIDAGINGSAPI[NAMA BAHAN],[2]!TBLREKAPBAHAN[[NAMA BAHAN]:[MODAL SATUAN]],4,FALSE)</f>
        <v>100</v>
      </c>
      <c r="I45" s="13">
        <v>2</v>
      </c>
      <c r="J45" s="12">
        <f t="shared" si="1"/>
        <v>200</v>
      </c>
    </row>
    <row r="46" spans="1:10" x14ac:dyDescent="0.25">
      <c r="A46" s="2"/>
      <c r="B46" s="10">
        <v>18</v>
      </c>
      <c r="C46" s="24" t="s">
        <v>55</v>
      </c>
      <c r="D46" s="25">
        <f>VLOOKUP(TBLZAMBIDAGINGSAPI[NAMA BAHAN],[2]!TBLREKAPBAHAN[[NAMA BAHAN]:[MODAL SATUAN]],2,FALSE)</f>
        <v>23000</v>
      </c>
      <c r="E46" s="25">
        <f>VLOOKUP(TBLZAMBIDAGINGSAPI[NAMA BAHAN],[2]!TBLREKAPBAHAN[[NAMA BAHAN]:[MODAL SATUAN]],3,FALSE)</f>
        <v>3000</v>
      </c>
      <c r="F46" s="11"/>
      <c r="G46" s="12">
        <f>VLOOKUP(TBLZAMBIDAGINGSAPI[NAMA BAHAN],[2]!TBLREKAPBAHAN[[NAMA BAHAN]:[MODAL SATUAN]],4,FALSE)</f>
        <v>7.666666666666667</v>
      </c>
      <c r="H46" s="12">
        <f>VLOOKUP(TBLZAMBIDAGINGSAPI[NAMA BAHAN],[2]!TBLREKAPBAHAN[[NAMA BAHAN]:[MODAL SATUAN]],4,FALSE)</f>
        <v>7.666666666666667</v>
      </c>
      <c r="I46" s="13">
        <v>5</v>
      </c>
      <c r="J46" s="12">
        <f t="shared" si="1"/>
        <v>38.333333333333336</v>
      </c>
    </row>
    <row r="47" spans="1:10" x14ac:dyDescent="0.25">
      <c r="A47" s="2"/>
      <c r="B47" s="10">
        <v>19</v>
      </c>
      <c r="C47" s="24" t="s">
        <v>52</v>
      </c>
      <c r="D47" s="25">
        <f>VLOOKUP(TBLZAMBIDAGINGSAPI[NAMA BAHAN],[2]!TBLREKAPBAHAN[[NAMA BAHAN]:[MODAL SATUAN]],2,FALSE)</f>
        <v>5500</v>
      </c>
      <c r="E47" s="25">
        <f>VLOOKUP(TBLZAMBIDAGINGSAPI[NAMA BAHAN],[2]!TBLREKAPBAHAN[[NAMA BAHAN]:[MODAL SATUAN]],3,FALSE)</f>
        <v>100</v>
      </c>
      <c r="F47" s="11"/>
      <c r="G47" s="12">
        <f>VLOOKUP(TBLZAMBIDAGINGSAPI[NAMA BAHAN],[2]!TBLREKAPBAHAN[[NAMA BAHAN]:[MODAL SATUAN]],4,FALSE)</f>
        <v>55</v>
      </c>
      <c r="H47" s="12">
        <f>VLOOKUP(TBLZAMBIDAGINGSAPI[NAMA BAHAN],[2]!TBLREKAPBAHAN[[NAMA BAHAN]:[MODAL SATUAN]],4,FALSE)</f>
        <v>55</v>
      </c>
      <c r="I47" s="13">
        <v>1</v>
      </c>
      <c r="J47" s="12">
        <f t="shared" si="1"/>
        <v>55</v>
      </c>
    </row>
    <row r="48" spans="1:10" x14ac:dyDescent="0.25">
      <c r="A48" s="2"/>
      <c r="B48" s="10">
        <v>20</v>
      </c>
      <c r="C48" s="24" t="s">
        <v>33</v>
      </c>
      <c r="D48" s="25">
        <f>VLOOKUP(TBLZAMBIDAGINGSAPI[NAMA BAHAN],[2]!TBLREKAPBAHAN[[NAMA BAHAN]:[MODAL SATUAN]],2,FALSE)</f>
        <v>6000</v>
      </c>
      <c r="E48" s="25">
        <f>VLOOKUP(TBLZAMBIDAGINGSAPI[NAMA BAHAN],[2]!TBLREKAPBAHAN[[NAMA BAHAN]:[MODAL SATUAN]],3,FALSE)</f>
        <v>100</v>
      </c>
      <c r="F48" s="37"/>
      <c r="G48" s="12">
        <f>VLOOKUP(TBLZAMBIDAGINGSAPI[NAMA BAHAN],[2]!TBLREKAPBAHAN[[NAMA BAHAN]:[MODAL SATUAN]],4,FALSE)</f>
        <v>60</v>
      </c>
      <c r="H48" s="12">
        <f>VLOOKUP(TBLZAMBIDAGINGSAPI[NAMA BAHAN],[2]!TBLREKAPBAHAN[[NAMA BAHAN]:[MODAL SATUAN]],4,FALSE)</f>
        <v>60</v>
      </c>
      <c r="I48" s="13">
        <v>1</v>
      </c>
      <c r="J48" s="12">
        <f t="shared" si="1"/>
        <v>60</v>
      </c>
    </row>
    <row r="49" spans="1:10" x14ac:dyDescent="0.25">
      <c r="A49" s="17"/>
      <c r="C49" s="147" t="s">
        <v>20</v>
      </c>
      <c r="D49" s="147"/>
      <c r="E49" s="147"/>
      <c r="F49" s="147"/>
      <c r="G49" s="147"/>
      <c r="H49" s="147"/>
      <c r="I49" s="147"/>
      <c r="J49" s="16">
        <f>SUM(J29:J48)</f>
        <v>5605.8879585326958</v>
      </c>
    </row>
  </sheetData>
  <mergeCells count="2">
    <mergeCell ref="C23:I23"/>
    <mergeCell ref="C49:I49"/>
  </mergeCells>
  <pageMargins left="0.70866141732283472" right="0.70866141732283472" top="0.74803149606299213" bottom="0.74803149606299213" header="0.31496062992125984" footer="0.31496062992125984"/>
  <pageSetup paperSize="5" scale="70" fitToWidth="0" fitToHeight="0" orientation="landscape" horizontalDpi="4294967293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8"/>
  <sheetViews>
    <sheetView tabSelected="1" zoomScale="60" zoomScaleNormal="60" workbookViewId="0">
      <selection activeCell="AR3" sqref="AR3"/>
    </sheetView>
  </sheetViews>
  <sheetFormatPr defaultRowHeight="15" x14ac:dyDescent="0.25"/>
  <cols>
    <col min="1" max="1" width="44.42578125" style="34" customWidth="1"/>
    <col min="2" max="2" width="13.5703125" style="9" customWidth="1"/>
    <col min="3" max="3" width="37.28515625" style="9" customWidth="1"/>
    <col min="4" max="4" width="15.7109375" style="1" customWidth="1"/>
    <col min="5" max="5" width="13.5703125" style="1" customWidth="1"/>
    <col min="6" max="6" width="13.5703125" style="47" customWidth="1"/>
    <col min="7" max="8" width="13.5703125" style="1" customWidth="1"/>
    <col min="9" max="9" width="13.5703125" style="18" customWidth="1"/>
    <col min="10" max="10" width="13.5703125" style="1" customWidth="1"/>
    <col min="11" max="11" width="9.140625" style="9"/>
    <col min="12" max="12" width="44.42578125" style="34" customWidth="1"/>
    <col min="13" max="13" width="13.5703125" style="9" customWidth="1"/>
    <col min="14" max="14" width="37" style="9" customWidth="1"/>
    <col min="15" max="24" width="13.5703125" style="9" customWidth="1"/>
    <col min="25" max="25" width="9.140625" style="9"/>
    <col min="26" max="26" width="62.42578125" style="34" customWidth="1"/>
    <col min="27" max="27" width="13.5703125" style="9" customWidth="1"/>
    <col min="28" max="28" width="33.28515625" style="9" customWidth="1"/>
    <col min="29" max="35" width="13.5703125" style="9" customWidth="1"/>
    <col min="36" max="36" width="9.140625" style="9"/>
    <col min="37" max="37" width="67" style="34" customWidth="1"/>
    <col min="38" max="38" width="13.5703125" style="9" customWidth="1"/>
    <col min="39" max="39" width="37" style="9" customWidth="1"/>
    <col min="40" max="46" width="13.5703125" style="9" customWidth="1"/>
    <col min="47" max="16384" width="9.140625" style="9"/>
  </cols>
  <sheetData>
    <row r="1" spans="1:46" s="4" customFormat="1" ht="63" customHeight="1" thickBot="1" x14ac:dyDescent="0.3">
      <c r="A1" s="38" t="s">
        <v>144</v>
      </c>
      <c r="B1" s="38" t="s">
        <v>90</v>
      </c>
      <c r="C1" s="38" t="s">
        <v>0</v>
      </c>
      <c r="D1" s="39" t="s">
        <v>4</v>
      </c>
      <c r="E1" s="39" t="s">
        <v>3</v>
      </c>
      <c r="F1" s="39" t="s">
        <v>19</v>
      </c>
      <c r="G1" s="39" t="s">
        <v>1</v>
      </c>
      <c r="H1" s="39" t="s">
        <v>2</v>
      </c>
      <c r="I1" s="40" t="s">
        <v>5</v>
      </c>
      <c r="J1" s="39" t="s">
        <v>145</v>
      </c>
      <c r="L1" s="38" t="s">
        <v>144</v>
      </c>
      <c r="M1" s="38" t="s">
        <v>90</v>
      </c>
      <c r="N1" s="38" t="s">
        <v>0</v>
      </c>
      <c r="O1" s="39" t="s">
        <v>4</v>
      </c>
      <c r="P1" s="39" t="s">
        <v>3</v>
      </c>
      <c r="Q1" s="39" t="s">
        <v>19</v>
      </c>
      <c r="R1" s="39" t="s">
        <v>1</v>
      </c>
      <c r="S1" s="39" t="s">
        <v>2</v>
      </c>
      <c r="T1" s="40" t="s">
        <v>179</v>
      </c>
      <c r="U1" s="39" t="s">
        <v>145</v>
      </c>
      <c r="V1" s="133" t="s">
        <v>180</v>
      </c>
      <c r="W1" s="134" t="s">
        <v>182</v>
      </c>
      <c r="X1" s="39"/>
      <c r="Z1" s="38" t="s">
        <v>144</v>
      </c>
      <c r="AA1" s="38" t="s">
        <v>90</v>
      </c>
      <c r="AB1" s="38" t="s">
        <v>0</v>
      </c>
      <c r="AC1" s="39" t="s">
        <v>4</v>
      </c>
      <c r="AD1" s="39" t="s">
        <v>3</v>
      </c>
      <c r="AE1" s="39" t="s">
        <v>19</v>
      </c>
      <c r="AF1" s="39" t="s">
        <v>1</v>
      </c>
      <c r="AG1" s="39" t="s">
        <v>2</v>
      </c>
      <c r="AH1" s="40" t="s">
        <v>5</v>
      </c>
      <c r="AI1" s="39" t="s">
        <v>145</v>
      </c>
      <c r="AK1" s="38" t="s">
        <v>144</v>
      </c>
      <c r="AL1" s="38" t="s">
        <v>90</v>
      </c>
      <c r="AM1" s="38" t="s">
        <v>0</v>
      </c>
      <c r="AN1" s="39" t="s">
        <v>4</v>
      </c>
      <c r="AO1" s="39" t="s">
        <v>3</v>
      </c>
      <c r="AP1" s="39" t="s">
        <v>19</v>
      </c>
      <c r="AQ1" s="39" t="s">
        <v>1</v>
      </c>
      <c r="AR1" s="39" t="s">
        <v>2</v>
      </c>
      <c r="AS1" s="40" t="s">
        <v>5</v>
      </c>
      <c r="AT1" s="39" t="s">
        <v>145</v>
      </c>
    </row>
    <row r="2" spans="1:46" ht="15.75" customHeight="1" x14ac:dyDescent="0.25">
      <c r="A2" s="5" t="s">
        <v>6</v>
      </c>
      <c r="B2" s="41">
        <v>1</v>
      </c>
      <c r="C2" s="10" t="s">
        <v>37</v>
      </c>
      <c r="D2" s="11">
        <f>VLOOKUP(TBLBURGERNUGGETAYAM[NAMA BAHAN],[2]!TBLREKAPBAHAN[[NAMA BAHAN]:[MODAL SATUAN]],2,FALSE)</f>
        <v>20000</v>
      </c>
      <c r="E2" s="11">
        <f>VLOOKUP(TBLBURGERNUGGETAYAM[NAMA BAHAN],[2]!TBLREKAPBAHAN[[NAMA BAHAN]:[MODAL SATUAN]],3,FALSE)</f>
        <v>1000</v>
      </c>
      <c r="F2" s="42" t="s">
        <v>36</v>
      </c>
      <c r="G2" s="12">
        <f>VLOOKUP(TBLBURGERNUGGETAYAM[NAMA BAHAN],[2]!TBLREKAPBAHAN[[NAMA BAHAN]:[MODAL SATUAN]],4,FALSE)</f>
        <v>20</v>
      </c>
      <c r="H2" s="12">
        <f>VLOOKUP(TBLBURGERNUGGETAYAM[NAMA BAHAN],[2]!TBLREKAPBAHAN[[NAMA BAHAN]:[MODAL SATUAN]],4,FALSE)</f>
        <v>20</v>
      </c>
      <c r="I2" s="13">
        <v>15</v>
      </c>
      <c r="J2" s="12">
        <f t="shared" ref="J2:J17" si="0">H2*I2</f>
        <v>300</v>
      </c>
      <c r="L2" s="5" t="s">
        <v>11</v>
      </c>
      <c r="M2" s="41">
        <v>1</v>
      </c>
      <c r="N2" s="10" t="s">
        <v>37</v>
      </c>
      <c r="O2" s="11">
        <f>VLOOKUP(TBLBURGERDAGINGSAPI[NAMA BAHAN],[2]!TBLREKAPBAHAN[[NAMA BAHAN]:[MODAL SATUAN]],2,FALSE)</f>
        <v>20000</v>
      </c>
      <c r="P2" s="11">
        <f>VLOOKUP(TBLBURGERDAGINGSAPI[NAMA BAHAN],[2]!TBLREKAPBAHAN[[NAMA BAHAN]:[MODAL SATUAN]],3,FALSE)</f>
        <v>1000</v>
      </c>
      <c r="Q2" s="42" t="s">
        <v>36</v>
      </c>
      <c r="R2" s="12">
        <f>VLOOKUP(TBLBURGERDAGINGSAPI[NAMA BAHAN],[2]!TBLREKAPBAHAN[[NAMA BAHAN]:[MODAL SATUAN]],4,FALSE)</f>
        <v>20</v>
      </c>
      <c r="S2" s="12">
        <f>VLOOKUP(TBLBURGERDAGINGSAPI[NAMA BAHAN],[2]!TBLREKAPBAHAN[[NAMA BAHAN]:[MODAL SATUAN]],4,FALSE)</f>
        <v>20</v>
      </c>
      <c r="T2" s="13">
        <v>15</v>
      </c>
      <c r="U2" s="12">
        <f t="shared" ref="U2:U17" si="1">S2*T2</f>
        <v>300</v>
      </c>
      <c r="V2" s="13">
        <v>15</v>
      </c>
      <c r="W2" s="12">
        <f>TBLBURGERDAGINGSAPI[[#This Row],[MODAL SATUAN]]*TBLBURGERDAGINGSAPI[[#This Row],[DOUBLE]]</f>
        <v>300</v>
      </c>
      <c r="X2" s="12"/>
      <c r="Z2" s="5" t="s">
        <v>38</v>
      </c>
      <c r="AA2" s="41">
        <v>1</v>
      </c>
      <c r="AB2" s="10" t="s">
        <v>37</v>
      </c>
      <c r="AC2" s="11">
        <f>VLOOKUP(TBLBURGERDAGINGSAPITANPASAYUR[NAMA BAHAN],[2]!TBLREKAPBAHAN[[NAMA BAHAN]:[MODAL SATUAN]],2,FALSE)</f>
        <v>20000</v>
      </c>
      <c r="AD2" s="11">
        <f>VLOOKUP(TBLBURGERDAGINGSAPITANPASAYUR[NAMA BAHAN],[2]!TBLREKAPBAHAN[[NAMA BAHAN]:[MODAL SATUAN]],3,FALSE)</f>
        <v>1000</v>
      </c>
      <c r="AE2" s="42" t="s">
        <v>36</v>
      </c>
      <c r="AF2" s="12">
        <f>VLOOKUP(TBLBURGERDAGINGSAPITANPASAYUR[NAMA BAHAN],[2]!TBLREKAPBAHAN[[NAMA BAHAN]:[MODAL SATUAN]],4,FALSE)</f>
        <v>20</v>
      </c>
      <c r="AG2" s="12">
        <f>VLOOKUP(TBLBURGERDAGINGSAPITANPASAYUR[NAMA BAHAN],[2]!TBLREKAPBAHAN[[NAMA BAHAN]:[MODAL SATUAN]],4,FALSE)</f>
        <v>20</v>
      </c>
      <c r="AH2" s="13">
        <v>15</v>
      </c>
      <c r="AI2" s="12">
        <f t="shared" ref="AI2:AI17" si="2">AG2*AH2</f>
        <v>300</v>
      </c>
      <c r="AK2" s="5" t="s">
        <v>92</v>
      </c>
      <c r="AL2" s="41">
        <v>1</v>
      </c>
      <c r="AM2" s="10" t="s">
        <v>37</v>
      </c>
      <c r="AN2" s="11">
        <f>VLOOKUP(TBLBURGERNUGGETAYAMTANPASAYUR[NAMA BAHAN],[2]!TBLREKAPBAHAN[[NAMA BAHAN]:[MODAL SATUAN]],2,FALSE)</f>
        <v>20000</v>
      </c>
      <c r="AO2" s="11">
        <f>VLOOKUP(TBLBURGERNUGGETAYAMTANPASAYUR[NAMA BAHAN],[2]!TBLREKAPBAHAN[[NAMA BAHAN]:[MODAL SATUAN]],3,FALSE)</f>
        <v>1000</v>
      </c>
      <c r="AP2" s="42" t="s">
        <v>36</v>
      </c>
      <c r="AQ2" s="12">
        <f>VLOOKUP(TBLBURGERNUGGETAYAMTANPASAYUR[NAMA BAHAN],[2]!TBLREKAPBAHAN[[NAMA BAHAN]:[MODAL SATUAN]],4,FALSE)</f>
        <v>20</v>
      </c>
      <c r="AR2" s="12">
        <f>VLOOKUP(TBLBURGERNUGGETAYAMTANPASAYUR[NAMA BAHAN],[2]!TBLREKAPBAHAN[[NAMA BAHAN]:[MODAL SATUAN]],4,FALSE)</f>
        <v>20</v>
      </c>
      <c r="AS2" s="13">
        <v>15</v>
      </c>
      <c r="AT2" s="12">
        <f t="shared" ref="AT2:AT17" si="3">AR2*AS2</f>
        <v>300</v>
      </c>
    </row>
    <row r="3" spans="1:46" ht="15.75" customHeight="1" x14ac:dyDescent="0.25">
      <c r="A3" s="43"/>
      <c r="B3" s="41">
        <v>2</v>
      </c>
      <c r="C3" s="10" t="s">
        <v>63</v>
      </c>
      <c r="D3" s="11">
        <f>VLOOKUP(TBLBURGERNUGGETAYAM[NAMA BAHAN],[2]!TBLREKAPBAHAN[[NAMA BAHAN]:[MODAL SATUAN]],2,FALSE)</f>
        <v>12000</v>
      </c>
      <c r="E3" s="11">
        <f>VLOOKUP(TBLBURGERNUGGETAYAM[NAMA BAHAN],[2]!TBLREKAPBAHAN[[NAMA BAHAN]:[MODAL SATUAN]],3,FALSE)</f>
        <v>250</v>
      </c>
      <c r="F3" s="42" t="s">
        <v>36</v>
      </c>
      <c r="G3" s="12">
        <f>VLOOKUP(TBLBURGERNUGGETAYAM[NAMA BAHAN],[2]!TBLREKAPBAHAN[[NAMA BAHAN]:[MODAL SATUAN]],4,FALSE)</f>
        <v>48</v>
      </c>
      <c r="H3" s="12">
        <f>VLOOKUP(TBLBURGERNUGGETAYAM[NAMA BAHAN],[2]!TBLREKAPBAHAN[[NAMA BAHAN]:[MODAL SATUAN]],4,FALSE)</f>
        <v>48</v>
      </c>
      <c r="I3" s="13">
        <v>15</v>
      </c>
      <c r="J3" s="12">
        <f t="shared" si="0"/>
        <v>720</v>
      </c>
      <c r="L3" s="43"/>
      <c r="M3" s="41">
        <v>2</v>
      </c>
      <c r="N3" s="10" t="s">
        <v>63</v>
      </c>
      <c r="O3" s="11">
        <f>VLOOKUP(TBLBURGERDAGINGSAPI[NAMA BAHAN],[2]!TBLREKAPBAHAN[[NAMA BAHAN]:[MODAL SATUAN]],2,FALSE)</f>
        <v>12000</v>
      </c>
      <c r="P3" s="11">
        <f>VLOOKUP(TBLBURGERDAGINGSAPI[NAMA BAHAN],[2]!TBLREKAPBAHAN[[NAMA BAHAN]:[MODAL SATUAN]],3,FALSE)</f>
        <v>250</v>
      </c>
      <c r="Q3" s="42" t="s">
        <v>36</v>
      </c>
      <c r="R3" s="12">
        <f>VLOOKUP(TBLBURGERDAGINGSAPI[NAMA BAHAN],[2]!TBLREKAPBAHAN[[NAMA BAHAN]:[MODAL SATUAN]],4,FALSE)</f>
        <v>48</v>
      </c>
      <c r="S3" s="12">
        <f>VLOOKUP(TBLBURGERDAGINGSAPI[NAMA BAHAN],[2]!TBLREKAPBAHAN[[NAMA BAHAN]:[MODAL SATUAN]],4,FALSE)</f>
        <v>48</v>
      </c>
      <c r="T3" s="13">
        <v>15</v>
      </c>
      <c r="U3" s="12">
        <f t="shared" si="1"/>
        <v>720</v>
      </c>
      <c r="V3" s="13">
        <v>15</v>
      </c>
      <c r="W3" s="12">
        <f>TBLBURGERDAGINGSAPI[[#This Row],[MODAL SATUAN]]*TBLBURGERDAGINGSAPI[[#This Row],[DOUBLE]]</f>
        <v>720</v>
      </c>
      <c r="X3" s="12"/>
      <c r="Z3" s="43"/>
      <c r="AA3" s="41">
        <v>2</v>
      </c>
      <c r="AB3" s="10" t="s">
        <v>63</v>
      </c>
      <c r="AC3" s="11">
        <f>VLOOKUP(TBLBURGERDAGINGSAPITANPASAYUR[NAMA BAHAN],[2]!TBLREKAPBAHAN[[NAMA BAHAN]:[MODAL SATUAN]],2,FALSE)</f>
        <v>12000</v>
      </c>
      <c r="AD3" s="11">
        <f>VLOOKUP(TBLBURGERDAGINGSAPITANPASAYUR[NAMA BAHAN],[2]!TBLREKAPBAHAN[[NAMA BAHAN]:[MODAL SATUAN]],3,FALSE)</f>
        <v>250</v>
      </c>
      <c r="AE3" s="42" t="s">
        <v>36</v>
      </c>
      <c r="AF3" s="12">
        <f>VLOOKUP(TBLBURGERDAGINGSAPITANPASAYUR[NAMA BAHAN],[2]!TBLREKAPBAHAN[[NAMA BAHAN]:[MODAL SATUAN]],4,FALSE)</f>
        <v>48</v>
      </c>
      <c r="AG3" s="12">
        <f>VLOOKUP(TBLBURGERDAGINGSAPITANPASAYUR[NAMA BAHAN],[2]!TBLREKAPBAHAN[[NAMA BAHAN]:[MODAL SATUAN]],4,FALSE)</f>
        <v>48</v>
      </c>
      <c r="AH3" s="13">
        <v>15</v>
      </c>
      <c r="AI3" s="12">
        <f t="shared" si="2"/>
        <v>720</v>
      </c>
      <c r="AK3" s="43"/>
      <c r="AL3" s="41">
        <v>2</v>
      </c>
      <c r="AM3" s="10" t="s">
        <v>63</v>
      </c>
      <c r="AN3" s="11">
        <f>VLOOKUP(TBLBURGERNUGGETAYAMTANPASAYUR[NAMA BAHAN],[2]!TBLREKAPBAHAN[[NAMA BAHAN]:[MODAL SATUAN]],2,FALSE)</f>
        <v>12000</v>
      </c>
      <c r="AO3" s="11">
        <f>VLOOKUP(TBLBURGERNUGGETAYAMTANPASAYUR[NAMA BAHAN],[2]!TBLREKAPBAHAN[[NAMA BAHAN]:[MODAL SATUAN]],3,FALSE)</f>
        <v>250</v>
      </c>
      <c r="AP3" s="42" t="s">
        <v>36</v>
      </c>
      <c r="AQ3" s="12">
        <f>VLOOKUP(TBLBURGERNUGGETAYAMTANPASAYUR[NAMA BAHAN],[2]!TBLREKAPBAHAN[[NAMA BAHAN]:[MODAL SATUAN]],4,FALSE)</f>
        <v>48</v>
      </c>
      <c r="AR3" s="12">
        <f>VLOOKUP(TBLBURGERNUGGETAYAMTANPASAYUR[NAMA BAHAN],[2]!TBLREKAPBAHAN[[NAMA BAHAN]:[MODAL SATUAN]],4,FALSE)</f>
        <v>48</v>
      </c>
      <c r="AS3" s="13">
        <v>15</v>
      </c>
      <c r="AT3" s="12">
        <f t="shared" si="3"/>
        <v>720</v>
      </c>
    </row>
    <row r="4" spans="1:46" ht="15.75" customHeight="1" x14ac:dyDescent="0.25">
      <c r="A4" s="43"/>
      <c r="B4" s="41">
        <v>3</v>
      </c>
      <c r="C4" s="10" t="s">
        <v>64</v>
      </c>
      <c r="D4" s="11">
        <f>VLOOKUP(TBLBURGERNUGGETAYAM[NAMA BAHAN],[2]!TBLREKAPBAHAN[[NAMA BAHAN]:[MODAL SATUAN]],2,FALSE)</f>
        <v>50000</v>
      </c>
      <c r="E4" s="11">
        <f>VLOOKUP(TBLBURGERNUGGETAYAM[NAMA BAHAN],[2]!TBLREKAPBAHAN[[NAMA BAHAN]:[MODAL SATUAN]],3,FALSE)</f>
        <v>1000</v>
      </c>
      <c r="F4" s="42" t="s">
        <v>36</v>
      </c>
      <c r="G4" s="12">
        <f>VLOOKUP(TBLBURGERNUGGETAYAM[NAMA BAHAN],[2]!TBLREKAPBAHAN[[NAMA BAHAN]:[MODAL SATUAN]],4,FALSE)</f>
        <v>50</v>
      </c>
      <c r="H4" s="12">
        <f>VLOOKUP(TBLBURGERNUGGETAYAM[NAMA BAHAN],[2]!TBLREKAPBAHAN[[NAMA BAHAN]:[MODAL SATUAN]],4,FALSE)</f>
        <v>50</v>
      </c>
      <c r="I4" s="13">
        <v>15</v>
      </c>
      <c r="J4" s="12">
        <f t="shared" si="0"/>
        <v>750</v>
      </c>
      <c r="L4" s="43"/>
      <c r="M4" s="41">
        <v>3</v>
      </c>
      <c r="N4" s="10" t="s">
        <v>64</v>
      </c>
      <c r="O4" s="11">
        <f>VLOOKUP(TBLBURGERDAGINGSAPI[NAMA BAHAN],[2]!TBLREKAPBAHAN[[NAMA BAHAN]:[MODAL SATUAN]],2,FALSE)</f>
        <v>50000</v>
      </c>
      <c r="P4" s="11">
        <f>VLOOKUP(TBLBURGERDAGINGSAPI[NAMA BAHAN],[2]!TBLREKAPBAHAN[[NAMA BAHAN]:[MODAL SATUAN]],3,FALSE)</f>
        <v>1000</v>
      </c>
      <c r="Q4" s="42" t="s">
        <v>36</v>
      </c>
      <c r="R4" s="12">
        <f>VLOOKUP(TBLBURGERDAGINGSAPI[NAMA BAHAN],[2]!TBLREKAPBAHAN[[NAMA BAHAN]:[MODAL SATUAN]],4,FALSE)</f>
        <v>50</v>
      </c>
      <c r="S4" s="12">
        <f>VLOOKUP(TBLBURGERDAGINGSAPI[NAMA BAHAN],[2]!TBLREKAPBAHAN[[NAMA BAHAN]:[MODAL SATUAN]],4,FALSE)</f>
        <v>50</v>
      </c>
      <c r="T4" s="13">
        <v>15</v>
      </c>
      <c r="U4" s="12">
        <f t="shared" si="1"/>
        <v>750</v>
      </c>
      <c r="V4" s="13">
        <v>15</v>
      </c>
      <c r="W4" s="12">
        <f>TBLBURGERDAGINGSAPI[[#This Row],[MODAL SATUAN]]*TBLBURGERDAGINGSAPI[[#This Row],[DOUBLE]]</f>
        <v>750</v>
      </c>
      <c r="X4" s="12"/>
      <c r="Z4" s="43"/>
      <c r="AA4" s="41">
        <v>3</v>
      </c>
      <c r="AB4" s="10" t="s">
        <v>64</v>
      </c>
      <c r="AC4" s="11">
        <f>VLOOKUP(TBLBURGERDAGINGSAPITANPASAYUR[NAMA BAHAN],[2]!TBLREKAPBAHAN[[NAMA BAHAN]:[MODAL SATUAN]],2,FALSE)</f>
        <v>50000</v>
      </c>
      <c r="AD4" s="11">
        <f>VLOOKUP(TBLBURGERDAGINGSAPITANPASAYUR[NAMA BAHAN],[2]!TBLREKAPBAHAN[[NAMA BAHAN]:[MODAL SATUAN]],3,FALSE)</f>
        <v>1000</v>
      </c>
      <c r="AE4" s="42" t="s">
        <v>36</v>
      </c>
      <c r="AF4" s="12">
        <f>VLOOKUP(TBLBURGERDAGINGSAPITANPASAYUR[NAMA BAHAN],[2]!TBLREKAPBAHAN[[NAMA BAHAN]:[MODAL SATUAN]],4,FALSE)</f>
        <v>50</v>
      </c>
      <c r="AG4" s="12">
        <f>VLOOKUP(TBLBURGERDAGINGSAPITANPASAYUR[NAMA BAHAN],[2]!TBLREKAPBAHAN[[NAMA BAHAN]:[MODAL SATUAN]],4,FALSE)</f>
        <v>50</v>
      </c>
      <c r="AH4" s="13">
        <v>15</v>
      </c>
      <c r="AI4" s="12">
        <f t="shared" si="2"/>
        <v>750</v>
      </c>
      <c r="AK4" s="43"/>
      <c r="AL4" s="41">
        <v>3</v>
      </c>
      <c r="AM4" s="10" t="s">
        <v>64</v>
      </c>
      <c r="AN4" s="11">
        <f>VLOOKUP(TBLBURGERNUGGETAYAMTANPASAYUR[NAMA BAHAN],[2]!TBLREKAPBAHAN[[NAMA BAHAN]:[MODAL SATUAN]],2,FALSE)</f>
        <v>50000</v>
      </c>
      <c r="AO4" s="11">
        <f>VLOOKUP(TBLBURGERNUGGETAYAMTANPASAYUR[NAMA BAHAN],[2]!TBLREKAPBAHAN[[NAMA BAHAN]:[MODAL SATUAN]],3,FALSE)</f>
        <v>1000</v>
      </c>
      <c r="AP4" s="42" t="s">
        <v>36</v>
      </c>
      <c r="AQ4" s="12">
        <f>VLOOKUP(TBLBURGERNUGGETAYAMTANPASAYUR[NAMA BAHAN],[2]!TBLREKAPBAHAN[[NAMA BAHAN]:[MODAL SATUAN]],4,FALSE)</f>
        <v>50</v>
      </c>
      <c r="AR4" s="12">
        <f>VLOOKUP(TBLBURGERNUGGETAYAMTANPASAYUR[NAMA BAHAN],[2]!TBLREKAPBAHAN[[NAMA BAHAN]:[MODAL SATUAN]],4,FALSE)</f>
        <v>50</v>
      </c>
      <c r="AS4" s="13">
        <v>15</v>
      </c>
      <c r="AT4" s="12">
        <f t="shared" si="3"/>
        <v>750</v>
      </c>
    </row>
    <row r="5" spans="1:46" ht="15.75" customHeight="1" x14ac:dyDescent="0.25">
      <c r="A5" s="43"/>
      <c r="B5" s="41">
        <v>4</v>
      </c>
      <c r="C5" s="10" t="s">
        <v>28</v>
      </c>
      <c r="D5" s="11">
        <f>VLOOKUP(TBLBURGERNUGGETAYAM[NAMA BAHAN],[2]!TBLREKAPBAHAN[[NAMA BAHAN]:[MODAL SATUAN]],2,FALSE)</f>
        <v>8000</v>
      </c>
      <c r="E5" s="11">
        <f>VLOOKUP(TBLBURGERNUGGETAYAM[NAMA BAHAN],[2]!TBLREKAPBAHAN[[NAMA BAHAN]:[MODAL SATUAN]],3,FALSE)</f>
        <v>24</v>
      </c>
      <c r="F5" s="42" t="s">
        <v>29</v>
      </c>
      <c r="G5" s="12">
        <f>VLOOKUP(TBLBURGERNUGGETAYAM[NAMA BAHAN],[2]!TBLREKAPBAHAN[[NAMA BAHAN]:[MODAL SATUAN]],4,FALSE)</f>
        <v>333.33333333333331</v>
      </c>
      <c r="H5" s="12">
        <f>VLOOKUP(TBLBURGERNUGGETAYAM[NAMA BAHAN],[2]!TBLREKAPBAHAN[[NAMA BAHAN]:[MODAL SATUAN]],4,FALSE)</f>
        <v>333.33333333333331</v>
      </c>
      <c r="I5" s="13">
        <v>1</v>
      </c>
      <c r="J5" s="12">
        <f t="shared" si="0"/>
        <v>333.33333333333331</v>
      </c>
      <c r="L5" s="43"/>
      <c r="M5" s="41">
        <v>4</v>
      </c>
      <c r="N5" s="10" t="s">
        <v>28</v>
      </c>
      <c r="O5" s="11">
        <f>VLOOKUP(TBLBURGERDAGINGSAPI[NAMA BAHAN],[2]!TBLREKAPBAHAN[[NAMA BAHAN]:[MODAL SATUAN]],2,FALSE)</f>
        <v>8000</v>
      </c>
      <c r="P5" s="11">
        <f>VLOOKUP(TBLBURGERDAGINGSAPI[NAMA BAHAN],[2]!TBLREKAPBAHAN[[NAMA BAHAN]:[MODAL SATUAN]],3,FALSE)</f>
        <v>24</v>
      </c>
      <c r="Q5" s="42" t="s">
        <v>29</v>
      </c>
      <c r="R5" s="12">
        <f>VLOOKUP(TBLBURGERDAGINGSAPI[NAMA BAHAN],[2]!TBLREKAPBAHAN[[NAMA BAHAN]:[MODAL SATUAN]],4,FALSE)</f>
        <v>333.33333333333331</v>
      </c>
      <c r="S5" s="12">
        <f>VLOOKUP(TBLBURGERDAGINGSAPI[NAMA BAHAN],[2]!TBLREKAPBAHAN[[NAMA BAHAN]:[MODAL SATUAN]],4,FALSE)</f>
        <v>333.33333333333331</v>
      </c>
      <c r="T5" s="13">
        <v>1</v>
      </c>
      <c r="U5" s="12">
        <f t="shared" si="1"/>
        <v>333.33333333333331</v>
      </c>
      <c r="V5" s="13">
        <v>1</v>
      </c>
      <c r="W5" s="12">
        <f>TBLBURGERDAGINGSAPI[[#This Row],[MODAL SATUAN]]*TBLBURGERDAGINGSAPI[[#This Row],[DOUBLE]]</f>
        <v>333.33333333333331</v>
      </c>
      <c r="X5" s="12"/>
      <c r="Z5" s="43"/>
      <c r="AA5" s="41">
        <v>4</v>
      </c>
      <c r="AB5" s="10" t="s">
        <v>28</v>
      </c>
      <c r="AC5" s="11">
        <f>VLOOKUP(TBLBURGERDAGINGSAPITANPASAYUR[NAMA BAHAN],[2]!TBLREKAPBAHAN[[NAMA BAHAN]:[MODAL SATUAN]],2,FALSE)</f>
        <v>8000</v>
      </c>
      <c r="AD5" s="11">
        <f>VLOOKUP(TBLBURGERDAGINGSAPITANPASAYUR[NAMA BAHAN],[2]!TBLREKAPBAHAN[[NAMA BAHAN]:[MODAL SATUAN]],3,FALSE)</f>
        <v>24</v>
      </c>
      <c r="AE5" s="42" t="s">
        <v>29</v>
      </c>
      <c r="AF5" s="12">
        <f>VLOOKUP(TBLBURGERDAGINGSAPITANPASAYUR[NAMA BAHAN],[2]!TBLREKAPBAHAN[[NAMA BAHAN]:[MODAL SATUAN]],4,FALSE)</f>
        <v>333.33333333333331</v>
      </c>
      <c r="AG5" s="12">
        <f>VLOOKUP(TBLBURGERDAGINGSAPITANPASAYUR[NAMA BAHAN],[2]!TBLREKAPBAHAN[[NAMA BAHAN]:[MODAL SATUAN]],4,FALSE)</f>
        <v>333.33333333333331</v>
      </c>
      <c r="AH5" s="13">
        <v>1</v>
      </c>
      <c r="AI5" s="12">
        <f t="shared" si="2"/>
        <v>333.33333333333331</v>
      </c>
      <c r="AK5" s="43"/>
      <c r="AL5" s="41">
        <v>4</v>
      </c>
      <c r="AM5" s="10" t="s">
        <v>28</v>
      </c>
      <c r="AN5" s="11">
        <f>VLOOKUP(TBLBURGERNUGGETAYAMTANPASAYUR[NAMA BAHAN],[2]!TBLREKAPBAHAN[[NAMA BAHAN]:[MODAL SATUAN]],2,FALSE)</f>
        <v>8000</v>
      </c>
      <c r="AO5" s="11">
        <f>VLOOKUP(TBLBURGERNUGGETAYAMTANPASAYUR[NAMA BAHAN],[2]!TBLREKAPBAHAN[[NAMA BAHAN]:[MODAL SATUAN]],3,FALSE)</f>
        <v>24</v>
      </c>
      <c r="AP5" s="42" t="s">
        <v>29</v>
      </c>
      <c r="AQ5" s="12">
        <f>VLOOKUP(TBLBURGERNUGGETAYAMTANPASAYUR[NAMA BAHAN],[2]!TBLREKAPBAHAN[[NAMA BAHAN]:[MODAL SATUAN]],4,FALSE)</f>
        <v>333.33333333333331</v>
      </c>
      <c r="AR5" s="12">
        <f>VLOOKUP(TBLBURGERNUGGETAYAMTANPASAYUR[NAMA BAHAN],[2]!TBLREKAPBAHAN[[NAMA BAHAN]:[MODAL SATUAN]],4,FALSE)</f>
        <v>333.33333333333331</v>
      </c>
      <c r="AS5" s="13">
        <v>1</v>
      </c>
      <c r="AT5" s="12">
        <f t="shared" si="3"/>
        <v>333.33333333333331</v>
      </c>
    </row>
    <row r="6" spans="1:46" ht="15.75" customHeight="1" x14ac:dyDescent="0.25">
      <c r="A6" s="43"/>
      <c r="B6" s="41">
        <v>5</v>
      </c>
      <c r="C6" s="10" t="s">
        <v>65</v>
      </c>
      <c r="D6" s="11">
        <f>VLOOKUP(TBLBURGERNUGGETAYAM[NAMA BAHAN],[2]!TBLREKAPBAHAN[[NAMA BAHAN]:[MODAL SATUAN]],2,FALSE)</f>
        <v>16000</v>
      </c>
      <c r="E6" s="11">
        <f>VLOOKUP(TBLBURGERNUGGETAYAM[NAMA BAHAN],[2]!TBLREKAPBAHAN[[NAMA BAHAN]:[MODAL SATUAN]],3,FALSE)</f>
        <v>12</v>
      </c>
      <c r="F6" s="42" t="s">
        <v>26</v>
      </c>
      <c r="G6" s="12">
        <f>VLOOKUP(TBLBURGERNUGGETAYAM[NAMA BAHAN],[2]!TBLREKAPBAHAN[[NAMA BAHAN]:[MODAL SATUAN]],4,FALSE)</f>
        <v>1333.3333333333333</v>
      </c>
      <c r="H6" s="12">
        <f>VLOOKUP(TBLBURGERNUGGETAYAM[NAMA BAHAN],[2]!TBLREKAPBAHAN[[NAMA BAHAN]:[MODAL SATUAN]],4,FALSE)</f>
        <v>1333.3333333333333</v>
      </c>
      <c r="I6" s="13">
        <v>1</v>
      </c>
      <c r="J6" s="12">
        <f t="shared" si="0"/>
        <v>1333.3333333333333</v>
      </c>
      <c r="L6" s="43"/>
      <c r="M6" s="41">
        <v>5</v>
      </c>
      <c r="N6" s="10" t="s">
        <v>65</v>
      </c>
      <c r="O6" s="11">
        <f>VLOOKUP(TBLBURGERDAGINGSAPI[NAMA BAHAN],[2]!TBLREKAPBAHAN[[NAMA BAHAN]:[MODAL SATUAN]],2,FALSE)</f>
        <v>16000</v>
      </c>
      <c r="P6" s="11">
        <f>VLOOKUP(TBLBURGERDAGINGSAPI[NAMA BAHAN],[2]!TBLREKAPBAHAN[[NAMA BAHAN]:[MODAL SATUAN]],3,FALSE)</f>
        <v>12</v>
      </c>
      <c r="Q6" s="42" t="s">
        <v>26</v>
      </c>
      <c r="R6" s="12">
        <f>VLOOKUP(TBLBURGERDAGINGSAPI[NAMA BAHAN],[2]!TBLREKAPBAHAN[[NAMA BAHAN]:[MODAL SATUAN]],4,FALSE)</f>
        <v>1333.3333333333333</v>
      </c>
      <c r="S6" s="12">
        <f>VLOOKUP(TBLBURGERDAGINGSAPI[NAMA BAHAN],[2]!TBLREKAPBAHAN[[NAMA BAHAN]:[MODAL SATUAN]],4,FALSE)</f>
        <v>1333.3333333333333</v>
      </c>
      <c r="T6" s="13">
        <v>1</v>
      </c>
      <c r="U6" s="12">
        <f t="shared" si="1"/>
        <v>1333.3333333333333</v>
      </c>
      <c r="V6" s="13">
        <v>1</v>
      </c>
      <c r="W6" s="12">
        <f>TBLBURGERDAGINGSAPI[[#This Row],[MODAL SATUAN]]*TBLBURGERDAGINGSAPI[[#This Row],[DOUBLE]]</f>
        <v>1333.3333333333333</v>
      </c>
      <c r="X6" s="12"/>
      <c r="Z6" s="43"/>
      <c r="AA6" s="41">
        <v>5</v>
      </c>
      <c r="AB6" s="10" t="s">
        <v>65</v>
      </c>
      <c r="AC6" s="11">
        <f>VLOOKUP(TBLBURGERDAGINGSAPITANPASAYUR[NAMA BAHAN],[2]!TBLREKAPBAHAN[[NAMA BAHAN]:[MODAL SATUAN]],2,FALSE)</f>
        <v>16000</v>
      </c>
      <c r="AD6" s="11">
        <f>VLOOKUP(TBLBURGERDAGINGSAPITANPASAYUR[NAMA BAHAN],[2]!TBLREKAPBAHAN[[NAMA BAHAN]:[MODAL SATUAN]],3,FALSE)</f>
        <v>12</v>
      </c>
      <c r="AE6" s="42" t="s">
        <v>26</v>
      </c>
      <c r="AF6" s="12">
        <f>VLOOKUP(TBLBURGERDAGINGSAPITANPASAYUR[NAMA BAHAN],[2]!TBLREKAPBAHAN[[NAMA BAHAN]:[MODAL SATUAN]],4,FALSE)</f>
        <v>1333.3333333333333</v>
      </c>
      <c r="AG6" s="12">
        <f>VLOOKUP(TBLBURGERDAGINGSAPITANPASAYUR[NAMA BAHAN],[2]!TBLREKAPBAHAN[[NAMA BAHAN]:[MODAL SATUAN]],4,FALSE)</f>
        <v>1333.3333333333333</v>
      </c>
      <c r="AH6" s="13">
        <v>1</v>
      </c>
      <c r="AI6" s="12">
        <f t="shared" si="2"/>
        <v>1333.3333333333333</v>
      </c>
      <c r="AK6" s="43"/>
      <c r="AL6" s="41">
        <v>5</v>
      </c>
      <c r="AM6" s="10" t="s">
        <v>65</v>
      </c>
      <c r="AN6" s="11">
        <f>VLOOKUP(TBLBURGERNUGGETAYAMTANPASAYUR[NAMA BAHAN],[2]!TBLREKAPBAHAN[[NAMA BAHAN]:[MODAL SATUAN]],2,FALSE)</f>
        <v>16000</v>
      </c>
      <c r="AO6" s="11">
        <f>VLOOKUP(TBLBURGERNUGGETAYAMTANPASAYUR[NAMA BAHAN],[2]!TBLREKAPBAHAN[[NAMA BAHAN]:[MODAL SATUAN]],3,FALSE)</f>
        <v>12</v>
      </c>
      <c r="AP6" s="42" t="s">
        <v>26</v>
      </c>
      <c r="AQ6" s="12">
        <f>VLOOKUP(TBLBURGERNUGGETAYAMTANPASAYUR[NAMA BAHAN],[2]!TBLREKAPBAHAN[[NAMA BAHAN]:[MODAL SATUAN]],4,FALSE)</f>
        <v>1333.3333333333333</v>
      </c>
      <c r="AR6" s="12">
        <f>VLOOKUP(TBLBURGERNUGGETAYAMTANPASAYUR[NAMA BAHAN],[2]!TBLREKAPBAHAN[[NAMA BAHAN]:[MODAL SATUAN]],4,FALSE)</f>
        <v>1333.3333333333333</v>
      </c>
      <c r="AS6" s="13">
        <v>2</v>
      </c>
      <c r="AT6" s="12">
        <f t="shared" si="3"/>
        <v>2666.6666666666665</v>
      </c>
    </row>
    <row r="7" spans="1:46" ht="15.75" customHeight="1" x14ac:dyDescent="0.25">
      <c r="A7" s="43"/>
      <c r="B7" s="41">
        <v>6</v>
      </c>
      <c r="C7" s="10" t="s">
        <v>143</v>
      </c>
      <c r="D7" s="11">
        <f>VLOOKUP(TBLBURGERNUGGETAYAM[NAMA BAHAN],[2]!TBLREKAPBAHAN[[NAMA BAHAN]:[MODAL SATUAN]],2,FALSE)</f>
        <v>85000</v>
      </c>
      <c r="E7" s="11">
        <f>VLOOKUP(TBLBURGERNUGGETAYAM[NAMA BAHAN],[2]!TBLREKAPBAHAN[[NAMA BAHAN]:[MODAL SATUAN]],3,FALSE)</f>
        <v>1000</v>
      </c>
      <c r="F7" s="42" t="s">
        <v>36</v>
      </c>
      <c r="G7" s="12">
        <f>VLOOKUP(TBLBURGERNUGGETAYAM[NAMA BAHAN],[2]!TBLREKAPBAHAN[[NAMA BAHAN]:[MODAL SATUAN]],4,FALSE)</f>
        <v>85</v>
      </c>
      <c r="H7" s="12">
        <f>VLOOKUP(TBLBURGERNUGGETAYAM[NAMA BAHAN],[2]!TBLREKAPBAHAN[[NAMA BAHAN]:[MODAL SATUAN]],4,FALSE)</f>
        <v>85</v>
      </c>
      <c r="I7" s="13">
        <v>0</v>
      </c>
      <c r="J7" s="12">
        <f t="shared" si="0"/>
        <v>0</v>
      </c>
      <c r="L7" s="43"/>
      <c r="M7" s="41">
        <v>6</v>
      </c>
      <c r="N7" s="10" t="s">
        <v>143</v>
      </c>
      <c r="O7" s="11">
        <f>VLOOKUP(TBLBURGERDAGINGSAPI[NAMA BAHAN],[2]!TBLREKAPBAHAN[[NAMA BAHAN]:[MODAL SATUAN]],2,FALSE)</f>
        <v>85000</v>
      </c>
      <c r="P7" s="11">
        <f>VLOOKUP(TBLBURGERDAGINGSAPI[NAMA BAHAN],[2]!TBLREKAPBAHAN[[NAMA BAHAN]:[MODAL SATUAN]],3,FALSE)</f>
        <v>1000</v>
      </c>
      <c r="Q7" s="42" t="s">
        <v>36</v>
      </c>
      <c r="R7" s="12">
        <f>VLOOKUP(TBLBURGERDAGINGSAPI[NAMA BAHAN],[2]!TBLREKAPBAHAN[[NAMA BAHAN]:[MODAL SATUAN]],4,FALSE)</f>
        <v>85</v>
      </c>
      <c r="S7" s="12">
        <f>VLOOKUP(TBLBURGERDAGINGSAPI[NAMA BAHAN],[2]!TBLREKAPBAHAN[[NAMA BAHAN]:[MODAL SATUAN]],4,FALSE)</f>
        <v>85</v>
      </c>
      <c r="T7" s="13">
        <v>45</v>
      </c>
      <c r="U7" s="12">
        <f t="shared" si="1"/>
        <v>3825</v>
      </c>
      <c r="V7" s="13">
        <v>90</v>
      </c>
      <c r="W7" s="12">
        <f>TBLBURGERDAGINGSAPI[[#This Row],[MODAL SATUAN]]*TBLBURGERDAGINGSAPI[[#This Row],[DOUBLE]]</f>
        <v>7650</v>
      </c>
      <c r="X7" s="12"/>
      <c r="Z7" s="43"/>
      <c r="AA7" s="41">
        <v>6</v>
      </c>
      <c r="AB7" s="10" t="s">
        <v>143</v>
      </c>
      <c r="AC7" s="11">
        <f>VLOOKUP(TBLBURGERDAGINGSAPITANPASAYUR[NAMA BAHAN],[2]!TBLREKAPBAHAN[[NAMA BAHAN]:[MODAL SATUAN]],2,FALSE)</f>
        <v>85000</v>
      </c>
      <c r="AD7" s="11">
        <f>VLOOKUP(TBLBURGERDAGINGSAPITANPASAYUR[NAMA BAHAN],[2]!TBLREKAPBAHAN[[NAMA BAHAN]:[MODAL SATUAN]],3,FALSE)</f>
        <v>1000</v>
      </c>
      <c r="AE7" s="42" t="s">
        <v>36</v>
      </c>
      <c r="AF7" s="12">
        <f>VLOOKUP(TBLBURGERDAGINGSAPITANPASAYUR[NAMA BAHAN],[2]!TBLREKAPBAHAN[[NAMA BAHAN]:[MODAL SATUAN]],4,FALSE)</f>
        <v>85</v>
      </c>
      <c r="AG7" s="12">
        <f>VLOOKUP(TBLBURGERDAGINGSAPITANPASAYUR[NAMA BAHAN],[2]!TBLREKAPBAHAN[[NAMA BAHAN]:[MODAL SATUAN]],4,FALSE)</f>
        <v>85</v>
      </c>
      <c r="AH7" s="13">
        <v>45</v>
      </c>
      <c r="AI7" s="12">
        <f t="shared" si="2"/>
        <v>3825</v>
      </c>
      <c r="AK7" s="43"/>
      <c r="AL7" s="41">
        <v>6</v>
      </c>
      <c r="AM7" s="10" t="s">
        <v>143</v>
      </c>
      <c r="AN7" s="11">
        <f>VLOOKUP(TBLBURGERNUGGETAYAMTANPASAYUR[NAMA BAHAN],[2]!TBLREKAPBAHAN[[NAMA BAHAN]:[MODAL SATUAN]],2,FALSE)</f>
        <v>85000</v>
      </c>
      <c r="AO7" s="11">
        <f>VLOOKUP(TBLBURGERNUGGETAYAMTANPASAYUR[NAMA BAHAN],[2]!TBLREKAPBAHAN[[NAMA BAHAN]:[MODAL SATUAN]],3,FALSE)</f>
        <v>1000</v>
      </c>
      <c r="AP7" s="42" t="s">
        <v>36</v>
      </c>
      <c r="AQ7" s="12">
        <f>VLOOKUP(TBLBURGERNUGGETAYAMTANPASAYUR[NAMA BAHAN],[2]!TBLREKAPBAHAN[[NAMA BAHAN]:[MODAL SATUAN]],4,FALSE)</f>
        <v>85</v>
      </c>
      <c r="AR7" s="12">
        <f>VLOOKUP(TBLBURGERNUGGETAYAMTANPASAYUR[NAMA BAHAN],[2]!TBLREKAPBAHAN[[NAMA BAHAN]:[MODAL SATUAN]],4,FALSE)</f>
        <v>85</v>
      </c>
      <c r="AS7" s="13">
        <v>0</v>
      </c>
      <c r="AT7" s="12">
        <f t="shared" si="3"/>
        <v>0</v>
      </c>
    </row>
    <row r="8" spans="1:46" ht="15.75" customHeight="1" x14ac:dyDescent="0.25">
      <c r="A8" s="43"/>
      <c r="B8" s="41">
        <v>7</v>
      </c>
      <c r="C8" s="10" t="s">
        <v>66</v>
      </c>
      <c r="D8" s="11">
        <f>VLOOKUP(TBLBURGERNUGGETAYAM[NAMA BAHAN],[2]!TBLREKAPBAHAN[[NAMA BAHAN]:[MODAL SATUAN]],2,FALSE)</f>
        <v>22000</v>
      </c>
      <c r="E8" s="11">
        <f>VLOOKUP(TBLBURGERNUGGETAYAM[NAMA BAHAN],[2]!TBLREKAPBAHAN[[NAMA BAHAN]:[MODAL SATUAN]],3,FALSE)</f>
        <v>6</v>
      </c>
      <c r="F8" s="42" t="s">
        <v>30</v>
      </c>
      <c r="G8" s="12">
        <f>VLOOKUP(TBLBURGERNUGGETAYAM[NAMA BAHAN],[2]!TBLREKAPBAHAN[[NAMA BAHAN]:[MODAL SATUAN]],4,FALSE)</f>
        <v>3666.6666666666665</v>
      </c>
      <c r="H8" s="12">
        <f>VLOOKUP(TBLBURGERNUGGETAYAM[NAMA BAHAN],[2]!TBLREKAPBAHAN[[NAMA BAHAN]:[MODAL SATUAN]],4,FALSE)</f>
        <v>3666.6666666666665</v>
      </c>
      <c r="I8" s="13">
        <v>1</v>
      </c>
      <c r="J8" s="12">
        <f t="shared" si="0"/>
        <v>3666.6666666666665</v>
      </c>
      <c r="L8" s="43"/>
      <c r="M8" s="41">
        <v>7</v>
      </c>
      <c r="N8" s="10" t="s">
        <v>66</v>
      </c>
      <c r="O8" s="11">
        <f>VLOOKUP(TBLBURGERDAGINGSAPI[NAMA BAHAN],[2]!TBLREKAPBAHAN[[NAMA BAHAN]:[MODAL SATUAN]],2,FALSE)</f>
        <v>22000</v>
      </c>
      <c r="P8" s="11">
        <f>VLOOKUP(TBLBURGERDAGINGSAPI[NAMA BAHAN],[2]!TBLREKAPBAHAN[[NAMA BAHAN]:[MODAL SATUAN]],3,FALSE)</f>
        <v>6</v>
      </c>
      <c r="Q8" s="42" t="s">
        <v>30</v>
      </c>
      <c r="R8" s="12">
        <f>VLOOKUP(TBLBURGERDAGINGSAPI[NAMA BAHAN],[2]!TBLREKAPBAHAN[[NAMA BAHAN]:[MODAL SATUAN]],4,FALSE)</f>
        <v>3666.6666666666665</v>
      </c>
      <c r="S8" s="12">
        <f>VLOOKUP(TBLBURGERDAGINGSAPI[NAMA BAHAN],[2]!TBLREKAPBAHAN[[NAMA BAHAN]:[MODAL SATUAN]],4,FALSE)</f>
        <v>3666.6666666666665</v>
      </c>
      <c r="T8" s="13">
        <v>0</v>
      </c>
      <c r="U8" s="12">
        <f t="shared" si="1"/>
        <v>0</v>
      </c>
      <c r="V8" s="13">
        <v>0</v>
      </c>
      <c r="W8" s="12">
        <f>TBLBURGERDAGINGSAPI[[#This Row],[MODAL SATUAN]]*TBLBURGERDAGINGSAPI[[#This Row],[DOUBLE]]</f>
        <v>0</v>
      </c>
      <c r="X8" s="12"/>
      <c r="Z8" s="43"/>
      <c r="AA8" s="41">
        <v>7</v>
      </c>
      <c r="AB8" s="10" t="s">
        <v>66</v>
      </c>
      <c r="AC8" s="11">
        <f>VLOOKUP(TBLBURGERDAGINGSAPITANPASAYUR[NAMA BAHAN],[2]!TBLREKAPBAHAN[[NAMA BAHAN]:[MODAL SATUAN]],2,FALSE)</f>
        <v>22000</v>
      </c>
      <c r="AD8" s="11">
        <f>VLOOKUP(TBLBURGERDAGINGSAPITANPASAYUR[NAMA BAHAN],[2]!TBLREKAPBAHAN[[NAMA BAHAN]:[MODAL SATUAN]],3,FALSE)</f>
        <v>6</v>
      </c>
      <c r="AE8" s="42" t="s">
        <v>30</v>
      </c>
      <c r="AF8" s="12">
        <f>VLOOKUP(TBLBURGERDAGINGSAPITANPASAYUR[NAMA BAHAN],[2]!TBLREKAPBAHAN[[NAMA BAHAN]:[MODAL SATUAN]],4,FALSE)</f>
        <v>3666.6666666666665</v>
      </c>
      <c r="AG8" s="12">
        <f>VLOOKUP(TBLBURGERDAGINGSAPITANPASAYUR[NAMA BAHAN],[2]!TBLREKAPBAHAN[[NAMA BAHAN]:[MODAL SATUAN]],4,FALSE)</f>
        <v>3666.6666666666665</v>
      </c>
      <c r="AH8" s="13">
        <v>0</v>
      </c>
      <c r="AI8" s="12">
        <f t="shared" si="2"/>
        <v>0</v>
      </c>
      <c r="AK8" s="43"/>
      <c r="AL8" s="41">
        <v>7</v>
      </c>
      <c r="AM8" s="10" t="s">
        <v>66</v>
      </c>
      <c r="AN8" s="11">
        <f>VLOOKUP(TBLBURGERNUGGETAYAMTANPASAYUR[NAMA BAHAN],[2]!TBLREKAPBAHAN[[NAMA BAHAN]:[MODAL SATUAN]],2,FALSE)</f>
        <v>22000</v>
      </c>
      <c r="AO8" s="11">
        <f>VLOOKUP(TBLBURGERNUGGETAYAMTANPASAYUR[NAMA BAHAN],[2]!TBLREKAPBAHAN[[NAMA BAHAN]:[MODAL SATUAN]],3,FALSE)</f>
        <v>6</v>
      </c>
      <c r="AP8" s="42" t="s">
        <v>30</v>
      </c>
      <c r="AQ8" s="12">
        <f>VLOOKUP(TBLBURGERNUGGETAYAMTANPASAYUR[NAMA BAHAN],[2]!TBLREKAPBAHAN[[NAMA BAHAN]:[MODAL SATUAN]],4,FALSE)</f>
        <v>3666.6666666666665</v>
      </c>
      <c r="AR8" s="12">
        <f>VLOOKUP(TBLBURGERNUGGETAYAMTANPASAYUR[NAMA BAHAN],[2]!TBLREKAPBAHAN[[NAMA BAHAN]:[MODAL SATUAN]],4,FALSE)</f>
        <v>3666.6666666666665</v>
      </c>
      <c r="AS8" s="13">
        <v>1</v>
      </c>
      <c r="AT8" s="12">
        <f t="shared" si="3"/>
        <v>3666.6666666666665</v>
      </c>
    </row>
    <row r="9" spans="1:46" ht="15.75" customHeight="1" x14ac:dyDescent="0.25">
      <c r="A9" s="43"/>
      <c r="B9" s="41">
        <v>8</v>
      </c>
      <c r="C9" s="10" t="s">
        <v>67</v>
      </c>
      <c r="D9" s="11">
        <f>VLOOKUP(TBLBURGERNUGGETAYAM[NAMA BAHAN],[2]!TBLREKAPBAHAN[[NAMA BAHAN]:[MODAL SATUAN]],2,FALSE)</f>
        <v>15000</v>
      </c>
      <c r="E9" s="11">
        <f>VLOOKUP(TBLBURGERNUGGETAYAM[NAMA BAHAN],[2]!TBLREKAPBAHAN[[NAMA BAHAN]:[MODAL SATUAN]],3,FALSE)</f>
        <v>6</v>
      </c>
      <c r="F9" s="42" t="s">
        <v>30</v>
      </c>
      <c r="G9" s="12">
        <f>VLOOKUP(TBLBURGERNUGGETAYAM[NAMA BAHAN],[2]!TBLREKAPBAHAN[[NAMA BAHAN]:[MODAL SATUAN]],4,FALSE)</f>
        <v>2500</v>
      </c>
      <c r="H9" s="12">
        <f>VLOOKUP(TBLBURGERNUGGETAYAM[NAMA BAHAN],[2]!TBLREKAPBAHAN[[NAMA BAHAN]:[MODAL SATUAN]],4,FALSE)</f>
        <v>2500</v>
      </c>
      <c r="I9" s="13">
        <v>1</v>
      </c>
      <c r="J9" s="12">
        <f t="shared" si="0"/>
        <v>2500</v>
      </c>
      <c r="L9" s="43"/>
      <c r="M9" s="41">
        <v>8</v>
      </c>
      <c r="N9" s="10" t="s">
        <v>67</v>
      </c>
      <c r="O9" s="11">
        <f>VLOOKUP(TBLBURGERDAGINGSAPI[NAMA BAHAN],[2]!TBLREKAPBAHAN[[NAMA BAHAN]:[MODAL SATUAN]],2,FALSE)</f>
        <v>15000</v>
      </c>
      <c r="P9" s="11">
        <f>VLOOKUP(TBLBURGERDAGINGSAPI[NAMA BAHAN],[2]!TBLREKAPBAHAN[[NAMA BAHAN]:[MODAL SATUAN]],3,FALSE)</f>
        <v>6</v>
      </c>
      <c r="Q9" s="42" t="s">
        <v>30</v>
      </c>
      <c r="R9" s="12">
        <f>VLOOKUP(TBLBURGERDAGINGSAPI[NAMA BAHAN],[2]!TBLREKAPBAHAN[[NAMA BAHAN]:[MODAL SATUAN]],4,FALSE)</f>
        <v>2500</v>
      </c>
      <c r="S9" s="12">
        <f>VLOOKUP(TBLBURGERDAGINGSAPI[NAMA BAHAN],[2]!TBLREKAPBAHAN[[NAMA BAHAN]:[MODAL SATUAN]],4,FALSE)</f>
        <v>2500</v>
      </c>
      <c r="T9" s="13">
        <v>1</v>
      </c>
      <c r="U9" s="12">
        <f t="shared" si="1"/>
        <v>2500</v>
      </c>
      <c r="V9" s="13">
        <v>1</v>
      </c>
      <c r="W9" s="12">
        <f>TBLBURGERDAGINGSAPI[[#This Row],[MODAL SATUAN]]*TBLBURGERDAGINGSAPI[[#This Row],[DOUBLE]]</f>
        <v>2500</v>
      </c>
      <c r="X9" s="12"/>
      <c r="Z9" s="43"/>
      <c r="AA9" s="41">
        <v>8</v>
      </c>
      <c r="AB9" s="10" t="s">
        <v>67</v>
      </c>
      <c r="AC9" s="11">
        <f>VLOOKUP(TBLBURGERDAGINGSAPITANPASAYUR[NAMA BAHAN],[2]!TBLREKAPBAHAN[[NAMA BAHAN]:[MODAL SATUAN]],2,FALSE)</f>
        <v>15000</v>
      </c>
      <c r="AD9" s="11">
        <f>VLOOKUP(TBLBURGERDAGINGSAPITANPASAYUR[NAMA BAHAN],[2]!TBLREKAPBAHAN[[NAMA BAHAN]:[MODAL SATUAN]],3,FALSE)</f>
        <v>6</v>
      </c>
      <c r="AE9" s="42" t="s">
        <v>30</v>
      </c>
      <c r="AF9" s="12">
        <f>VLOOKUP(TBLBURGERDAGINGSAPITANPASAYUR[NAMA BAHAN],[2]!TBLREKAPBAHAN[[NAMA BAHAN]:[MODAL SATUAN]],4,FALSE)</f>
        <v>2500</v>
      </c>
      <c r="AG9" s="12">
        <f>VLOOKUP(TBLBURGERDAGINGSAPITANPASAYUR[NAMA BAHAN],[2]!TBLREKAPBAHAN[[NAMA BAHAN]:[MODAL SATUAN]],4,FALSE)</f>
        <v>2500</v>
      </c>
      <c r="AH9" s="13">
        <v>1</v>
      </c>
      <c r="AI9" s="12">
        <f t="shared" si="2"/>
        <v>2500</v>
      </c>
      <c r="AK9" s="43"/>
      <c r="AL9" s="41">
        <v>8</v>
      </c>
      <c r="AM9" s="10" t="s">
        <v>67</v>
      </c>
      <c r="AN9" s="11">
        <f>VLOOKUP(TBLBURGERNUGGETAYAMTANPASAYUR[NAMA BAHAN],[2]!TBLREKAPBAHAN[[NAMA BAHAN]:[MODAL SATUAN]],2,FALSE)</f>
        <v>15000</v>
      </c>
      <c r="AO9" s="11">
        <f>VLOOKUP(TBLBURGERNUGGETAYAMTANPASAYUR[NAMA BAHAN],[2]!TBLREKAPBAHAN[[NAMA BAHAN]:[MODAL SATUAN]],3,FALSE)</f>
        <v>6</v>
      </c>
      <c r="AP9" s="42" t="s">
        <v>30</v>
      </c>
      <c r="AQ9" s="12">
        <f>VLOOKUP(TBLBURGERNUGGETAYAMTANPASAYUR[NAMA BAHAN],[2]!TBLREKAPBAHAN[[NAMA BAHAN]:[MODAL SATUAN]],4,FALSE)</f>
        <v>2500</v>
      </c>
      <c r="AR9" s="12">
        <f>VLOOKUP(TBLBURGERNUGGETAYAMTANPASAYUR[NAMA BAHAN],[2]!TBLREKAPBAHAN[[NAMA BAHAN]:[MODAL SATUAN]],4,FALSE)</f>
        <v>2500</v>
      </c>
      <c r="AS9" s="13">
        <v>1</v>
      </c>
      <c r="AT9" s="12">
        <f t="shared" si="3"/>
        <v>2500</v>
      </c>
    </row>
    <row r="10" spans="1:46" ht="15.75" customHeight="1" x14ac:dyDescent="0.25">
      <c r="A10" s="43"/>
      <c r="B10" s="41">
        <v>9</v>
      </c>
      <c r="C10" s="10" t="s">
        <v>68</v>
      </c>
      <c r="D10" s="11">
        <f>VLOOKUP(TBLBURGERNUGGETAYAM[NAMA BAHAN],[2]!TBLREKAPBAHAN[[NAMA BAHAN]:[MODAL SATUAN]],2,FALSE)</f>
        <v>2000</v>
      </c>
      <c r="E10" s="11">
        <f>VLOOKUP(TBLBURGERNUGGETAYAM[NAMA BAHAN],[2]!TBLREKAPBAHAN[[NAMA BAHAN]:[MODAL SATUAN]],3,FALSE)</f>
        <v>60</v>
      </c>
      <c r="F10" s="42" t="s">
        <v>91</v>
      </c>
      <c r="G10" s="12">
        <f>VLOOKUP(TBLBURGERNUGGETAYAM[NAMA BAHAN],[2]!TBLREKAPBAHAN[[NAMA BAHAN]:[MODAL SATUAN]],4,FALSE)</f>
        <v>33.333333333333336</v>
      </c>
      <c r="H10" s="12">
        <f>VLOOKUP(TBLBURGERNUGGETAYAM[NAMA BAHAN],[2]!TBLREKAPBAHAN[[NAMA BAHAN]:[MODAL SATUAN]],4,FALSE)</f>
        <v>33.333333333333336</v>
      </c>
      <c r="I10" s="13">
        <v>3</v>
      </c>
      <c r="J10" s="12">
        <f t="shared" si="0"/>
        <v>100</v>
      </c>
      <c r="L10" s="43"/>
      <c r="M10" s="41">
        <v>9</v>
      </c>
      <c r="N10" s="10" t="s">
        <v>68</v>
      </c>
      <c r="O10" s="11">
        <f>VLOOKUP(TBLBURGERDAGINGSAPI[NAMA BAHAN],[2]!TBLREKAPBAHAN[[NAMA BAHAN]:[MODAL SATUAN]],2,FALSE)</f>
        <v>2000</v>
      </c>
      <c r="P10" s="11">
        <f>VLOOKUP(TBLBURGERDAGINGSAPI[NAMA BAHAN],[2]!TBLREKAPBAHAN[[NAMA BAHAN]:[MODAL SATUAN]],3,FALSE)</f>
        <v>60</v>
      </c>
      <c r="Q10" s="42" t="s">
        <v>91</v>
      </c>
      <c r="R10" s="12">
        <f>VLOOKUP(TBLBURGERDAGINGSAPI[NAMA BAHAN],[2]!TBLREKAPBAHAN[[NAMA BAHAN]:[MODAL SATUAN]],4,FALSE)</f>
        <v>33.333333333333336</v>
      </c>
      <c r="S10" s="12">
        <f>VLOOKUP(TBLBURGERDAGINGSAPI[NAMA BAHAN],[2]!TBLREKAPBAHAN[[NAMA BAHAN]:[MODAL SATUAN]],4,FALSE)</f>
        <v>33.333333333333336</v>
      </c>
      <c r="T10" s="13">
        <v>3</v>
      </c>
      <c r="U10" s="12">
        <f t="shared" si="1"/>
        <v>100</v>
      </c>
      <c r="V10" s="13">
        <v>3</v>
      </c>
      <c r="W10" s="12">
        <f>TBLBURGERDAGINGSAPI[[#This Row],[MODAL SATUAN]]*TBLBURGERDAGINGSAPI[[#This Row],[DOUBLE]]</f>
        <v>100</v>
      </c>
      <c r="X10" s="12"/>
      <c r="Z10" s="43"/>
      <c r="AA10" s="41">
        <v>9</v>
      </c>
      <c r="AB10" s="10" t="s">
        <v>68</v>
      </c>
      <c r="AC10" s="11">
        <f>VLOOKUP(TBLBURGERDAGINGSAPITANPASAYUR[NAMA BAHAN],[2]!TBLREKAPBAHAN[[NAMA BAHAN]:[MODAL SATUAN]],2,FALSE)</f>
        <v>2000</v>
      </c>
      <c r="AD10" s="11">
        <f>VLOOKUP(TBLBURGERDAGINGSAPITANPASAYUR[NAMA BAHAN],[2]!TBLREKAPBAHAN[[NAMA BAHAN]:[MODAL SATUAN]],3,FALSE)</f>
        <v>60</v>
      </c>
      <c r="AE10" s="42" t="s">
        <v>91</v>
      </c>
      <c r="AF10" s="12">
        <f>VLOOKUP(TBLBURGERDAGINGSAPITANPASAYUR[NAMA BAHAN],[2]!TBLREKAPBAHAN[[NAMA BAHAN]:[MODAL SATUAN]],4,FALSE)</f>
        <v>33.333333333333336</v>
      </c>
      <c r="AG10" s="12">
        <f>VLOOKUP(TBLBURGERDAGINGSAPITANPASAYUR[NAMA BAHAN],[2]!TBLREKAPBAHAN[[NAMA BAHAN]:[MODAL SATUAN]],4,FALSE)</f>
        <v>33.333333333333336</v>
      </c>
      <c r="AH10" s="13">
        <v>0</v>
      </c>
      <c r="AI10" s="12">
        <f t="shared" si="2"/>
        <v>0</v>
      </c>
      <c r="AK10" s="43"/>
      <c r="AL10" s="41">
        <v>9</v>
      </c>
      <c r="AM10" s="10" t="s">
        <v>68</v>
      </c>
      <c r="AN10" s="11">
        <f>VLOOKUP(TBLBURGERNUGGETAYAMTANPASAYUR[NAMA BAHAN],[2]!TBLREKAPBAHAN[[NAMA BAHAN]:[MODAL SATUAN]],2,FALSE)</f>
        <v>2000</v>
      </c>
      <c r="AO10" s="11">
        <f>VLOOKUP(TBLBURGERNUGGETAYAMTANPASAYUR[NAMA BAHAN],[2]!TBLREKAPBAHAN[[NAMA BAHAN]:[MODAL SATUAN]],3,FALSE)</f>
        <v>60</v>
      </c>
      <c r="AP10" s="42" t="s">
        <v>91</v>
      </c>
      <c r="AQ10" s="12">
        <f>VLOOKUP(TBLBURGERNUGGETAYAMTANPASAYUR[NAMA BAHAN],[2]!TBLREKAPBAHAN[[NAMA BAHAN]:[MODAL SATUAN]],4,FALSE)</f>
        <v>33.333333333333336</v>
      </c>
      <c r="AR10" s="12">
        <f>VLOOKUP(TBLBURGERNUGGETAYAMTANPASAYUR[NAMA BAHAN],[2]!TBLREKAPBAHAN[[NAMA BAHAN]:[MODAL SATUAN]],4,FALSE)</f>
        <v>33.333333333333336</v>
      </c>
      <c r="AS10" s="13">
        <v>0</v>
      </c>
      <c r="AT10" s="12">
        <f t="shared" si="3"/>
        <v>0</v>
      </c>
    </row>
    <row r="11" spans="1:46" ht="15.75" customHeight="1" x14ac:dyDescent="0.25">
      <c r="A11" s="43"/>
      <c r="B11" s="41">
        <v>10</v>
      </c>
      <c r="C11" s="10" t="s">
        <v>69</v>
      </c>
      <c r="D11" s="11">
        <f>VLOOKUP(TBLBURGERNUGGETAYAM[NAMA BAHAN],[2]!TBLREKAPBAHAN[[NAMA BAHAN]:[MODAL SATUAN]],2,FALSE)</f>
        <v>2000</v>
      </c>
      <c r="E11" s="11">
        <f>VLOOKUP(TBLBURGERNUGGETAYAM[NAMA BAHAN],[2]!TBLREKAPBAHAN[[NAMA BAHAN]:[MODAL SATUAN]],3,FALSE)</f>
        <v>45</v>
      </c>
      <c r="F11" s="42" t="s">
        <v>91</v>
      </c>
      <c r="G11" s="12">
        <f>VLOOKUP(TBLBURGERNUGGETAYAM[NAMA BAHAN],[2]!TBLREKAPBAHAN[[NAMA BAHAN]:[MODAL SATUAN]],4,FALSE)</f>
        <v>44.444444444444443</v>
      </c>
      <c r="H11" s="12">
        <f>VLOOKUP(TBLBURGERNUGGETAYAM[NAMA BAHAN],[2]!TBLREKAPBAHAN[[NAMA BAHAN]:[MODAL SATUAN]],4,FALSE)</f>
        <v>44.444444444444443</v>
      </c>
      <c r="I11" s="13">
        <v>2</v>
      </c>
      <c r="J11" s="12">
        <f t="shared" si="0"/>
        <v>88.888888888888886</v>
      </c>
      <c r="L11" s="43"/>
      <c r="M11" s="41">
        <v>10</v>
      </c>
      <c r="N11" s="10" t="s">
        <v>69</v>
      </c>
      <c r="O11" s="11">
        <f>VLOOKUP(TBLBURGERDAGINGSAPI[NAMA BAHAN],[2]!TBLREKAPBAHAN[[NAMA BAHAN]:[MODAL SATUAN]],2,FALSE)</f>
        <v>2000</v>
      </c>
      <c r="P11" s="11">
        <f>VLOOKUP(TBLBURGERDAGINGSAPI[NAMA BAHAN],[2]!TBLREKAPBAHAN[[NAMA BAHAN]:[MODAL SATUAN]],3,FALSE)</f>
        <v>45</v>
      </c>
      <c r="Q11" s="42" t="s">
        <v>91</v>
      </c>
      <c r="R11" s="12">
        <f>VLOOKUP(TBLBURGERDAGINGSAPI[NAMA BAHAN],[2]!TBLREKAPBAHAN[[NAMA BAHAN]:[MODAL SATUAN]],4,FALSE)</f>
        <v>44.444444444444443</v>
      </c>
      <c r="S11" s="12">
        <f>VLOOKUP(TBLBURGERDAGINGSAPI[NAMA BAHAN],[2]!TBLREKAPBAHAN[[NAMA BAHAN]:[MODAL SATUAN]],4,FALSE)</f>
        <v>44.444444444444443</v>
      </c>
      <c r="T11" s="13">
        <v>2</v>
      </c>
      <c r="U11" s="12">
        <f t="shared" si="1"/>
        <v>88.888888888888886</v>
      </c>
      <c r="V11" s="13">
        <v>2</v>
      </c>
      <c r="W11" s="12">
        <f>TBLBURGERDAGINGSAPI[[#This Row],[MODAL SATUAN]]*TBLBURGERDAGINGSAPI[[#This Row],[DOUBLE]]</f>
        <v>88.888888888888886</v>
      </c>
      <c r="X11" s="12"/>
      <c r="Z11" s="43"/>
      <c r="AA11" s="41">
        <v>10</v>
      </c>
      <c r="AB11" s="10" t="s">
        <v>69</v>
      </c>
      <c r="AC11" s="11">
        <f>VLOOKUP(TBLBURGERDAGINGSAPITANPASAYUR[NAMA BAHAN],[2]!TBLREKAPBAHAN[[NAMA BAHAN]:[MODAL SATUAN]],2,FALSE)</f>
        <v>2000</v>
      </c>
      <c r="AD11" s="11">
        <f>VLOOKUP(TBLBURGERDAGINGSAPITANPASAYUR[NAMA BAHAN],[2]!TBLREKAPBAHAN[[NAMA BAHAN]:[MODAL SATUAN]],3,FALSE)</f>
        <v>45</v>
      </c>
      <c r="AE11" s="42" t="s">
        <v>91</v>
      </c>
      <c r="AF11" s="12">
        <f>VLOOKUP(TBLBURGERDAGINGSAPITANPASAYUR[NAMA BAHAN],[2]!TBLREKAPBAHAN[[NAMA BAHAN]:[MODAL SATUAN]],4,FALSE)</f>
        <v>44.444444444444443</v>
      </c>
      <c r="AG11" s="12">
        <f>VLOOKUP(TBLBURGERDAGINGSAPITANPASAYUR[NAMA BAHAN],[2]!TBLREKAPBAHAN[[NAMA BAHAN]:[MODAL SATUAN]],4,FALSE)</f>
        <v>44.444444444444443</v>
      </c>
      <c r="AH11" s="13">
        <v>0</v>
      </c>
      <c r="AI11" s="12">
        <f t="shared" si="2"/>
        <v>0</v>
      </c>
      <c r="AK11" s="43"/>
      <c r="AL11" s="41">
        <v>10</v>
      </c>
      <c r="AM11" s="10" t="s">
        <v>69</v>
      </c>
      <c r="AN11" s="11">
        <f>VLOOKUP(TBLBURGERNUGGETAYAMTANPASAYUR[NAMA BAHAN],[2]!TBLREKAPBAHAN[[NAMA BAHAN]:[MODAL SATUAN]],2,FALSE)</f>
        <v>2000</v>
      </c>
      <c r="AO11" s="11">
        <f>VLOOKUP(TBLBURGERNUGGETAYAMTANPASAYUR[NAMA BAHAN],[2]!TBLREKAPBAHAN[[NAMA BAHAN]:[MODAL SATUAN]],3,FALSE)</f>
        <v>45</v>
      </c>
      <c r="AP11" s="42" t="s">
        <v>91</v>
      </c>
      <c r="AQ11" s="12">
        <f>VLOOKUP(TBLBURGERNUGGETAYAMTANPASAYUR[NAMA BAHAN],[2]!TBLREKAPBAHAN[[NAMA BAHAN]:[MODAL SATUAN]],4,FALSE)</f>
        <v>44.444444444444443</v>
      </c>
      <c r="AR11" s="12">
        <f>VLOOKUP(TBLBURGERNUGGETAYAMTANPASAYUR[NAMA BAHAN],[2]!TBLREKAPBAHAN[[NAMA BAHAN]:[MODAL SATUAN]],4,FALSE)</f>
        <v>44.444444444444443</v>
      </c>
      <c r="AS11" s="13">
        <v>0</v>
      </c>
      <c r="AT11" s="12">
        <f t="shared" si="3"/>
        <v>0</v>
      </c>
    </row>
    <row r="12" spans="1:46" ht="15.75" customHeight="1" x14ac:dyDescent="0.25">
      <c r="A12" s="43"/>
      <c r="B12" s="41">
        <v>11</v>
      </c>
      <c r="C12" s="10" t="s">
        <v>59</v>
      </c>
      <c r="D12" s="11">
        <f>VLOOKUP(TBLBURGERNUGGETAYAM[NAMA BAHAN],[2]!TBLREKAPBAHAN[[NAMA BAHAN]:[MODAL SATUAN]],2,FALSE)</f>
        <v>60000</v>
      </c>
      <c r="E12" s="11">
        <f>VLOOKUP(TBLBURGERNUGGETAYAM[NAMA BAHAN],[2]!TBLREKAPBAHAN[[NAMA BAHAN]:[MODAL SATUAN]],3,FALSE)</f>
        <v>50</v>
      </c>
      <c r="F12" s="42" t="s">
        <v>23</v>
      </c>
      <c r="G12" s="12">
        <f>VLOOKUP(TBLBURGERNUGGETAYAM[NAMA BAHAN],[2]!TBLREKAPBAHAN[[NAMA BAHAN]:[MODAL SATUAN]],4,FALSE)</f>
        <v>1200</v>
      </c>
      <c r="H12" s="12">
        <f>VLOOKUP(TBLBURGERNUGGETAYAM[NAMA BAHAN],[2]!TBLREKAPBAHAN[[NAMA BAHAN]:[MODAL SATUAN]],4,FALSE)</f>
        <v>1200</v>
      </c>
      <c r="I12" s="13">
        <v>0.5</v>
      </c>
      <c r="J12" s="12">
        <f t="shared" si="0"/>
        <v>600</v>
      </c>
      <c r="L12" s="43"/>
      <c r="M12" s="41">
        <v>11</v>
      </c>
      <c r="N12" s="10" t="s">
        <v>59</v>
      </c>
      <c r="O12" s="11">
        <f>VLOOKUP(TBLBURGERDAGINGSAPI[NAMA BAHAN],[2]!TBLREKAPBAHAN[[NAMA BAHAN]:[MODAL SATUAN]],2,FALSE)</f>
        <v>60000</v>
      </c>
      <c r="P12" s="11">
        <f>VLOOKUP(TBLBURGERDAGINGSAPI[NAMA BAHAN],[2]!TBLREKAPBAHAN[[NAMA BAHAN]:[MODAL SATUAN]],3,FALSE)</f>
        <v>50</v>
      </c>
      <c r="Q12" s="42" t="s">
        <v>23</v>
      </c>
      <c r="R12" s="12">
        <f>VLOOKUP(TBLBURGERDAGINGSAPI[NAMA BAHAN],[2]!TBLREKAPBAHAN[[NAMA BAHAN]:[MODAL SATUAN]],4,FALSE)</f>
        <v>1200</v>
      </c>
      <c r="S12" s="12">
        <f>VLOOKUP(TBLBURGERDAGINGSAPI[NAMA BAHAN],[2]!TBLREKAPBAHAN[[NAMA BAHAN]:[MODAL SATUAN]],4,FALSE)</f>
        <v>1200</v>
      </c>
      <c r="T12" s="13">
        <v>0.5</v>
      </c>
      <c r="U12" s="12">
        <f t="shared" si="1"/>
        <v>600</v>
      </c>
      <c r="V12" s="13">
        <v>0.5</v>
      </c>
      <c r="W12" s="12">
        <f>TBLBURGERDAGINGSAPI[[#This Row],[MODAL SATUAN]]*TBLBURGERDAGINGSAPI[[#This Row],[DOUBLE]]</f>
        <v>600</v>
      </c>
      <c r="X12" s="12"/>
      <c r="Z12" s="43"/>
      <c r="AA12" s="41">
        <v>11</v>
      </c>
      <c r="AB12" s="10" t="s">
        <v>59</v>
      </c>
      <c r="AC12" s="11">
        <f>VLOOKUP(TBLBURGERDAGINGSAPITANPASAYUR[NAMA BAHAN],[2]!TBLREKAPBAHAN[[NAMA BAHAN]:[MODAL SATUAN]],2,FALSE)</f>
        <v>60000</v>
      </c>
      <c r="AD12" s="11">
        <f>VLOOKUP(TBLBURGERDAGINGSAPITANPASAYUR[NAMA BAHAN],[2]!TBLREKAPBAHAN[[NAMA BAHAN]:[MODAL SATUAN]],3,FALSE)</f>
        <v>50</v>
      </c>
      <c r="AE12" s="42" t="s">
        <v>23</v>
      </c>
      <c r="AF12" s="12">
        <f>VLOOKUP(TBLBURGERDAGINGSAPITANPASAYUR[NAMA BAHAN],[2]!TBLREKAPBAHAN[[NAMA BAHAN]:[MODAL SATUAN]],4,FALSE)</f>
        <v>1200</v>
      </c>
      <c r="AG12" s="12">
        <f>VLOOKUP(TBLBURGERDAGINGSAPITANPASAYUR[NAMA BAHAN],[2]!TBLREKAPBAHAN[[NAMA BAHAN]:[MODAL SATUAN]],4,FALSE)</f>
        <v>1200</v>
      </c>
      <c r="AH12" s="13">
        <v>0</v>
      </c>
      <c r="AI12" s="12">
        <f t="shared" si="2"/>
        <v>0</v>
      </c>
      <c r="AK12" s="43"/>
      <c r="AL12" s="41">
        <v>11</v>
      </c>
      <c r="AM12" s="10" t="s">
        <v>59</v>
      </c>
      <c r="AN12" s="11">
        <f>VLOOKUP(TBLBURGERNUGGETAYAMTANPASAYUR[NAMA BAHAN],[2]!TBLREKAPBAHAN[[NAMA BAHAN]:[MODAL SATUAN]],2,FALSE)</f>
        <v>60000</v>
      </c>
      <c r="AO12" s="11">
        <f>VLOOKUP(TBLBURGERNUGGETAYAMTANPASAYUR[NAMA BAHAN],[2]!TBLREKAPBAHAN[[NAMA BAHAN]:[MODAL SATUAN]],3,FALSE)</f>
        <v>50</v>
      </c>
      <c r="AP12" s="42" t="s">
        <v>23</v>
      </c>
      <c r="AQ12" s="12">
        <f>VLOOKUP(TBLBURGERNUGGETAYAMTANPASAYUR[NAMA BAHAN],[2]!TBLREKAPBAHAN[[NAMA BAHAN]:[MODAL SATUAN]],4,FALSE)</f>
        <v>1200</v>
      </c>
      <c r="AR12" s="12">
        <f>VLOOKUP(TBLBURGERNUGGETAYAMTANPASAYUR[NAMA BAHAN],[2]!TBLREKAPBAHAN[[NAMA BAHAN]:[MODAL SATUAN]],4,FALSE)</f>
        <v>1200</v>
      </c>
      <c r="AS12" s="13">
        <v>0</v>
      </c>
      <c r="AT12" s="12">
        <f t="shared" si="3"/>
        <v>0</v>
      </c>
    </row>
    <row r="13" spans="1:46" ht="15.75" customHeight="1" x14ac:dyDescent="0.25">
      <c r="A13" s="43"/>
      <c r="B13" s="41">
        <v>12</v>
      </c>
      <c r="C13" s="10" t="s">
        <v>54</v>
      </c>
      <c r="D13" s="11">
        <f>VLOOKUP(TBLBURGERNUGGETAYAM[NAMA BAHAN],[2]!TBLREKAPBAHAN[[NAMA BAHAN]:[MODAL SATUAN]],2,FALSE)</f>
        <v>35000</v>
      </c>
      <c r="E13" s="11">
        <f>VLOOKUP(TBLBURGERNUGGETAYAM[NAMA BAHAN],[2]!TBLREKAPBAHAN[[NAMA BAHAN]:[MODAL SATUAN]],3,FALSE)</f>
        <v>1000</v>
      </c>
      <c r="F13" s="42" t="s">
        <v>36</v>
      </c>
      <c r="G13" s="12">
        <f>VLOOKUP(TBLBURGERNUGGETAYAM[NAMA BAHAN],[2]!TBLREKAPBAHAN[[NAMA BAHAN]:[MODAL SATUAN]],4,FALSE)</f>
        <v>35</v>
      </c>
      <c r="H13" s="12">
        <f>VLOOKUP(TBLBURGERNUGGETAYAM[NAMA BAHAN],[2]!TBLREKAPBAHAN[[NAMA BAHAN]:[MODAL SATUAN]],4,FALSE)</f>
        <v>35</v>
      </c>
      <c r="I13" s="13">
        <v>5</v>
      </c>
      <c r="J13" s="12">
        <f t="shared" si="0"/>
        <v>175</v>
      </c>
      <c r="L13" s="43"/>
      <c r="M13" s="41">
        <v>12</v>
      </c>
      <c r="N13" s="10" t="s">
        <v>54</v>
      </c>
      <c r="O13" s="11">
        <f>VLOOKUP(TBLBURGERDAGINGSAPI[NAMA BAHAN],[2]!TBLREKAPBAHAN[[NAMA BAHAN]:[MODAL SATUAN]],2,FALSE)</f>
        <v>35000</v>
      </c>
      <c r="P13" s="11">
        <f>VLOOKUP(TBLBURGERDAGINGSAPI[NAMA BAHAN],[2]!TBLREKAPBAHAN[[NAMA BAHAN]:[MODAL SATUAN]],3,FALSE)</f>
        <v>1000</v>
      </c>
      <c r="Q13" s="42" t="s">
        <v>36</v>
      </c>
      <c r="R13" s="12">
        <f>VLOOKUP(TBLBURGERDAGINGSAPI[NAMA BAHAN],[2]!TBLREKAPBAHAN[[NAMA BAHAN]:[MODAL SATUAN]],4,FALSE)</f>
        <v>35</v>
      </c>
      <c r="S13" s="12">
        <f>VLOOKUP(TBLBURGERDAGINGSAPI[NAMA BAHAN],[2]!TBLREKAPBAHAN[[NAMA BAHAN]:[MODAL SATUAN]],4,FALSE)</f>
        <v>35</v>
      </c>
      <c r="T13" s="13">
        <v>5</v>
      </c>
      <c r="U13" s="12">
        <f t="shared" si="1"/>
        <v>175</v>
      </c>
      <c r="V13" s="13">
        <v>5</v>
      </c>
      <c r="W13" s="12">
        <f>TBLBURGERDAGINGSAPI[[#This Row],[MODAL SATUAN]]*TBLBURGERDAGINGSAPI[[#This Row],[DOUBLE]]</f>
        <v>175</v>
      </c>
      <c r="X13" s="12"/>
      <c r="Z13" s="43"/>
      <c r="AA13" s="41">
        <v>12</v>
      </c>
      <c r="AB13" s="10" t="s">
        <v>54</v>
      </c>
      <c r="AC13" s="11">
        <f>VLOOKUP(TBLBURGERDAGINGSAPITANPASAYUR[NAMA BAHAN],[2]!TBLREKAPBAHAN[[NAMA BAHAN]:[MODAL SATUAN]],2,FALSE)</f>
        <v>35000</v>
      </c>
      <c r="AD13" s="11">
        <f>VLOOKUP(TBLBURGERDAGINGSAPITANPASAYUR[NAMA BAHAN],[2]!TBLREKAPBAHAN[[NAMA BAHAN]:[MODAL SATUAN]],3,FALSE)</f>
        <v>1000</v>
      </c>
      <c r="AE13" s="42" t="s">
        <v>36</v>
      </c>
      <c r="AF13" s="12">
        <f>VLOOKUP(TBLBURGERDAGINGSAPITANPASAYUR[NAMA BAHAN],[2]!TBLREKAPBAHAN[[NAMA BAHAN]:[MODAL SATUAN]],4,FALSE)</f>
        <v>35</v>
      </c>
      <c r="AG13" s="12">
        <f>VLOOKUP(TBLBURGERDAGINGSAPITANPASAYUR[NAMA BAHAN],[2]!TBLREKAPBAHAN[[NAMA BAHAN]:[MODAL SATUAN]],4,FALSE)</f>
        <v>35</v>
      </c>
      <c r="AH13" s="13">
        <v>5</v>
      </c>
      <c r="AI13" s="12">
        <f t="shared" si="2"/>
        <v>175</v>
      </c>
      <c r="AK13" s="43"/>
      <c r="AL13" s="41">
        <v>12</v>
      </c>
      <c r="AM13" s="10" t="s">
        <v>54</v>
      </c>
      <c r="AN13" s="11">
        <f>VLOOKUP(TBLBURGERNUGGETAYAMTANPASAYUR[NAMA BAHAN],[2]!TBLREKAPBAHAN[[NAMA BAHAN]:[MODAL SATUAN]],2,FALSE)</f>
        <v>35000</v>
      </c>
      <c r="AO13" s="11">
        <f>VLOOKUP(TBLBURGERNUGGETAYAMTANPASAYUR[NAMA BAHAN],[2]!TBLREKAPBAHAN[[NAMA BAHAN]:[MODAL SATUAN]],3,FALSE)</f>
        <v>1000</v>
      </c>
      <c r="AP13" s="42" t="s">
        <v>36</v>
      </c>
      <c r="AQ13" s="12">
        <f>VLOOKUP(TBLBURGERNUGGETAYAMTANPASAYUR[NAMA BAHAN],[2]!TBLREKAPBAHAN[[NAMA BAHAN]:[MODAL SATUAN]],4,FALSE)</f>
        <v>35</v>
      </c>
      <c r="AR13" s="12">
        <f>VLOOKUP(TBLBURGERNUGGETAYAMTANPASAYUR[NAMA BAHAN],[2]!TBLREKAPBAHAN[[NAMA BAHAN]:[MODAL SATUAN]],4,FALSE)</f>
        <v>35</v>
      </c>
      <c r="AS13" s="13">
        <v>5</v>
      </c>
      <c r="AT13" s="12">
        <f t="shared" si="3"/>
        <v>175</v>
      </c>
    </row>
    <row r="14" spans="1:46" ht="15.75" customHeight="1" x14ac:dyDescent="0.25">
      <c r="A14" s="43"/>
      <c r="B14" s="41">
        <v>13</v>
      </c>
      <c r="C14" s="10" t="s">
        <v>55</v>
      </c>
      <c r="D14" s="11">
        <f>VLOOKUP(TBLBURGERNUGGETAYAM[NAMA BAHAN],[2]!TBLREKAPBAHAN[[NAMA BAHAN]:[MODAL SATUAN]],2,FALSE)</f>
        <v>23000</v>
      </c>
      <c r="E14" s="11">
        <f>VLOOKUP(TBLBURGERNUGGETAYAM[NAMA BAHAN],[2]!TBLREKAPBAHAN[[NAMA BAHAN]:[MODAL SATUAN]],3,FALSE)</f>
        <v>3000</v>
      </c>
      <c r="F14" s="42" t="s">
        <v>36</v>
      </c>
      <c r="G14" s="12">
        <f>VLOOKUP(TBLBURGERNUGGETAYAM[NAMA BAHAN],[2]!TBLREKAPBAHAN[[NAMA BAHAN]:[MODAL SATUAN]],4,FALSE)</f>
        <v>7.666666666666667</v>
      </c>
      <c r="H14" s="12">
        <f>VLOOKUP(TBLBURGERNUGGETAYAM[NAMA BAHAN],[2]!TBLREKAPBAHAN[[NAMA BAHAN]:[MODAL SATUAN]],4,FALSE)</f>
        <v>7.666666666666667</v>
      </c>
      <c r="I14" s="13">
        <v>5</v>
      </c>
      <c r="J14" s="12">
        <f t="shared" si="0"/>
        <v>38.333333333333336</v>
      </c>
      <c r="L14" s="43"/>
      <c r="M14" s="41">
        <v>13</v>
      </c>
      <c r="N14" s="10" t="s">
        <v>55</v>
      </c>
      <c r="O14" s="11">
        <f>VLOOKUP(TBLBURGERDAGINGSAPI[NAMA BAHAN],[2]!TBLREKAPBAHAN[[NAMA BAHAN]:[MODAL SATUAN]],2,FALSE)</f>
        <v>23000</v>
      </c>
      <c r="P14" s="11">
        <f>VLOOKUP(TBLBURGERDAGINGSAPI[NAMA BAHAN],[2]!TBLREKAPBAHAN[[NAMA BAHAN]:[MODAL SATUAN]],3,FALSE)</f>
        <v>3000</v>
      </c>
      <c r="Q14" s="42" t="s">
        <v>36</v>
      </c>
      <c r="R14" s="12">
        <f>VLOOKUP(TBLBURGERDAGINGSAPI[NAMA BAHAN],[2]!TBLREKAPBAHAN[[NAMA BAHAN]:[MODAL SATUAN]],4,FALSE)</f>
        <v>7.666666666666667</v>
      </c>
      <c r="S14" s="12">
        <f>VLOOKUP(TBLBURGERDAGINGSAPI[NAMA BAHAN],[2]!TBLREKAPBAHAN[[NAMA BAHAN]:[MODAL SATUAN]],4,FALSE)</f>
        <v>7.666666666666667</v>
      </c>
      <c r="T14" s="13">
        <v>5</v>
      </c>
      <c r="U14" s="12">
        <f t="shared" si="1"/>
        <v>38.333333333333336</v>
      </c>
      <c r="V14" s="13">
        <v>5</v>
      </c>
      <c r="W14" s="12">
        <f>TBLBURGERDAGINGSAPI[[#This Row],[MODAL SATUAN]]*TBLBURGERDAGINGSAPI[[#This Row],[DOUBLE]]</f>
        <v>38.333333333333336</v>
      </c>
      <c r="X14" s="12"/>
      <c r="Z14" s="43"/>
      <c r="AA14" s="41">
        <v>13</v>
      </c>
      <c r="AB14" s="10" t="s">
        <v>55</v>
      </c>
      <c r="AC14" s="11">
        <f>VLOOKUP(TBLBURGERDAGINGSAPITANPASAYUR[NAMA BAHAN],[2]!TBLREKAPBAHAN[[NAMA BAHAN]:[MODAL SATUAN]],2,FALSE)</f>
        <v>23000</v>
      </c>
      <c r="AD14" s="11">
        <f>VLOOKUP(TBLBURGERDAGINGSAPITANPASAYUR[NAMA BAHAN],[2]!TBLREKAPBAHAN[[NAMA BAHAN]:[MODAL SATUAN]],3,FALSE)</f>
        <v>3000</v>
      </c>
      <c r="AE14" s="42" t="s">
        <v>36</v>
      </c>
      <c r="AF14" s="12">
        <f>VLOOKUP(TBLBURGERDAGINGSAPITANPASAYUR[NAMA BAHAN],[2]!TBLREKAPBAHAN[[NAMA BAHAN]:[MODAL SATUAN]],4,FALSE)</f>
        <v>7.666666666666667</v>
      </c>
      <c r="AG14" s="12">
        <f>VLOOKUP(TBLBURGERDAGINGSAPITANPASAYUR[NAMA BAHAN],[2]!TBLREKAPBAHAN[[NAMA BAHAN]:[MODAL SATUAN]],4,FALSE)</f>
        <v>7.666666666666667</v>
      </c>
      <c r="AH14" s="13">
        <v>5</v>
      </c>
      <c r="AI14" s="12">
        <f t="shared" si="2"/>
        <v>38.333333333333336</v>
      </c>
      <c r="AK14" s="43"/>
      <c r="AL14" s="41">
        <v>13</v>
      </c>
      <c r="AM14" s="10" t="s">
        <v>55</v>
      </c>
      <c r="AN14" s="11">
        <f>VLOOKUP(TBLBURGERNUGGETAYAMTANPASAYUR[NAMA BAHAN],[2]!TBLREKAPBAHAN[[NAMA BAHAN]:[MODAL SATUAN]],2,FALSE)</f>
        <v>23000</v>
      </c>
      <c r="AO14" s="11">
        <f>VLOOKUP(TBLBURGERNUGGETAYAMTANPASAYUR[NAMA BAHAN],[2]!TBLREKAPBAHAN[[NAMA BAHAN]:[MODAL SATUAN]],3,FALSE)</f>
        <v>3000</v>
      </c>
      <c r="AP14" s="42" t="s">
        <v>36</v>
      </c>
      <c r="AQ14" s="12">
        <f>VLOOKUP(TBLBURGERNUGGETAYAMTANPASAYUR[NAMA BAHAN],[2]!TBLREKAPBAHAN[[NAMA BAHAN]:[MODAL SATUAN]],4,FALSE)</f>
        <v>7.666666666666667</v>
      </c>
      <c r="AR14" s="12">
        <f>VLOOKUP(TBLBURGERNUGGETAYAMTANPASAYUR[NAMA BAHAN],[2]!TBLREKAPBAHAN[[NAMA BAHAN]:[MODAL SATUAN]],4,FALSE)</f>
        <v>7.666666666666667</v>
      </c>
      <c r="AS14" s="13">
        <v>5</v>
      </c>
      <c r="AT14" s="12">
        <f t="shared" si="3"/>
        <v>38.333333333333336</v>
      </c>
    </row>
    <row r="15" spans="1:46" ht="15.75" customHeight="1" x14ac:dyDescent="0.25">
      <c r="A15" s="43"/>
      <c r="B15" s="41">
        <v>14</v>
      </c>
      <c r="C15" s="10" t="s">
        <v>70</v>
      </c>
      <c r="D15" s="11">
        <f>VLOOKUP(TBLBURGERNUGGETAYAM[NAMA BAHAN],[2]!TBLREKAPBAHAN[[NAMA BAHAN]:[MODAL SATUAN]],2,FALSE)</f>
        <v>11400</v>
      </c>
      <c r="E15" s="11">
        <f>VLOOKUP(TBLBURGERNUGGETAYAM[NAMA BAHAN],[2]!TBLREKAPBAHAN[[NAMA BAHAN]:[MODAL SATUAN]],3,FALSE)</f>
        <v>100</v>
      </c>
      <c r="F15" s="42" t="s">
        <v>26</v>
      </c>
      <c r="G15" s="12">
        <f>VLOOKUP(TBLBURGERNUGGETAYAM[NAMA BAHAN],[2]!TBLREKAPBAHAN[[NAMA BAHAN]:[MODAL SATUAN]],4,FALSE)</f>
        <v>114</v>
      </c>
      <c r="H15" s="12">
        <f>VLOOKUP(TBLBURGERNUGGETAYAM[NAMA BAHAN],[2]!TBLREKAPBAHAN[[NAMA BAHAN]:[MODAL SATUAN]],4,FALSE)</f>
        <v>114</v>
      </c>
      <c r="I15" s="13">
        <v>1</v>
      </c>
      <c r="J15" s="12">
        <f t="shared" si="0"/>
        <v>114</v>
      </c>
      <c r="L15" s="43"/>
      <c r="M15" s="41">
        <v>14</v>
      </c>
      <c r="N15" s="10" t="s">
        <v>70</v>
      </c>
      <c r="O15" s="11">
        <f>VLOOKUP(TBLBURGERDAGINGSAPI[NAMA BAHAN],[2]!TBLREKAPBAHAN[[NAMA BAHAN]:[MODAL SATUAN]],2,FALSE)</f>
        <v>11400</v>
      </c>
      <c r="P15" s="11">
        <f>VLOOKUP(TBLBURGERDAGINGSAPI[NAMA BAHAN],[2]!TBLREKAPBAHAN[[NAMA BAHAN]:[MODAL SATUAN]],3,FALSE)</f>
        <v>100</v>
      </c>
      <c r="Q15" s="42" t="s">
        <v>26</v>
      </c>
      <c r="R15" s="12">
        <f>VLOOKUP(TBLBURGERDAGINGSAPI[NAMA BAHAN],[2]!TBLREKAPBAHAN[[NAMA BAHAN]:[MODAL SATUAN]],4,FALSE)</f>
        <v>114</v>
      </c>
      <c r="S15" s="12">
        <f>VLOOKUP(TBLBURGERDAGINGSAPI[NAMA BAHAN],[2]!TBLREKAPBAHAN[[NAMA BAHAN]:[MODAL SATUAN]],4,FALSE)</f>
        <v>114</v>
      </c>
      <c r="T15" s="13">
        <v>1</v>
      </c>
      <c r="U15" s="12">
        <f t="shared" si="1"/>
        <v>114</v>
      </c>
      <c r="V15" s="13">
        <v>1</v>
      </c>
      <c r="W15" s="12">
        <f>TBLBURGERDAGINGSAPI[[#This Row],[MODAL SATUAN]]*TBLBURGERDAGINGSAPI[[#This Row],[DOUBLE]]</f>
        <v>114</v>
      </c>
      <c r="X15" s="12"/>
      <c r="Z15" s="43"/>
      <c r="AA15" s="41">
        <v>14</v>
      </c>
      <c r="AB15" s="10" t="s">
        <v>70</v>
      </c>
      <c r="AC15" s="11">
        <f>VLOOKUP(TBLBURGERDAGINGSAPITANPASAYUR[NAMA BAHAN],[2]!TBLREKAPBAHAN[[NAMA BAHAN]:[MODAL SATUAN]],2,FALSE)</f>
        <v>11400</v>
      </c>
      <c r="AD15" s="11">
        <f>VLOOKUP(TBLBURGERDAGINGSAPITANPASAYUR[NAMA BAHAN],[2]!TBLREKAPBAHAN[[NAMA BAHAN]:[MODAL SATUAN]],3,FALSE)</f>
        <v>100</v>
      </c>
      <c r="AE15" s="42" t="s">
        <v>26</v>
      </c>
      <c r="AF15" s="12">
        <f>VLOOKUP(TBLBURGERDAGINGSAPITANPASAYUR[NAMA BAHAN],[2]!TBLREKAPBAHAN[[NAMA BAHAN]:[MODAL SATUAN]],4,FALSE)</f>
        <v>114</v>
      </c>
      <c r="AG15" s="12">
        <f>VLOOKUP(TBLBURGERDAGINGSAPITANPASAYUR[NAMA BAHAN],[2]!TBLREKAPBAHAN[[NAMA BAHAN]:[MODAL SATUAN]],4,FALSE)</f>
        <v>114</v>
      </c>
      <c r="AH15" s="13">
        <v>1</v>
      </c>
      <c r="AI15" s="12">
        <f t="shared" si="2"/>
        <v>114</v>
      </c>
      <c r="AK15" s="43"/>
      <c r="AL15" s="41">
        <v>14</v>
      </c>
      <c r="AM15" s="10" t="s">
        <v>70</v>
      </c>
      <c r="AN15" s="11">
        <f>VLOOKUP(TBLBURGERNUGGETAYAMTANPASAYUR[NAMA BAHAN],[2]!TBLREKAPBAHAN[[NAMA BAHAN]:[MODAL SATUAN]],2,FALSE)</f>
        <v>11400</v>
      </c>
      <c r="AO15" s="11">
        <f>VLOOKUP(TBLBURGERNUGGETAYAMTANPASAYUR[NAMA BAHAN],[2]!TBLREKAPBAHAN[[NAMA BAHAN]:[MODAL SATUAN]],3,FALSE)</f>
        <v>100</v>
      </c>
      <c r="AP15" s="42" t="s">
        <v>26</v>
      </c>
      <c r="AQ15" s="12">
        <f>VLOOKUP(TBLBURGERNUGGETAYAMTANPASAYUR[NAMA BAHAN],[2]!TBLREKAPBAHAN[[NAMA BAHAN]:[MODAL SATUAN]],4,FALSE)</f>
        <v>114</v>
      </c>
      <c r="AR15" s="12">
        <f>VLOOKUP(TBLBURGERNUGGETAYAMTANPASAYUR[NAMA BAHAN],[2]!TBLREKAPBAHAN[[NAMA BAHAN]:[MODAL SATUAN]],4,FALSE)</f>
        <v>114</v>
      </c>
      <c r="AS15" s="13">
        <v>1</v>
      </c>
      <c r="AT15" s="12">
        <f t="shared" si="3"/>
        <v>114</v>
      </c>
    </row>
    <row r="16" spans="1:46" ht="15.75" customHeight="1" x14ac:dyDescent="0.25">
      <c r="A16" s="43"/>
      <c r="B16" s="41">
        <v>15</v>
      </c>
      <c r="C16" s="10" t="s">
        <v>56</v>
      </c>
      <c r="D16" s="11">
        <f>VLOOKUP(TBLBURGERNUGGETAYAM[NAMA BAHAN],[2]!TBLREKAPBAHAN[[NAMA BAHAN]:[MODAL SATUAN]],2,FALSE)</f>
        <v>41000</v>
      </c>
      <c r="E16" s="11">
        <f>VLOOKUP(TBLBURGERNUGGETAYAM[NAMA BAHAN],[2]!TBLREKAPBAHAN[[NAMA BAHAN]:[MODAL SATUAN]],3,FALSE)</f>
        <v>50</v>
      </c>
      <c r="F16" s="42" t="s">
        <v>30</v>
      </c>
      <c r="G16" s="12">
        <f>VLOOKUP(TBLBURGERNUGGETAYAM[NAMA BAHAN],[2]!TBLREKAPBAHAN[[NAMA BAHAN]:[MODAL SATUAN]],4,FALSE)</f>
        <v>820</v>
      </c>
      <c r="H16" s="12">
        <f>VLOOKUP(TBLBURGERNUGGETAYAM[NAMA BAHAN],[2]!TBLREKAPBAHAN[[NAMA BAHAN]:[MODAL SATUAN]],4,FALSE)</f>
        <v>820</v>
      </c>
      <c r="I16" s="13">
        <v>1</v>
      </c>
      <c r="J16" s="12">
        <f t="shared" si="0"/>
        <v>820</v>
      </c>
      <c r="L16" s="43"/>
      <c r="M16" s="41">
        <v>15</v>
      </c>
      <c r="N16" s="10" t="s">
        <v>56</v>
      </c>
      <c r="O16" s="11">
        <f>VLOOKUP(TBLBURGERDAGINGSAPI[NAMA BAHAN],[2]!TBLREKAPBAHAN[[NAMA BAHAN]:[MODAL SATUAN]],2,FALSE)</f>
        <v>41000</v>
      </c>
      <c r="P16" s="11">
        <f>VLOOKUP(TBLBURGERDAGINGSAPI[NAMA BAHAN],[2]!TBLREKAPBAHAN[[NAMA BAHAN]:[MODAL SATUAN]],3,FALSE)</f>
        <v>50</v>
      </c>
      <c r="Q16" s="42" t="s">
        <v>30</v>
      </c>
      <c r="R16" s="12">
        <f>VLOOKUP(TBLBURGERDAGINGSAPI[NAMA BAHAN],[2]!TBLREKAPBAHAN[[NAMA BAHAN]:[MODAL SATUAN]],4,FALSE)</f>
        <v>820</v>
      </c>
      <c r="S16" s="12">
        <f>VLOOKUP(TBLBURGERDAGINGSAPI[NAMA BAHAN],[2]!TBLREKAPBAHAN[[NAMA BAHAN]:[MODAL SATUAN]],4,FALSE)</f>
        <v>820</v>
      </c>
      <c r="T16" s="13">
        <v>1</v>
      </c>
      <c r="U16" s="12">
        <f t="shared" si="1"/>
        <v>820</v>
      </c>
      <c r="V16" s="13">
        <v>1</v>
      </c>
      <c r="W16" s="12">
        <f>TBLBURGERDAGINGSAPI[[#This Row],[MODAL SATUAN]]*TBLBURGERDAGINGSAPI[[#This Row],[DOUBLE]]</f>
        <v>820</v>
      </c>
      <c r="X16" s="12"/>
      <c r="Z16" s="43"/>
      <c r="AA16" s="41">
        <v>15</v>
      </c>
      <c r="AB16" s="10" t="s">
        <v>56</v>
      </c>
      <c r="AC16" s="11">
        <f>VLOOKUP(TBLBURGERDAGINGSAPITANPASAYUR[NAMA BAHAN],[2]!TBLREKAPBAHAN[[NAMA BAHAN]:[MODAL SATUAN]],2,FALSE)</f>
        <v>41000</v>
      </c>
      <c r="AD16" s="11">
        <f>VLOOKUP(TBLBURGERDAGINGSAPITANPASAYUR[NAMA BAHAN],[2]!TBLREKAPBAHAN[[NAMA BAHAN]:[MODAL SATUAN]],3,FALSE)</f>
        <v>50</v>
      </c>
      <c r="AE16" s="42" t="s">
        <v>30</v>
      </c>
      <c r="AF16" s="12">
        <f>VLOOKUP(TBLBURGERDAGINGSAPITANPASAYUR[NAMA BAHAN],[2]!TBLREKAPBAHAN[[NAMA BAHAN]:[MODAL SATUAN]],4,FALSE)</f>
        <v>820</v>
      </c>
      <c r="AG16" s="12">
        <f>VLOOKUP(TBLBURGERDAGINGSAPITANPASAYUR[NAMA BAHAN],[2]!TBLREKAPBAHAN[[NAMA BAHAN]:[MODAL SATUAN]],4,FALSE)</f>
        <v>820</v>
      </c>
      <c r="AH16" s="13">
        <v>1</v>
      </c>
      <c r="AI16" s="12">
        <f t="shared" si="2"/>
        <v>820</v>
      </c>
      <c r="AK16" s="43"/>
      <c r="AL16" s="41">
        <v>15</v>
      </c>
      <c r="AM16" s="10" t="s">
        <v>56</v>
      </c>
      <c r="AN16" s="11">
        <f>VLOOKUP(TBLBURGERNUGGETAYAMTANPASAYUR[NAMA BAHAN],[2]!TBLREKAPBAHAN[[NAMA BAHAN]:[MODAL SATUAN]],2,FALSE)</f>
        <v>41000</v>
      </c>
      <c r="AO16" s="11">
        <f>VLOOKUP(TBLBURGERNUGGETAYAMTANPASAYUR[NAMA BAHAN],[2]!TBLREKAPBAHAN[[NAMA BAHAN]:[MODAL SATUAN]],3,FALSE)</f>
        <v>50</v>
      </c>
      <c r="AP16" s="42" t="s">
        <v>30</v>
      </c>
      <c r="AQ16" s="12">
        <f>VLOOKUP(TBLBURGERNUGGETAYAMTANPASAYUR[NAMA BAHAN],[2]!TBLREKAPBAHAN[[NAMA BAHAN]:[MODAL SATUAN]],4,FALSE)</f>
        <v>820</v>
      </c>
      <c r="AR16" s="12">
        <f>VLOOKUP(TBLBURGERNUGGETAYAMTANPASAYUR[NAMA BAHAN],[2]!TBLREKAPBAHAN[[NAMA BAHAN]:[MODAL SATUAN]],4,FALSE)</f>
        <v>820</v>
      </c>
      <c r="AS16" s="13">
        <v>1</v>
      </c>
      <c r="AT16" s="12">
        <f t="shared" si="3"/>
        <v>820</v>
      </c>
    </row>
    <row r="17" spans="1:46" ht="15.75" customHeight="1" x14ac:dyDescent="0.25">
      <c r="A17" s="43"/>
      <c r="B17" s="41">
        <v>16</v>
      </c>
      <c r="C17" s="10" t="s">
        <v>60</v>
      </c>
      <c r="D17" s="11">
        <f>VLOOKUP(TBLBURGERNUGGETAYAM[NAMA BAHAN],[2]!TBLREKAPBAHAN[[NAMA BAHAN]:[MODAL SATUAN]],2,FALSE)</f>
        <v>7000</v>
      </c>
      <c r="E17" s="11">
        <f>VLOOKUP(TBLBURGERNUGGETAYAM[NAMA BAHAN],[2]!TBLREKAPBAHAN[[NAMA BAHAN]:[MODAL SATUAN]],3,FALSE)</f>
        <v>50</v>
      </c>
      <c r="F17" s="42" t="s">
        <v>30</v>
      </c>
      <c r="G17" s="12">
        <f>VLOOKUP(TBLBURGERNUGGETAYAM[NAMA BAHAN],[2]!TBLREKAPBAHAN[[NAMA BAHAN]:[MODAL SATUAN]],4,FALSE)</f>
        <v>140</v>
      </c>
      <c r="H17" s="12">
        <f>VLOOKUP(TBLBURGERNUGGETAYAM[NAMA BAHAN],[2]!TBLREKAPBAHAN[[NAMA BAHAN]:[MODAL SATUAN]],4,FALSE)</f>
        <v>140</v>
      </c>
      <c r="I17" s="13">
        <v>1</v>
      </c>
      <c r="J17" s="12">
        <f t="shared" si="0"/>
        <v>140</v>
      </c>
      <c r="L17" s="43"/>
      <c r="M17" s="41">
        <v>16</v>
      </c>
      <c r="N17" s="10" t="s">
        <v>60</v>
      </c>
      <c r="O17" s="11">
        <f>VLOOKUP(TBLBURGERDAGINGSAPI[NAMA BAHAN],[2]!TBLREKAPBAHAN[[NAMA BAHAN]:[MODAL SATUAN]],2,FALSE)</f>
        <v>7000</v>
      </c>
      <c r="P17" s="11">
        <f>VLOOKUP(TBLBURGERDAGINGSAPI[NAMA BAHAN],[2]!TBLREKAPBAHAN[[NAMA BAHAN]:[MODAL SATUAN]],3,FALSE)</f>
        <v>50</v>
      </c>
      <c r="Q17" s="42" t="s">
        <v>30</v>
      </c>
      <c r="R17" s="12">
        <f>VLOOKUP(TBLBURGERDAGINGSAPI[NAMA BAHAN],[2]!TBLREKAPBAHAN[[NAMA BAHAN]:[MODAL SATUAN]],4,FALSE)</f>
        <v>140</v>
      </c>
      <c r="S17" s="12">
        <f>VLOOKUP(TBLBURGERDAGINGSAPI[NAMA BAHAN],[2]!TBLREKAPBAHAN[[NAMA BAHAN]:[MODAL SATUAN]],4,FALSE)</f>
        <v>140</v>
      </c>
      <c r="T17" s="13">
        <v>1</v>
      </c>
      <c r="U17" s="12">
        <f t="shared" si="1"/>
        <v>140</v>
      </c>
      <c r="V17" s="13">
        <v>1</v>
      </c>
      <c r="W17" s="12">
        <f>TBLBURGERDAGINGSAPI[[#This Row],[MODAL SATUAN]]*TBLBURGERDAGINGSAPI[[#This Row],[DOUBLE]]</f>
        <v>140</v>
      </c>
      <c r="X17" s="12"/>
      <c r="Z17" s="43"/>
      <c r="AA17" s="41">
        <v>16</v>
      </c>
      <c r="AB17" s="10" t="s">
        <v>60</v>
      </c>
      <c r="AC17" s="11">
        <f>VLOOKUP(TBLBURGERDAGINGSAPITANPASAYUR[NAMA BAHAN],[2]!TBLREKAPBAHAN[[NAMA BAHAN]:[MODAL SATUAN]],2,FALSE)</f>
        <v>7000</v>
      </c>
      <c r="AD17" s="11">
        <f>VLOOKUP(TBLBURGERDAGINGSAPITANPASAYUR[NAMA BAHAN],[2]!TBLREKAPBAHAN[[NAMA BAHAN]:[MODAL SATUAN]],3,FALSE)</f>
        <v>50</v>
      </c>
      <c r="AE17" s="42" t="s">
        <v>30</v>
      </c>
      <c r="AF17" s="12">
        <f>VLOOKUP(TBLBURGERDAGINGSAPITANPASAYUR[NAMA BAHAN],[2]!TBLREKAPBAHAN[[NAMA BAHAN]:[MODAL SATUAN]],4,FALSE)</f>
        <v>140</v>
      </c>
      <c r="AG17" s="12">
        <f>VLOOKUP(TBLBURGERDAGINGSAPITANPASAYUR[NAMA BAHAN],[2]!TBLREKAPBAHAN[[NAMA BAHAN]:[MODAL SATUAN]],4,FALSE)</f>
        <v>140</v>
      </c>
      <c r="AH17" s="13">
        <v>1</v>
      </c>
      <c r="AI17" s="12">
        <f t="shared" si="2"/>
        <v>140</v>
      </c>
      <c r="AK17" s="43"/>
      <c r="AL17" s="41">
        <v>16</v>
      </c>
      <c r="AM17" s="10" t="s">
        <v>60</v>
      </c>
      <c r="AN17" s="11">
        <f>VLOOKUP(TBLBURGERNUGGETAYAMTANPASAYUR[NAMA BAHAN],[2]!TBLREKAPBAHAN[[NAMA BAHAN]:[MODAL SATUAN]],2,FALSE)</f>
        <v>7000</v>
      </c>
      <c r="AO17" s="11">
        <f>VLOOKUP(TBLBURGERNUGGETAYAMTANPASAYUR[NAMA BAHAN],[2]!TBLREKAPBAHAN[[NAMA BAHAN]:[MODAL SATUAN]],3,FALSE)</f>
        <v>50</v>
      </c>
      <c r="AP17" s="42" t="s">
        <v>30</v>
      </c>
      <c r="AQ17" s="12">
        <f>VLOOKUP(TBLBURGERNUGGETAYAMTANPASAYUR[NAMA BAHAN],[2]!TBLREKAPBAHAN[[NAMA BAHAN]:[MODAL SATUAN]],4,FALSE)</f>
        <v>140</v>
      </c>
      <c r="AR17" s="12">
        <f>VLOOKUP(TBLBURGERNUGGETAYAMTANPASAYUR[NAMA BAHAN],[2]!TBLREKAPBAHAN[[NAMA BAHAN]:[MODAL SATUAN]],4,FALSE)</f>
        <v>140</v>
      </c>
      <c r="AS17" s="13">
        <v>1</v>
      </c>
      <c r="AT17" s="12">
        <f t="shared" si="3"/>
        <v>140</v>
      </c>
    </row>
    <row r="18" spans="1:46" s="17" customFormat="1" ht="15.75" customHeight="1" x14ac:dyDescent="0.25">
      <c r="A18" s="44"/>
      <c r="C18" s="148" t="s">
        <v>20</v>
      </c>
      <c r="D18" s="148"/>
      <c r="E18" s="148"/>
      <c r="F18" s="148"/>
      <c r="G18" s="148"/>
      <c r="H18" s="148"/>
      <c r="I18" s="148"/>
      <c r="J18" s="45">
        <f>SUM(J2:J17)</f>
        <v>11679.555555555557</v>
      </c>
      <c r="L18" s="148" t="s">
        <v>20</v>
      </c>
      <c r="M18" s="148"/>
      <c r="N18" s="148"/>
      <c r="O18" s="148"/>
      <c r="P18" s="148"/>
      <c r="Q18" s="148"/>
      <c r="R18" s="148"/>
      <c r="S18" s="148"/>
      <c r="T18" s="46"/>
      <c r="U18" s="45">
        <f>SUM(U2:U17)</f>
        <v>11837.888888888891</v>
      </c>
      <c r="V18" s="45"/>
      <c r="W18" s="45">
        <f>SUM(W2:W17)</f>
        <v>15662.888888888891</v>
      </c>
      <c r="X18" s="45"/>
      <c r="Z18" s="148" t="s">
        <v>20</v>
      </c>
      <c r="AA18" s="148"/>
      <c r="AB18" s="148"/>
      <c r="AC18" s="148"/>
      <c r="AD18" s="148"/>
      <c r="AE18" s="148"/>
      <c r="AF18" s="148"/>
      <c r="AG18" s="148"/>
      <c r="AH18" s="46"/>
      <c r="AI18" s="45">
        <f>SUM(AI2:AI17)</f>
        <v>11049.000000000002</v>
      </c>
      <c r="AK18" s="148" t="s">
        <v>20</v>
      </c>
      <c r="AL18" s="148"/>
      <c r="AM18" s="148"/>
      <c r="AN18" s="148"/>
      <c r="AO18" s="148"/>
      <c r="AP18" s="148"/>
      <c r="AQ18" s="148"/>
      <c r="AR18" s="148"/>
      <c r="AS18" s="46"/>
      <c r="AT18" s="45">
        <f>SUM(AT2:AT17)</f>
        <v>12224</v>
      </c>
    </row>
  </sheetData>
  <mergeCells count="4">
    <mergeCell ref="L18:S18"/>
    <mergeCell ref="Z18:AG18"/>
    <mergeCell ref="AK18:AR18"/>
    <mergeCell ref="C18:I18"/>
  </mergeCells>
  <pageMargins left="0.70866141732283472" right="0.70866141732283472" top="0.74803149606299213" bottom="0.74803149606299213" header="0.31496062992125984" footer="0.31496062992125984"/>
  <pageSetup paperSize="5" scale="60" fitToWidth="0" fitToHeight="0" orientation="landscape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5" zoomScale="70" zoomScaleNormal="70" workbookViewId="0">
      <selection activeCell="I28" sqref="I28"/>
    </sheetView>
  </sheetViews>
  <sheetFormatPr defaultRowHeight="15" x14ac:dyDescent="0.25"/>
  <cols>
    <col min="1" max="1" width="52.28515625" style="9" customWidth="1"/>
    <col min="2" max="2" width="14.5703125" style="9" customWidth="1"/>
    <col min="3" max="3" width="29.28515625" style="9" customWidth="1"/>
    <col min="4" max="4" width="15.7109375" style="1" customWidth="1"/>
    <col min="5" max="5" width="12.42578125" style="1" customWidth="1"/>
    <col min="6" max="6" width="12" style="47" customWidth="1"/>
    <col min="7" max="7" width="23" style="1" customWidth="1"/>
    <col min="8" max="8" width="17.5703125" style="1" customWidth="1"/>
    <col min="9" max="9" width="8.140625" style="18" customWidth="1"/>
    <col min="10" max="10" width="17.7109375" style="9" customWidth="1"/>
    <col min="11" max="11" width="9.140625" style="9"/>
    <col min="12" max="12" width="50.42578125" style="9" customWidth="1"/>
    <col min="13" max="13" width="18.28515625" style="9" customWidth="1"/>
    <col min="14" max="14" width="31" style="9" customWidth="1"/>
    <col min="15" max="19" width="13.28515625" style="9" customWidth="1"/>
    <col min="20" max="20" width="9" style="9" customWidth="1"/>
    <col min="21" max="21" width="19.42578125" style="9" customWidth="1"/>
    <col min="22" max="16384" width="9.140625" style="9"/>
  </cols>
  <sheetData>
    <row r="1" spans="1:10" ht="72.75" customHeight="1" x14ac:dyDescent="0.25">
      <c r="A1" s="5" t="s">
        <v>144</v>
      </c>
      <c r="B1" s="48" t="s">
        <v>90</v>
      </c>
      <c r="C1" s="48" t="s">
        <v>0</v>
      </c>
      <c r="D1" s="49" t="s">
        <v>4</v>
      </c>
      <c r="E1" s="49" t="s">
        <v>3</v>
      </c>
      <c r="F1" s="49" t="s">
        <v>19</v>
      </c>
      <c r="G1" s="49" t="s">
        <v>1</v>
      </c>
      <c r="H1" s="49" t="s">
        <v>2</v>
      </c>
      <c r="I1" s="50" t="s">
        <v>153</v>
      </c>
      <c r="J1" s="49" t="s">
        <v>145</v>
      </c>
    </row>
    <row r="2" spans="1:10" ht="16.5" customHeight="1" x14ac:dyDescent="0.25">
      <c r="A2" s="6" t="s">
        <v>193</v>
      </c>
      <c r="B2" s="48">
        <v>1</v>
      </c>
      <c r="C2" s="48" t="s">
        <v>37</v>
      </c>
      <c r="D2" s="49">
        <f>VLOOKUP(TBLROCASMEDIUM[NAMA BAHAN],[2]!TBLREKAPBAHAN[[NAMA BAHAN]:[MODAL SATUAN]],2,FALSE)</f>
        <v>20000</v>
      </c>
      <c r="E2" s="49">
        <f>VLOOKUP(TBLROCASMEDIUM[NAMA BAHAN],[2]!TBLREKAPBAHAN[[NAMA BAHAN]:[MODAL SATUAN]],3,FALSE)</f>
        <v>1000</v>
      </c>
      <c r="F2" s="49" t="s">
        <v>36</v>
      </c>
      <c r="G2" s="49">
        <f>VLOOKUP(TBLROCASMEDIUM[NAMA BAHAN],[2]!TBLREKAPBAHAN[[NAMA BAHAN]:[MODAL SATUAN]],4,FALSE)</f>
        <v>20</v>
      </c>
      <c r="H2" s="49">
        <f>VLOOKUP(TBLROCASMEDIUM[NAMA BAHAN],[2]!TBLREKAPBAHAN[[NAMA BAHAN]:[MODAL SATUAN]],4,FALSE)</f>
        <v>20</v>
      </c>
      <c r="I2" s="50">
        <v>10</v>
      </c>
      <c r="J2" s="49">
        <f t="shared" ref="J2:J14" si="0">H2*I2</f>
        <v>200</v>
      </c>
    </row>
    <row r="3" spans="1:10" ht="16.5" customHeight="1" x14ac:dyDescent="0.25">
      <c r="A3" s="5"/>
      <c r="B3" s="48">
        <v>2</v>
      </c>
      <c r="C3" s="48" t="s">
        <v>62</v>
      </c>
      <c r="D3" s="49">
        <f>VLOOKUP(TBLROCASMEDIUM[NAMA BAHAN],[2]!TBLREKAPBAHAN[[NAMA BAHAN]:[MODAL SATUAN]],2,FALSE)</f>
        <v>18000</v>
      </c>
      <c r="E3" s="49">
        <f>VLOOKUP(TBLROCASMEDIUM[NAMA BAHAN],[2]!TBLREKAPBAHAN[[NAMA BAHAN]:[MODAL SATUAN]],3,FALSE)</f>
        <v>1000</v>
      </c>
      <c r="F3" s="49" t="s">
        <v>36</v>
      </c>
      <c r="G3" s="49">
        <f>VLOOKUP(TBLROCASMEDIUM[NAMA BAHAN],[2]!TBLREKAPBAHAN[[NAMA BAHAN]:[MODAL SATUAN]],4,FALSE)</f>
        <v>18</v>
      </c>
      <c r="H3" s="49">
        <f>VLOOKUP(TBLROCASMEDIUM[NAMA BAHAN],[2]!TBLREKAPBAHAN[[NAMA BAHAN]:[MODAL SATUAN]],4,FALSE)</f>
        <v>18</v>
      </c>
      <c r="I3" s="50">
        <v>0</v>
      </c>
      <c r="J3" s="49">
        <f t="shared" si="0"/>
        <v>0</v>
      </c>
    </row>
    <row r="4" spans="1:10" ht="15.75" x14ac:dyDescent="0.25">
      <c r="A4" s="5"/>
      <c r="B4" s="48">
        <v>3</v>
      </c>
      <c r="C4" s="48" t="s">
        <v>63</v>
      </c>
      <c r="D4" s="49">
        <f>VLOOKUP(TBLROCASMEDIUM[NAMA BAHAN],[2]!TBLREKAPBAHAN[[NAMA BAHAN]:[MODAL SATUAN]],2,FALSE)</f>
        <v>12000</v>
      </c>
      <c r="E4" s="49">
        <f>VLOOKUP(TBLROCASMEDIUM[NAMA BAHAN],[2]!TBLREKAPBAHAN[[NAMA BAHAN]:[MODAL SATUAN]],3,FALSE)</f>
        <v>250</v>
      </c>
      <c r="F4" s="49" t="s">
        <v>36</v>
      </c>
      <c r="G4" s="49">
        <f>VLOOKUP(TBLROCASMEDIUM[NAMA BAHAN],[2]!TBLREKAPBAHAN[[NAMA BAHAN]:[MODAL SATUAN]],4,FALSE)</f>
        <v>48</v>
      </c>
      <c r="H4" s="49">
        <f>VLOOKUP(TBLROCASMEDIUM[NAMA BAHAN],[2]!TBLREKAPBAHAN[[NAMA BAHAN]:[MODAL SATUAN]],4,FALSE)</f>
        <v>48</v>
      </c>
      <c r="I4" s="50">
        <v>5</v>
      </c>
      <c r="J4" s="49">
        <f t="shared" si="0"/>
        <v>240</v>
      </c>
    </row>
    <row r="5" spans="1:10" ht="15.75" x14ac:dyDescent="0.25">
      <c r="A5" s="5"/>
      <c r="B5" s="48">
        <v>4</v>
      </c>
      <c r="C5" s="48" t="s">
        <v>64</v>
      </c>
      <c r="D5" s="49">
        <f>VLOOKUP(TBLROCASMEDIUM[NAMA BAHAN],[2]!TBLREKAPBAHAN[[NAMA BAHAN]:[MODAL SATUAN]],2,FALSE)</f>
        <v>50000</v>
      </c>
      <c r="E5" s="49">
        <f>VLOOKUP(TBLROCASMEDIUM[NAMA BAHAN],[2]!TBLREKAPBAHAN[[NAMA BAHAN]:[MODAL SATUAN]],3,FALSE)</f>
        <v>1000</v>
      </c>
      <c r="F5" s="49" t="s">
        <v>36</v>
      </c>
      <c r="G5" s="49">
        <f>VLOOKUP(TBLROCASMEDIUM[NAMA BAHAN],[2]!TBLREKAPBAHAN[[NAMA BAHAN]:[MODAL SATUAN]],4,FALSE)</f>
        <v>50</v>
      </c>
      <c r="H5" s="49">
        <f>VLOOKUP(TBLROCASMEDIUM[NAMA BAHAN],[2]!TBLREKAPBAHAN[[NAMA BAHAN]:[MODAL SATUAN]],4,FALSE)</f>
        <v>50</v>
      </c>
      <c r="I5" s="50">
        <v>10</v>
      </c>
      <c r="J5" s="49">
        <f t="shared" si="0"/>
        <v>500</v>
      </c>
    </row>
    <row r="6" spans="1:10" ht="15.75" x14ac:dyDescent="0.25">
      <c r="A6" s="5"/>
      <c r="B6" s="48">
        <v>5</v>
      </c>
      <c r="C6" s="48" t="s">
        <v>28</v>
      </c>
      <c r="D6" s="49">
        <f>VLOOKUP(TBLROCASMEDIUM[NAMA BAHAN],[2]!TBLREKAPBAHAN[[NAMA BAHAN]:[MODAL SATUAN]],2,FALSE)</f>
        <v>8000</v>
      </c>
      <c r="E6" s="49">
        <f>VLOOKUP(TBLROCASMEDIUM[NAMA BAHAN],[2]!TBLREKAPBAHAN[[NAMA BAHAN]:[MODAL SATUAN]],3,FALSE)</f>
        <v>24</v>
      </c>
      <c r="F6" s="49" t="s">
        <v>29</v>
      </c>
      <c r="G6" s="49">
        <f>VLOOKUP(TBLROCASMEDIUM[NAMA BAHAN],[2]!TBLREKAPBAHAN[[NAMA BAHAN]:[MODAL SATUAN]],4,FALSE)</f>
        <v>333.33333333333331</v>
      </c>
      <c r="H6" s="49">
        <f>VLOOKUP(TBLROCASMEDIUM[NAMA BAHAN],[2]!TBLREKAPBAHAN[[NAMA BAHAN]:[MODAL SATUAN]],4,FALSE)</f>
        <v>333.33333333333331</v>
      </c>
      <c r="I6" s="50">
        <v>1</v>
      </c>
      <c r="J6" s="49">
        <f t="shared" si="0"/>
        <v>333.33333333333331</v>
      </c>
    </row>
    <row r="7" spans="1:10" ht="15.75" x14ac:dyDescent="0.25">
      <c r="A7" s="5"/>
      <c r="B7" s="48">
        <v>6</v>
      </c>
      <c r="C7" s="48" t="s">
        <v>57</v>
      </c>
      <c r="D7" s="49">
        <f>VLOOKUP(TBLROCASMEDIUM[NAMA BAHAN],[2]!TBLREKAPBAHAN[[NAMA BAHAN]:[MODAL SATUAN]],2,FALSE)</f>
        <v>35000</v>
      </c>
      <c r="E7" s="49">
        <f>VLOOKUP(TBLROCASMEDIUM[NAMA BAHAN],[2]!TBLREKAPBAHAN[[NAMA BAHAN]:[MODAL SATUAN]],3,FALSE)</f>
        <v>38</v>
      </c>
      <c r="F7" s="49" t="s">
        <v>27</v>
      </c>
      <c r="G7" s="49">
        <f>VLOOKUP(TBLROCASMEDIUM[NAMA BAHAN],[2]!TBLREKAPBAHAN[[NAMA BAHAN]:[MODAL SATUAN]],4,FALSE)</f>
        <v>921.0526315789474</v>
      </c>
      <c r="H7" s="49">
        <f>VLOOKUP(TBLROCASMEDIUM[NAMA BAHAN],[2]!TBLREKAPBAHAN[[NAMA BAHAN]:[MODAL SATUAN]],4,FALSE)</f>
        <v>921.0526315789474</v>
      </c>
      <c r="I7" s="50">
        <v>1</v>
      </c>
      <c r="J7" s="49">
        <f t="shared" si="0"/>
        <v>921.0526315789474</v>
      </c>
    </row>
    <row r="8" spans="1:10" ht="15.75" x14ac:dyDescent="0.25">
      <c r="A8" s="5"/>
      <c r="B8" s="48">
        <v>7</v>
      </c>
      <c r="C8" s="48" t="s">
        <v>58</v>
      </c>
      <c r="D8" s="49">
        <f>VLOOKUP(TBLROCASMEDIUM[NAMA BAHAN],[2]!TBLREKAPBAHAN[[NAMA BAHAN]:[MODAL SATUAN]],2,FALSE)</f>
        <v>45000</v>
      </c>
      <c r="E8" s="49">
        <f>VLOOKUP(TBLROCASMEDIUM[NAMA BAHAN],[2]!TBLREKAPBAHAN[[NAMA BAHAN]:[MODAL SATUAN]],3,FALSE)</f>
        <v>400</v>
      </c>
      <c r="F8" s="49" t="s">
        <v>36</v>
      </c>
      <c r="G8" s="49">
        <f>VLOOKUP(TBLROCASMEDIUM[NAMA BAHAN],[2]!TBLREKAPBAHAN[[NAMA BAHAN]:[MODAL SATUAN]],4,FALSE)</f>
        <v>112.5</v>
      </c>
      <c r="H8" s="49">
        <f>VLOOKUP(TBLROCASMEDIUM[NAMA BAHAN],[2]!TBLREKAPBAHAN[[NAMA BAHAN]:[MODAL SATUAN]],4,FALSE)</f>
        <v>112.5</v>
      </c>
      <c r="I8" s="50">
        <v>12</v>
      </c>
      <c r="J8" s="49">
        <f t="shared" si="0"/>
        <v>1350</v>
      </c>
    </row>
    <row r="9" spans="1:10" ht="15.75" x14ac:dyDescent="0.25">
      <c r="A9" s="5"/>
      <c r="B9" s="48">
        <v>8</v>
      </c>
      <c r="C9" s="48" t="s">
        <v>35</v>
      </c>
      <c r="D9" s="49">
        <f>VLOOKUP(TBLROCASMEDIUM[NAMA BAHAN],[2]!TBLREKAPBAHAN[[NAMA BAHAN]:[MODAL SATUAN]],2,FALSE)</f>
        <v>15000</v>
      </c>
      <c r="E9" s="49">
        <f>VLOOKUP(TBLROCASMEDIUM[NAMA BAHAN],[2]!TBLREKAPBAHAN[[NAMA BAHAN]:[MODAL SATUAN]],3,FALSE)</f>
        <v>6</v>
      </c>
      <c r="F9" s="49" t="s">
        <v>30</v>
      </c>
      <c r="G9" s="49">
        <f>VLOOKUP(TBLROCASMEDIUM[NAMA BAHAN],[2]!TBLREKAPBAHAN[[NAMA BAHAN]:[MODAL SATUAN]],4,FALSE)</f>
        <v>2500</v>
      </c>
      <c r="H9" s="49">
        <f>VLOOKUP(TBLROCASMEDIUM[NAMA BAHAN],[2]!TBLREKAPBAHAN[[NAMA BAHAN]:[MODAL SATUAN]],4,FALSE)</f>
        <v>2500</v>
      </c>
      <c r="I9" s="50">
        <v>1</v>
      </c>
      <c r="J9" s="49">
        <f t="shared" si="0"/>
        <v>2500</v>
      </c>
    </row>
    <row r="10" spans="1:10" ht="15.75" x14ac:dyDescent="0.25">
      <c r="A10" s="5"/>
      <c r="B10" s="48">
        <v>9</v>
      </c>
      <c r="C10" s="48" t="s">
        <v>59</v>
      </c>
      <c r="D10" s="49">
        <f>VLOOKUP(TBLROCASMEDIUM[NAMA BAHAN],[2]!TBLREKAPBAHAN[[NAMA BAHAN]:[MODAL SATUAN]],2,FALSE)</f>
        <v>60000</v>
      </c>
      <c r="E10" s="49">
        <f>VLOOKUP(TBLROCASMEDIUM[NAMA BAHAN],[2]!TBLREKAPBAHAN[[NAMA BAHAN]:[MODAL SATUAN]],3,FALSE)</f>
        <v>50</v>
      </c>
      <c r="F10" s="49" t="s">
        <v>23</v>
      </c>
      <c r="G10" s="49">
        <f>VLOOKUP(TBLROCASMEDIUM[NAMA BAHAN],[2]!TBLREKAPBAHAN[[NAMA BAHAN]:[MODAL SATUAN]],4,FALSE)</f>
        <v>1200</v>
      </c>
      <c r="H10" s="49">
        <f>VLOOKUP(TBLROCASMEDIUM[NAMA BAHAN],[2]!TBLREKAPBAHAN[[NAMA BAHAN]:[MODAL SATUAN]],4,FALSE)</f>
        <v>1200</v>
      </c>
      <c r="I10" s="50">
        <v>0.5</v>
      </c>
      <c r="J10" s="49">
        <f t="shared" si="0"/>
        <v>600</v>
      </c>
    </row>
    <row r="11" spans="1:10" ht="15.75" x14ac:dyDescent="0.25">
      <c r="A11" s="5"/>
      <c r="B11" s="48">
        <v>10</v>
      </c>
      <c r="C11" s="48" t="s">
        <v>54</v>
      </c>
      <c r="D11" s="49">
        <f>VLOOKUP(TBLROCASMEDIUM[NAMA BAHAN],[2]!TBLREKAPBAHAN[[NAMA BAHAN]:[MODAL SATUAN]],2,FALSE)</f>
        <v>35000</v>
      </c>
      <c r="E11" s="49">
        <f>VLOOKUP(TBLROCASMEDIUM[NAMA BAHAN],[2]!TBLREKAPBAHAN[[NAMA BAHAN]:[MODAL SATUAN]],3,FALSE)</f>
        <v>1000</v>
      </c>
      <c r="F11" s="49" t="s">
        <v>36</v>
      </c>
      <c r="G11" s="49">
        <f>VLOOKUP(TBLROCASMEDIUM[NAMA BAHAN],[2]!TBLREKAPBAHAN[[NAMA BAHAN]:[MODAL SATUAN]],4,FALSE)</f>
        <v>35</v>
      </c>
      <c r="H11" s="49">
        <f>VLOOKUP(TBLROCASMEDIUM[NAMA BAHAN],[2]!TBLREKAPBAHAN[[NAMA BAHAN]:[MODAL SATUAN]],4,FALSE)</f>
        <v>35</v>
      </c>
      <c r="I11" s="50">
        <v>3</v>
      </c>
      <c r="J11" s="49">
        <f t="shared" si="0"/>
        <v>105</v>
      </c>
    </row>
    <row r="12" spans="1:10" ht="15.75" x14ac:dyDescent="0.25">
      <c r="A12" s="5"/>
      <c r="B12" s="48">
        <v>11</v>
      </c>
      <c r="C12" s="48" t="s">
        <v>55</v>
      </c>
      <c r="D12" s="49">
        <f>VLOOKUP(TBLROCASMEDIUM[NAMA BAHAN],[2]!TBLREKAPBAHAN[[NAMA BAHAN]:[MODAL SATUAN]],2,FALSE)</f>
        <v>23000</v>
      </c>
      <c r="E12" s="49">
        <f>VLOOKUP(TBLROCASMEDIUM[NAMA BAHAN],[2]!TBLREKAPBAHAN[[NAMA BAHAN]:[MODAL SATUAN]],3,FALSE)</f>
        <v>3000</v>
      </c>
      <c r="F12" s="49" t="s">
        <v>36</v>
      </c>
      <c r="G12" s="49">
        <f>VLOOKUP(TBLROCASMEDIUM[NAMA BAHAN],[2]!TBLREKAPBAHAN[[NAMA BAHAN]:[MODAL SATUAN]],4,FALSE)</f>
        <v>7.666666666666667</v>
      </c>
      <c r="H12" s="49">
        <f>VLOOKUP(TBLROCASMEDIUM[NAMA BAHAN],[2]!TBLREKAPBAHAN[[NAMA BAHAN]:[MODAL SATUAN]],4,FALSE)</f>
        <v>7.666666666666667</v>
      </c>
      <c r="I12" s="50">
        <v>5</v>
      </c>
      <c r="J12" s="49">
        <f t="shared" si="0"/>
        <v>38.333333333333336</v>
      </c>
    </row>
    <row r="13" spans="1:10" ht="15.75" x14ac:dyDescent="0.25">
      <c r="A13" s="5"/>
      <c r="B13" s="48">
        <v>12</v>
      </c>
      <c r="C13" s="48" t="s">
        <v>192</v>
      </c>
      <c r="D13" s="49">
        <f>VLOOKUP(TBLROCASMEDIUM[NAMA BAHAN],[2]!TBLREKAPBAHAN[[NAMA BAHAN]:[MODAL SATUAN]],2,FALSE)</f>
        <v>40000</v>
      </c>
      <c r="E13" s="49">
        <f>VLOOKUP(TBLROCASMEDIUM[NAMA BAHAN],[2]!TBLREKAPBAHAN[[NAMA BAHAN]:[MODAL SATUAN]],3,FALSE)</f>
        <v>100</v>
      </c>
      <c r="F13" s="49" t="s">
        <v>26</v>
      </c>
      <c r="G13" s="49">
        <f>VLOOKUP(TBLROCASMEDIUM[NAMA BAHAN],[2]!TBLREKAPBAHAN[[NAMA BAHAN]:[MODAL SATUAN]],4,FALSE)</f>
        <v>400</v>
      </c>
      <c r="H13" s="49">
        <f>VLOOKUP(TBLROCASMEDIUM[NAMA BAHAN],[2]!TBLREKAPBAHAN[[NAMA BAHAN]:[MODAL SATUAN]],4,FALSE)</f>
        <v>400</v>
      </c>
      <c r="I13" s="50">
        <v>0</v>
      </c>
      <c r="J13" s="49">
        <f t="shared" si="0"/>
        <v>0</v>
      </c>
    </row>
    <row r="14" spans="1:10" ht="15.75" x14ac:dyDescent="0.25">
      <c r="A14" s="5"/>
      <c r="B14" s="48">
        <v>13</v>
      </c>
      <c r="C14" s="48" t="s">
        <v>61</v>
      </c>
      <c r="D14" s="49">
        <f>VLOOKUP(TBLROCASMEDIUM[NAMA BAHAN],[2]!TBLREKAPBAHAN[[NAMA BAHAN]:[MODAL SATUAN]],2,FALSE)</f>
        <v>8500</v>
      </c>
      <c r="E14" s="49">
        <f>VLOOKUP(TBLROCASMEDIUM[NAMA BAHAN],[2]!TBLREKAPBAHAN[[NAMA BAHAN]:[MODAL SATUAN]],3,FALSE)</f>
        <v>50</v>
      </c>
      <c r="F14" s="49" t="s">
        <v>30</v>
      </c>
      <c r="G14" s="49">
        <f>VLOOKUP(TBLROCASMEDIUM[NAMA BAHAN],[2]!TBLREKAPBAHAN[[NAMA BAHAN]:[MODAL SATUAN]],4,FALSE)</f>
        <v>170</v>
      </c>
      <c r="H14" s="49">
        <f>VLOOKUP(TBLROCASMEDIUM[NAMA BAHAN],[2]!TBLREKAPBAHAN[[NAMA BAHAN]:[MODAL SATUAN]],4,FALSE)</f>
        <v>170</v>
      </c>
      <c r="I14" s="50">
        <v>0</v>
      </c>
      <c r="J14" s="49">
        <f t="shared" si="0"/>
        <v>0</v>
      </c>
    </row>
    <row r="15" spans="1:10" s="17" customFormat="1" ht="15.75" customHeight="1" x14ac:dyDescent="0.25">
      <c r="A15" s="147" t="s">
        <v>20</v>
      </c>
      <c r="B15" s="147"/>
      <c r="C15" s="147"/>
      <c r="D15" s="147"/>
      <c r="E15" s="147"/>
      <c r="F15" s="147"/>
      <c r="G15" s="147"/>
      <c r="H15" s="147"/>
      <c r="I15" s="147"/>
      <c r="J15" s="51">
        <f>SUM(J2:J14)</f>
        <v>6787.7192982456136</v>
      </c>
    </row>
    <row r="20" spans="1:10" ht="31.5" x14ac:dyDescent="0.25">
      <c r="A20" s="5" t="s">
        <v>144</v>
      </c>
      <c r="B20" s="48" t="s">
        <v>90</v>
      </c>
      <c r="C20" s="48" t="s">
        <v>0</v>
      </c>
      <c r="D20" s="49" t="s">
        <v>4</v>
      </c>
      <c r="E20" s="49" t="s">
        <v>3</v>
      </c>
      <c r="F20" s="49" t="s">
        <v>19</v>
      </c>
      <c r="G20" s="49" t="s">
        <v>1</v>
      </c>
      <c r="H20" s="49" t="s">
        <v>2</v>
      </c>
      <c r="I20" s="50" t="s">
        <v>153</v>
      </c>
      <c r="J20" s="49" t="s">
        <v>145</v>
      </c>
    </row>
    <row r="21" spans="1:10" ht="15.75" x14ac:dyDescent="0.25">
      <c r="A21" s="6" t="s">
        <v>191</v>
      </c>
      <c r="B21" s="48">
        <v>1</v>
      </c>
      <c r="C21" s="48" t="s">
        <v>37</v>
      </c>
      <c r="D21" s="49">
        <f>VLOOKUP(TBLROCASMEDIUMSAPI[NAMA BAHAN],[2]!TBLREKAPBAHAN[[NAMA BAHAN]:[MODAL SATUAN]],2,FALSE)</f>
        <v>20000</v>
      </c>
      <c r="E21" s="49">
        <f>VLOOKUP(TBLROCASMEDIUMSAPI[NAMA BAHAN],[2]!TBLREKAPBAHAN[[NAMA BAHAN]:[MODAL SATUAN]],3,FALSE)</f>
        <v>1000</v>
      </c>
      <c r="F21" s="49" t="s">
        <v>36</v>
      </c>
      <c r="G21" s="49">
        <f>VLOOKUP(TBLROCASMEDIUMSAPI[NAMA BAHAN],[2]!TBLREKAPBAHAN[[NAMA BAHAN]:[MODAL SATUAN]],4,FALSE)</f>
        <v>20</v>
      </c>
      <c r="H21" s="49">
        <f>VLOOKUP(TBLROCASMEDIUMSAPI[NAMA BAHAN],[2]!TBLREKAPBAHAN[[NAMA BAHAN]:[MODAL SATUAN]],4,FALSE)</f>
        <v>20</v>
      </c>
      <c r="I21" s="50">
        <v>10</v>
      </c>
      <c r="J21" s="49">
        <f t="shared" ref="J21:J33" si="1">H21*I21</f>
        <v>200</v>
      </c>
    </row>
    <row r="22" spans="1:10" ht="15.75" x14ac:dyDescent="0.25">
      <c r="A22" s="5"/>
      <c r="B22" s="48">
        <v>2</v>
      </c>
      <c r="C22" s="48" t="s">
        <v>62</v>
      </c>
      <c r="D22" s="49">
        <f>VLOOKUP(TBLROCASMEDIUMSAPI[NAMA BAHAN],[2]!TBLREKAPBAHAN[[NAMA BAHAN]:[MODAL SATUAN]],2,FALSE)</f>
        <v>18000</v>
      </c>
      <c r="E22" s="49">
        <f>VLOOKUP(TBLROCASMEDIUMSAPI[NAMA BAHAN],[2]!TBLREKAPBAHAN[[NAMA BAHAN]:[MODAL SATUAN]],3,FALSE)</f>
        <v>1000</v>
      </c>
      <c r="F22" s="49" t="s">
        <v>36</v>
      </c>
      <c r="G22" s="49">
        <f>VLOOKUP(TBLROCASMEDIUMSAPI[NAMA BAHAN],[2]!TBLREKAPBAHAN[[NAMA BAHAN]:[MODAL SATUAN]],4,FALSE)</f>
        <v>18</v>
      </c>
      <c r="H22" s="49">
        <f>VLOOKUP(TBLROCASMEDIUMSAPI[NAMA BAHAN],[2]!TBLREKAPBAHAN[[NAMA BAHAN]:[MODAL SATUAN]],4,FALSE)</f>
        <v>18</v>
      </c>
      <c r="I22" s="50">
        <v>0</v>
      </c>
      <c r="J22" s="49">
        <f t="shared" si="1"/>
        <v>0</v>
      </c>
    </row>
    <row r="23" spans="1:10" ht="15.75" x14ac:dyDescent="0.25">
      <c r="A23" s="5"/>
      <c r="B23" s="48">
        <v>3</v>
      </c>
      <c r="C23" s="48" t="s">
        <v>63</v>
      </c>
      <c r="D23" s="49">
        <f>VLOOKUP(TBLROCASMEDIUMSAPI[NAMA BAHAN],[2]!TBLREKAPBAHAN[[NAMA BAHAN]:[MODAL SATUAN]],2,FALSE)</f>
        <v>12000</v>
      </c>
      <c r="E23" s="49">
        <f>VLOOKUP(TBLROCASMEDIUMSAPI[NAMA BAHAN],[2]!TBLREKAPBAHAN[[NAMA BAHAN]:[MODAL SATUAN]],3,FALSE)</f>
        <v>250</v>
      </c>
      <c r="F23" s="49" t="s">
        <v>36</v>
      </c>
      <c r="G23" s="49">
        <f>VLOOKUP(TBLROCASMEDIUMSAPI[NAMA BAHAN],[2]!TBLREKAPBAHAN[[NAMA BAHAN]:[MODAL SATUAN]],4,FALSE)</f>
        <v>48</v>
      </c>
      <c r="H23" s="49">
        <f>VLOOKUP(TBLROCASMEDIUMSAPI[NAMA BAHAN],[2]!TBLREKAPBAHAN[[NAMA BAHAN]:[MODAL SATUAN]],4,FALSE)</f>
        <v>48</v>
      </c>
      <c r="I23" s="50">
        <v>5</v>
      </c>
      <c r="J23" s="49">
        <f t="shared" si="1"/>
        <v>240</v>
      </c>
    </row>
    <row r="24" spans="1:10" ht="15.75" x14ac:dyDescent="0.25">
      <c r="A24" s="5"/>
      <c r="B24" s="48">
        <v>4</v>
      </c>
      <c r="C24" s="48" t="s">
        <v>64</v>
      </c>
      <c r="D24" s="49">
        <f>VLOOKUP(TBLROCASMEDIUMSAPI[NAMA BAHAN],[2]!TBLREKAPBAHAN[[NAMA BAHAN]:[MODAL SATUAN]],2,FALSE)</f>
        <v>50000</v>
      </c>
      <c r="E24" s="49">
        <f>VLOOKUP(TBLROCASMEDIUMSAPI[NAMA BAHAN],[2]!TBLREKAPBAHAN[[NAMA BAHAN]:[MODAL SATUAN]],3,FALSE)</f>
        <v>1000</v>
      </c>
      <c r="F24" s="49" t="s">
        <v>36</v>
      </c>
      <c r="G24" s="49">
        <f>VLOOKUP(TBLROCASMEDIUMSAPI[NAMA BAHAN],[2]!TBLREKAPBAHAN[[NAMA BAHAN]:[MODAL SATUAN]],4,FALSE)</f>
        <v>50</v>
      </c>
      <c r="H24" s="49">
        <f>VLOOKUP(TBLROCASMEDIUMSAPI[NAMA BAHAN],[2]!TBLREKAPBAHAN[[NAMA BAHAN]:[MODAL SATUAN]],4,FALSE)</f>
        <v>50</v>
      </c>
      <c r="I24" s="50">
        <v>10</v>
      </c>
      <c r="J24" s="49">
        <f t="shared" si="1"/>
        <v>500</v>
      </c>
    </row>
    <row r="25" spans="1:10" ht="15.75" x14ac:dyDescent="0.25">
      <c r="A25" s="5"/>
      <c r="B25" s="48">
        <v>5</v>
      </c>
      <c r="C25" s="48" t="s">
        <v>28</v>
      </c>
      <c r="D25" s="49">
        <f>VLOOKUP(TBLROCASMEDIUMSAPI[NAMA BAHAN],[2]!TBLREKAPBAHAN[[NAMA BAHAN]:[MODAL SATUAN]],2,FALSE)</f>
        <v>8000</v>
      </c>
      <c r="E25" s="49">
        <f>VLOOKUP(TBLROCASMEDIUMSAPI[NAMA BAHAN],[2]!TBLREKAPBAHAN[[NAMA BAHAN]:[MODAL SATUAN]],3,FALSE)</f>
        <v>24</v>
      </c>
      <c r="F25" s="49" t="s">
        <v>29</v>
      </c>
      <c r="G25" s="49">
        <f>VLOOKUP(TBLROCASMEDIUMSAPI[NAMA BAHAN],[2]!TBLREKAPBAHAN[[NAMA BAHAN]:[MODAL SATUAN]],4,FALSE)</f>
        <v>333.33333333333331</v>
      </c>
      <c r="H25" s="49">
        <f>VLOOKUP(TBLROCASMEDIUMSAPI[NAMA BAHAN],[2]!TBLREKAPBAHAN[[NAMA BAHAN]:[MODAL SATUAN]],4,FALSE)</f>
        <v>333.33333333333331</v>
      </c>
      <c r="I25" s="50">
        <v>1</v>
      </c>
      <c r="J25" s="49">
        <f t="shared" si="1"/>
        <v>333.33333333333331</v>
      </c>
    </row>
    <row r="26" spans="1:10" ht="15.75" x14ac:dyDescent="0.25">
      <c r="A26" s="5"/>
      <c r="B26" s="48">
        <v>6</v>
      </c>
      <c r="C26" s="48" t="s">
        <v>58</v>
      </c>
      <c r="D26" s="49">
        <f>VLOOKUP(TBLROCASMEDIUMSAPI[NAMA BAHAN],[2]!TBLREKAPBAHAN[[NAMA BAHAN]:[MODAL SATUAN]],2,FALSE)</f>
        <v>45000</v>
      </c>
      <c r="E26" s="49">
        <f>VLOOKUP(TBLROCASMEDIUMSAPI[NAMA BAHAN],[2]!TBLREKAPBAHAN[[NAMA BAHAN]:[MODAL SATUAN]],3,FALSE)</f>
        <v>400</v>
      </c>
      <c r="F26" s="49" t="s">
        <v>27</v>
      </c>
      <c r="G26" s="49">
        <f>VLOOKUP(TBLROCASMEDIUMSAPI[NAMA BAHAN],[2]!TBLREKAPBAHAN[[NAMA BAHAN]:[MODAL SATUAN]],4,FALSE)</f>
        <v>112.5</v>
      </c>
      <c r="H26" s="49">
        <f>VLOOKUP(TBLROCASMEDIUMSAPI[NAMA BAHAN],[2]!TBLREKAPBAHAN[[NAMA BAHAN]:[MODAL SATUAN]],4,FALSE)</f>
        <v>112.5</v>
      </c>
      <c r="I26" s="50">
        <v>8</v>
      </c>
      <c r="J26" s="49">
        <f t="shared" si="1"/>
        <v>900</v>
      </c>
    </row>
    <row r="27" spans="1:10" ht="15.75" x14ac:dyDescent="0.25">
      <c r="A27" s="5"/>
      <c r="B27" s="48">
        <v>7</v>
      </c>
      <c r="C27" s="48" t="s">
        <v>143</v>
      </c>
      <c r="D27" s="49">
        <f>VLOOKUP(TBLROCASMEDIUMSAPI[NAMA BAHAN],[2]!TBLREKAPBAHAN[[NAMA BAHAN]:[MODAL SATUAN]],2,FALSE)</f>
        <v>85000</v>
      </c>
      <c r="E27" s="49">
        <f>VLOOKUP(TBLROCASMEDIUMSAPI[NAMA BAHAN],[2]!TBLREKAPBAHAN[[NAMA BAHAN]:[MODAL SATUAN]],3,FALSE)</f>
        <v>1000</v>
      </c>
      <c r="F27" s="49" t="s">
        <v>36</v>
      </c>
      <c r="G27" s="49">
        <f>VLOOKUP(TBLROCASMEDIUMSAPI[NAMA BAHAN],[2]!TBLREKAPBAHAN[[NAMA BAHAN]:[MODAL SATUAN]],4,FALSE)</f>
        <v>85</v>
      </c>
      <c r="H27" s="49">
        <f>VLOOKUP(TBLROCASMEDIUMSAPI[NAMA BAHAN],[2]!TBLREKAPBAHAN[[NAMA BAHAN]:[MODAL SATUAN]],4,FALSE)</f>
        <v>85</v>
      </c>
      <c r="I27" s="50">
        <v>20</v>
      </c>
      <c r="J27" s="49">
        <f t="shared" si="1"/>
        <v>1700</v>
      </c>
    </row>
    <row r="28" spans="1:10" ht="15.75" x14ac:dyDescent="0.25">
      <c r="A28" s="5"/>
      <c r="B28" s="48">
        <v>8</v>
      </c>
      <c r="C28" s="48" t="s">
        <v>35</v>
      </c>
      <c r="D28" s="49">
        <f>VLOOKUP(TBLROCASMEDIUMSAPI[NAMA BAHAN],[2]!TBLREKAPBAHAN[[NAMA BAHAN]:[MODAL SATUAN]],2,FALSE)</f>
        <v>15000</v>
      </c>
      <c r="E28" s="49">
        <f>VLOOKUP(TBLROCASMEDIUMSAPI[NAMA BAHAN],[2]!TBLREKAPBAHAN[[NAMA BAHAN]:[MODAL SATUAN]],3,FALSE)</f>
        <v>6</v>
      </c>
      <c r="F28" s="49" t="s">
        <v>30</v>
      </c>
      <c r="G28" s="49">
        <f>VLOOKUP(TBLROCASMEDIUMSAPI[NAMA BAHAN],[2]!TBLREKAPBAHAN[[NAMA BAHAN]:[MODAL SATUAN]],4,FALSE)</f>
        <v>2500</v>
      </c>
      <c r="H28" s="49">
        <f>VLOOKUP(TBLROCASMEDIUMSAPI[NAMA BAHAN],[2]!TBLREKAPBAHAN[[NAMA BAHAN]:[MODAL SATUAN]],4,FALSE)</f>
        <v>2500</v>
      </c>
      <c r="I28" s="50">
        <v>1</v>
      </c>
      <c r="J28" s="49">
        <f t="shared" si="1"/>
        <v>2500</v>
      </c>
    </row>
    <row r="29" spans="1:10" ht="15.75" x14ac:dyDescent="0.25">
      <c r="A29" s="5"/>
      <c r="B29" s="48">
        <v>9</v>
      </c>
      <c r="C29" s="48" t="s">
        <v>59</v>
      </c>
      <c r="D29" s="49">
        <f>VLOOKUP(TBLROCASMEDIUMSAPI[NAMA BAHAN],[2]!TBLREKAPBAHAN[[NAMA BAHAN]:[MODAL SATUAN]],2,FALSE)</f>
        <v>60000</v>
      </c>
      <c r="E29" s="49">
        <f>VLOOKUP(TBLROCASMEDIUMSAPI[NAMA BAHAN],[2]!TBLREKAPBAHAN[[NAMA BAHAN]:[MODAL SATUAN]],3,FALSE)</f>
        <v>50</v>
      </c>
      <c r="F29" s="49" t="s">
        <v>23</v>
      </c>
      <c r="G29" s="49">
        <f>VLOOKUP(TBLROCASMEDIUMSAPI[NAMA BAHAN],[2]!TBLREKAPBAHAN[[NAMA BAHAN]:[MODAL SATUAN]],4,FALSE)</f>
        <v>1200</v>
      </c>
      <c r="H29" s="49">
        <f>VLOOKUP(TBLROCASMEDIUMSAPI[NAMA BAHAN],[2]!TBLREKAPBAHAN[[NAMA BAHAN]:[MODAL SATUAN]],4,FALSE)</f>
        <v>1200</v>
      </c>
      <c r="I29" s="50">
        <v>0.5</v>
      </c>
      <c r="J29" s="49">
        <f t="shared" si="1"/>
        <v>600</v>
      </c>
    </row>
    <row r="30" spans="1:10" ht="15.75" x14ac:dyDescent="0.25">
      <c r="A30" s="5"/>
      <c r="B30" s="48">
        <v>10</v>
      </c>
      <c r="C30" s="48" t="s">
        <v>54</v>
      </c>
      <c r="D30" s="49">
        <f>VLOOKUP(TBLROCASMEDIUMSAPI[NAMA BAHAN],[2]!TBLREKAPBAHAN[[NAMA BAHAN]:[MODAL SATUAN]],2,FALSE)</f>
        <v>35000</v>
      </c>
      <c r="E30" s="49">
        <f>VLOOKUP(TBLROCASMEDIUMSAPI[NAMA BAHAN],[2]!TBLREKAPBAHAN[[NAMA BAHAN]:[MODAL SATUAN]],3,FALSE)</f>
        <v>1000</v>
      </c>
      <c r="F30" s="49" t="s">
        <v>36</v>
      </c>
      <c r="G30" s="49">
        <f>VLOOKUP(TBLROCASMEDIUMSAPI[NAMA BAHAN],[2]!TBLREKAPBAHAN[[NAMA BAHAN]:[MODAL SATUAN]],4,FALSE)</f>
        <v>35</v>
      </c>
      <c r="H30" s="49">
        <f>VLOOKUP(TBLROCASMEDIUMSAPI[NAMA BAHAN],[2]!TBLREKAPBAHAN[[NAMA BAHAN]:[MODAL SATUAN]],4,FALSE)</f>
        <v>35</v>
      </c>
      <c r="I30" s="50">
        <v>3</v>
      </c>
      <c r="J30" s="49">
        <f t="shared" si="1"/>
        <v>105</v>
      </c>
    </row>
    <row r="31" spans="1:10" ht="15.75" x14ac:dyDescent="0.25">
      <c r="A31" s="5"/>
      <c r="B31" s="48">
        <v>11</v>
      </c>
      <c r="C31" s="48" t="s">
        <v>55</v>
      </c>
      <c r="D31" s="49">
        <f>VLOOKUP(TBLROCASMEDIUMSAPI[NAMA BAHAN],[2]!TBLREKAPBAHAN[[NAMA BAHAN]:[MODAL SATUAN]],2,FALSE)</f>
        <v>23000</v>
      </c>
      <c r="E31" s="49">
        <f>VLOOKUP(TBLROCASMEDIUMSAPI[NAMA BAHAN],[2]!TBLREKAPBAHAN[[NAMA BAHAN]:[MODAL SATUAN]],3,FALSE)</f>
        <v>3000</v>
      </c>
      <c r="F31" s="49" t="s">
        <v>36</v>
      </c>
      <c r="G31" s="49">
        <f>VLOOKUP(TBLROCASMEDIUMSAPI[NAMA BAHAN],[2]!TBLREKAPBAHAN[[NAMA BAHAN]:[MODAL SATUAN]],4,FALSE)</f>
        <v>7.666666666666667</v>
      </c>
      <c r="H31" s="49">
        <f>VLOOKUP(TBLROCASMEDIUMSAPI[NAMA BAHAN],[2]!TBLREKAPBAHAN[[NAMA BAHAN]:[MODAL SATUAN]],4,FALSE)</f>
        <v>7.666666666666667</v>
      </c>
      <c r="I31" s="50">
        <v>5</v>
      </c>
      <c r="J31" s="49">
        <f t="shared" si="1"/>
        <v>38.333333333333336</v>
      </c>
    </row>
    <row r="32" spans="1:10" ht="15.75" x14ac:dyDescent="0.25">
      <c r="A32" s="5"/>
      <c r="B32" s="48">
        <v>12</v>
      </c>
      <c r="C32" s="48" t="s">
        <v>192</v>
      </c>
      <c r="D32" s="49">
        <f>VLOOKUP(TBLROCASMEDIUMSAPI[NAMA BAHAN],[2]!TBLREKAPBAHAN[[NAMA BAHAN]:[MODAL SATUAN]],2,FALSE)</f>
        <v>40000</v>
      </c>
      <c r="E32" s="49">
        <f>VLOOKUP(TBLROCASMEDIUMSAPI[NAMA BAHAN],[2]!TBLREKAPBAHAN[[NAMA BAHAN]:[MODAL SATUAN]],3,FALSE)</f>
        <v>100</v>
      </c>
      <c r="F32" s="49" t="s">
        <v>26</v>
      </c>
      <c r="G32" s="49">
        <f>VLOOKUP(TBLROCASMEDIUMSAPI[NAMA BAHAN],[2]!TBLREKAPBAHAN[[NAMA BAHAN]:[MODAL SATUAN]],4,FALSE)</f>
        <v>400</v>
      </c>
      <c r="H32" s="49">
        <f>VLOOKUP(TBLROCASMEDIUMSAPI[NAMA BAHAN],[2]!TBLREKAPBAHAN[[NAMA BAHAN]:[MODAL SATUAN]],4,FALSE)</f>
        <v>400</v>
      </c>
      <c r="I32" s="50">
        <v>0</v>
      </c>
      <c r="J32" s="49">
        <f t="shared" si="1"/>
        <v>0</v>
      </c>
    </row>
    <row r="33" spans="1:10" ht="15.75" x14ac:dyDescent="0.25">
      <c r="A33" s="5"/>
      <c r="B33" s="48">
        <v>13</v>
      </c>
      <c r="C33" s="48" t="s">
        <v>61</v>
      </c>
      <c r="D33" s="49">
        <f>VLOOKUP(TBLROCASMEDIUMSAPI[NAMA BAHAN],[2]!TBLREKAPBAHAN[[NAMA BAHAN]:[MODAL SATUAN]],2,FALSE)</f>
        <v>8500</v>
      </c>
      <c r="E33" s="49">
        <f>VLOOKUP(TBLROCASMEDIUMSAPI[NAMA BAHAN],[2]!TBLREKAPBAHAN[[NAMA BAHAN]:[MODAL SATUAN]],3,FALSE)</f>
        <v>50</v>
      </c>
      <c r="F33" s="49" t="s">
        <v>30</v>
      </c>
      <c r="G33" s="49">
        <f>VLOOKUP(TBLROCASMEDIUMSAPI[NAMA BAHAN],[2]!TBLREKAPBAHAN[[NAMA BAHAN]:[MODAL SATUAN]],4,FALSE)</f>
        <v>170</v>
      </c>
      <c r="H33" s="49">
        <f>VLOOKUP(TBLROCASMEDIUMSAPI[NAMA BAHAN],[2]!TBLREKAPBAHAN[[NAMA BAHAN]:[MODAL SATUAN]],4,FALSE)</f>
        <v>170</v>
      </c>
      <c r="I33" s="50">
        <v>0</v>
      </c>
      <c r="J33" s="49">
        <f t="shared" si="1"/>
        <v>0</v>
      </c>
    </row>
    <row r="34" spans="1:10" x14ac:dyDescent="0.25">
      <c r="A34" s="147" t="s">
        <v>20</v>
      </c>
      <c r="B34" s="147"/>
      <c r="C34" s="147"/>
      <c r="D34" s="147"/>
      <c r="E34" s="147"/>
      <c r="F34" s="147"/>
      <c r="G34" s="147"/>
      <c r="H34" s="147"/>
      <c r="I34" s="52"/>
      <c r="J34" s="51">
        <f>SUM(J21:J33)</f>
        <v>7116.6666666666661</v>
      </c>
    </row>
  </sheetData>
  <mergeCells count="2">
    <mergeCell ref="A15:I15"/>
    <mergeCell ref="A34:H34"/>
  </mergeCells>
  <pageMargins left="0.70866141732283472" right="0.70866141732283472" top="0.74803149606299213" bottom="0.74803149606299213" header="0.31496062992125984" footer="0.31496062992125984"/>
  <pageSetup paperSize="5" scale="60" fitToWidth="0" fitToHeight="0" orientation="landscape" horizontalDpi="4294967293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zoomScale="80" zoomScaleNormal="80" workbookViewId="0">
      <pane xSplit="4" ySplit="1" topLeftCell="E30" activePane="bottomRight" state="frozen"/>
      <selection activeCell="AG7" sqref="AG7"/>
      <selection pane="topRight" activeCell="AG7" sqref="AG7"/>
      <selection pane="bottomLeft" activeCell="AG7" sqref="AG7"/>
      <selection pane="bottomRight" activeCell="C50" sqref="C50"/>
    </sheetView>
  </sheetViews>
  <sheetFormatPr defaultRowHeight="15" x14ac:dyDescent="0.25"/>
  <cols>
    <col min="1" max="1" width="59.140625" style="9" customWidth="1"/>
    <col min="2" max="2" width="7.7109375" style="9" customWidth="1"/>
    <col min="3" max="3" width="26.85546875" style="9" customWidth="1"/>
    <col min="4" max="4" width="16.140625" style="1" customWidth="1"/>
    <col min="5" max="5" width="12.42578125" style="1" customWidth="1"/>
    <col min="6" max="6" width="12" style="47" customWidth="1"/>
    <col min="7" max="7" width="13" style="1" customWidth="1"/>
    <col min="8" max="8" width="12.42578125" style="1" customWidth="1"/>
    <col min="9" max="9" width="7.140625" style="18" customWidth="1"/>
    <col min="10" max="10" width="18.7109375" style="1" customWidth="1"/>
    <col min="11" max="11" width="0" style="9" hidden="1" customWidth="1"/>
    <col min="12" max="12" width="15.5703125" style="9" hidden="1" customWidth="1"/>
    <col min="13" max="13" width="0" style="9" hidden="1" customWidth="1"/>
    <col min="14" max="14" width="5.7109375" style="9" hidden="1" customWidth="1"/>
    <col min="15" max="15" width="9.140625" style="9"/>
    <col min="16" max="16" width="57.7109375" style="9" customWidth="1"/>
    <col min="17" max="17" width="7.7109375" style="9" customWidth="1"/>
    <col min="18" max="18" width="26.85546875" style="9" customWidth="1"/>
    <col min="19" max="19" width="20.28515625" style="9" customWidth="1"/>
    <col min="20" max="24" width="9.140625" style="9"/>
    <col min="25" max="25" width="18.7109375" style="9" customWidth="1"/>
    <col min="26" max="26" width="9.140625" style="9"/>
    <col min="27" max="27" width="39.28515625" style="9" customWidth="1"/>
    <col min="28" max="28" width="7.7109375" style="9" customWidth="1"/>
    <col min="29" max="29" width="26.85546875" style="9" customWidth="1"/>
    <col min="30" max="30" width="35.42578125" style="9" customWidth="1"/>
    <col min="31" max="35" width="9.140625" style="9"/>
    <col min="36" max="36" width="18.7109375" style="9" customWidth="1"/>
    <col min="37" max="38" width="9.140625" style="9"/>
    <col min="39" max="39" width="32.140625" style="9" customWidth="1"/>
    <col min="40" max="40" width="7.7109375" style="9" customWidth="1"/>
    <col min="41" max="41" width="26.85546875" style="9" customWidth="1"/>
    <col min="42" max="42" width="24.28515625" style="9" customWidth="1"/>
    <col min="43" max="47" width="9.140625" style="9"/>
    <col min="48" max="48" width="18.7109375" style="9" customWidth="1"/>
    <col min="49" max="49" width="9.140625" style="9"/>
    <col min="50" max="50" width="42.140625" style="9" customWidth="1"/>
    <col min="51" max="51" width="7.7109375" style="9" customWidth="1"/>
    <col min="52" max="52" width="26.85546875" style="9" customWidth="1"/>
    <col min="53" max="53" width="18" style="9" customWidth="1"/>
    <col min="54" max="58" width="9.140625" style="9"/>
    <col min="59" max="59" width="18.7109375" style="9" customWidth="1"/>
    <col min="60" max="60" width="9.140625" style="9"/>
    <col min="61" max="61" width="46" style="9" customWidth="1"/>
    <col min="62" max="62" width="7.7109375" style="9" customWidth="1"/>
    <col min="63" max="63" width="26.85546875" style="9" customWidth="1"/>
    <col min="64" max="64" width="23.42578125" style="9" customWidth="1"/>
    <col min="65" max="69" width="9.140625" style="9"/>
    <col min="70" max="70" width="18.7109375" style="9" customWidth="1"/>
    <col min="71" max="16384" width="9.140625" style="9"/>
  </cols>
  <sheetData>
    <row r="1" spans="1:25" s="56" customFormat="1" ht="89.25" customHeight="1" x14ac:dyDescent="0.25">
      <c r="A1" s="53" t="s">
        <v>144</v>
      </c>
      <c r="B1" s="54" t="s">
        <v>90</v>
      </c>
      <c r="C1" s="54" t="s">
        <v>0</v>
      </c>
      <c r="D1" s="53" t="s">
        <v>4</v>
      </c>
      <c r="E1" s="53" t="s">
        <v>3</v>
      </c>
      <c r="F1" s="53" t="s">
        <v>19</v>
      </c>
      <c r="G1" s="53" t="s">
        <v>1</v>
      </c>
      <c r="H1" s="53" t="s">
        <v>2</v>
      </c>
      <c r="I1" s="55" t="s">
        <v>5</v>
      </c>
      <c r="J1" s="53" t="s">
        <v>145</v>
      </c>
      <c r="K1" s="53" t="s">
        <v>5</v>
      </c>
      <c r="L1" s="53" t="s">
        <v>39</v>
      </c>
      <c r="M1" s="53" t="s">
        <v>5</v>
      </c>
      <c r="N1" s="53" t="s">
        <v>40</v>
      </c>
      <c r="P1" s="53" t="s">
        <v>144</v>
      </c>
      <c r="Q1" s="54" t="s">
        <v>90</v>
      </c>
      <c r="R1" s="54" t="s">
        <v>0</v>
      </c>
      <c r="S1" s="53" t="s">
        <v>4</v>
      </c>
      <c r="T1" s="53" t="s">
        <v>3</v>
      </c>
      <c r="U1" s="53" t="s">
        <v>19</v>
      </c>
      <c r="V1" s="53" t="s">
        <v>1</v>
      </c>
      <c r="W1" s="53" t="s">
        <v>2</v>
      </c>
      <c r="X1" s="55" t="s">
        <v>150</v>
      </c>
      <c r="Y1" s="53" t="s">
        <v>145</v>
      </c>
    </row>
    <row r="2" spans="1:25" s="56" customFormat="1" ht="15" customHeight="1" x14ac:dyDescent="0.25">
      <c r="A2" s="5" t="s">
        <v>134</v>
      </c>
      <c r="B2" s="54">
        <v>1</v>
      </c>
      <c r="C2" s="54" t="s">
        <v>24</v>
      </c>
      <c r="D2" s="53">
        <f>VLOOKUP(TBLROYAMORISINGLE[NAMA BAHAN],[2]!TBLREKAPBAHAN[[NAMA BAHAN]:[MODAL SATUAN]],2,FALSE)</f>
        <v>20000</v>
      </c>
      <c r="E2" s="53">
        <f>VLOOKUP(TBLROYAMORISINGLE[NAMA BAHAN],[2]!TBLREKAPBAHAN[[NAMA BAHAN]:[MODAL SATUAN]],3,FALSE)</f>
        <v>10</v>
      </c>
      <c r="F2" s="57" t="s">
        <v>26</v>
      </c>
      <c r="G2" s="7">
        <f>VLOOKUP(TBLROYAMORISINGLE[NAMA BAHAN],[2]!TBLREKAPBAHAN[[NAMA BAHAN]:[MODAL SATUAN]],4,FALSE)</f>
        <v>2000</v>
      </c>
      <c r="H2" s="7">
        <f>VLOOKUP(TBLROYAMORISINGLE[NAMA BAHAN],[2]!TBLREKAPBAHAN[[NAMA BAHAN]:[MODAL SATUAN]],4,FALSE)</f>
        <v>2000</v>
      </c>
      <c r="I2" s="58">
        <v>1</v>
      </c>
      <c r="J2" s="7">
        <f t="shared" ref="J2:J13" si="0">H2*I2</f>
        <v>2000</v>
      </c>
      <c r="K2" s="7">
        <v>1</v>
      </c>
      <c r="L2" s="7">
        <f t="shared" ref="L2:L8" si="1">H2*K2</f>
        <v>2000</v>
      </c>
      <c r="M2" s="7">
        <v>3</v>
      </c>
      <c r="N2" s="7">
        <f t="shared" ref="N2:N8" si="2">H2*M2</f>
        <v>6000</v>
      </c>
      <c r="P2" s="59" t="s">
        <v>133</v>
      </c>
      <c r="Q2" s="54">
        <v>1</v>
      </c>
      <c r="R2" s="54" t="s">
        <v>24</v>
      </c>
      <c r="S2" s="53">
        <f>VLOOKUP(TBLROYAMCOKLATSINGLE[NAMA BAHAN],[2]!TBLREKAPBAHAN[[NAMA BAHAN]:[MODAL SATUAN]],2,FALSE)</f>
        <v>20000</v>
      </c>
      <c r="T2" s="53">
        <f>VLOOKUP(TBLROYAMCOKLATSINGLE[NAMA BAHAN],[2]!TBLREKAPBAHAN[[NAMA BAHAN]:[MODAL SATUAN]],3,FALSE)</f>
        <v>10</v>
      </c>
      <c r="U2" s="57" t="s">
        <v>26</v>
      </c>
      <c r="V2" s="7">
        <f>VLOOKUP(TBLROYAMCOKLATSINGLE[NAMA BAHAN],[2]!TBLREKAPBAHAN[[NAMA BAHAN]:[MODAL SATUAN]],4,FALSE)</f>
        <v>2000</v>
      </c>
      <c r="W2" s="7">
        <f>VLOOKUP(TBLROYAMCOKLATSINGLE[NAMA BAHAN],[2]!TBLREKAPBAHAN[[NAMA BAHAN]:[MODAL SATUAN]],4,FALSE)</f>
        <v>2000</v>
      </c>
      <c r="X2" s="58">
        <v>1</v>
      </c>
      <c r="Y2" s="7">
        <f>W2*X2</f>
        <v>2000</v>
      </c>
    </row>
    <row r="3" spans="1:25" s="56" customFormat="1" ht="15" customHeight="1" x14ac:dyDescent="0.25">
      <c r="A3" s="54"/>
      <c r="B3" s="54">
        <v>2</v>
      </c>
      <c r="C3" s="54" t="s">
        <v>25</v>
      </c>
      <c r="D3" s="53">
        <f>VLOOKUP(TBLROYAMORISINGLE[NAMA BAHAN],[2]!TBLREKAPBAHAN[[NAMA BAHAN]:[MODAL SATUAN]],2,FALSE)</f>
        <v>5000</v>
      </c>
      <c r="E3" s="53">
        <f>VLOOKUP(TBLROYAMORISINGLE[NAMA BAHAN],[2]!TBLREKAPBAHAN[[NAMA BAHAN]:[MODAL SATUAN]],3,FALSE)</f>
        <v>250</v>
      </c>
      <c r="F3" s="57" t="s">
        <v>36</v>
      </c>
      <c r="G3" s="7">
        <f>VLOOKUP(TBLROYAMORISINGLE[NAMA BAHAN],[2]!TBLREKAPBAHAN[[NAMA BAHAN]:[MODAL SATUAN]],4,FALSE)</f>
        <v>20</v>
      </c>
      <c r="H3" s="7">
        <f>VLOOKUP(TBLROYAMORISINGLE[NAMA BAHAN],[2]!TBLREKAPBAHAN[[NAMA BAHAN]:[MODAL SATUAN]],4,FALSE)</f>
        <v>20</v>
      </c>
      <c r="I3" s="58">
        <v>5</v>
      </c>
      <c r="J3" s="7">
        <f t="shared" si="0"/>
        <v>100</v>
      </c>
      <c r="K3" s="7">
        <v>5</v>
      </c>
      <c r="L3" s="7">
        <f t="shared" si="1"/>
        <v>100</v>
      </c>
      <c r="M3" s="7">
        <v>10</v>
      </c>
      <c r="N3" s="7">
        <f t="shared" si="2"/>
        <v>200</v>
      </c>
      <c r="P3" s="54"/>
      <c r="Q3" s="54">
        <v>2</v>
      </c>
      <c r="R3" s="54" t="s">
        <v>25</v>
      </c>
      <c r="S3" s="53">
        <f>VLOOKUP(TBLROYAMCOKLATSINGLE[NAMA BAHAN],[2]!TBLREKAPBAHAN[[NAMA BAHAN]:[MODAL SATUAN]],2,FALSE)</f>
        <v>5000</v>
      </c>
      <c r="T3" s="53">
        <f>VLOOKUP(TBLROYAMCOKLATSINGLE[NAMA BAHAN],[2]!TBLREKAPBAHAN[[NAMA BAHAN]:[MODAL SATUAN]],3,FALSE)</f>
        <v>250</v>
      </c>
      <c r="U3" s="57" t="s">
        <v>36</v>
      </c>
      <c r="V3" s="7">
        <f>VLOOKUP(TBLROYAMCOKLATSINGLE[NAMA BAHAN],[2]!TBLREKAPBAHAN[[NAMA BAHAN]:[MODAL SATUAN]],4,FALSE)</f>
        <v>20</v>
      </c>
      <c r="W3" s="7">
        <f>VLOOKUP(TBLROYAMCOKLATSINGLE[NAMA BAHAN],[2]!TBLREKAPBAHAN[[NAMA BAHAN]:[MODAL SATUAN]],4,FALSE)</f>
        <v>20</v>
      </c>
      <c r="X3" s="58">
        <v>0</v>
      </c>
      <c r="Y3" s="7">
        <f t="shared" ref="Y3:Y13" si="3">V3*X3</f>
        <v>0</v>
      </c>
    </row>
    <row r="4" spans="1:25" s="56" customFormat="1" ht="15" customHeight="1" x14ac:dyDescent="0.25">
      <c r="A4" s="54"/>
      <c r="B4" s="54">
        <v>3</v>
      </c>
      <c r="C4" s="54" t="s">
        <v>53</v>
      </c>
      <c r="D4" s="53">
        <f>VLOOKUP(TBLROYAMORISINGLE[NAMA BAHAN],[2]!TBLREKAPBAHAN[[NAMA BAHAN]:[MODAL SATUAN]],2,FALSE)</f>
        <v>15000</v>
      </c>
      <c r="E4" s="53">
        <f>VLOOKUP(TBLROYAMORISINGLE[NAMA BAHAN],[2]!TBLREKAPBAHAN[[NAMA BAHAN]:[MODAL SATUAN]],3,FALSE)</f>
        <v>250</v>
      </c>
      <c r="F4" s="57" t="s">
        <v>36</v>
      </c>
      <c r="G4" s="7">
        <f>VLOOKUP(TBLROYAMORISINGLE[NAMA BAHAN],[2]!TBLREKAPBAHAN[[NAMA BAHAN]:[MODAL SATUAN]],4,FALSE)</f>
        <v>60</v>
      </c>
      <c r="H4" s="7">
        <f>VLOOKUP(TBLROYAMORISINGLE[NAMA BAHAN],[2]!TBLREKAPBAHAN[[NAMA BAHAN]:[MODAL SATUAN]],4,FALSE)</f>
        <v>60</v>
      </c>
      <c r="I4" s="58">
        <v>0</v>
      </c>
      <c r="J4" s="7">
        <f t="shared" si="0"/>
        <v>0</v>
      </c>
      <c r="K4" s="7">
        <v>20</v>
      </c>
      <c r="L4" s="7">
        <f t="shared" si="1"/>
        <v>1200</v>
      </c>
      <c r="M4" s="7">
        <v>20</v>
      </c>
      <c r="N4" s="7">
        <f t="shared" si="2"/>
        <v>1200</v>
      </c>
      <c r="P4" s="54"/>
      <c r="Q4" s="54">
        <v>3</v>
      </c>
      <c r="R4" s="54" t="s">
        <v>53</v>
      </c>
      <c r="S4" s="53">
        <f>VLOOKUP(TBLROYAMCOKLATSINGLE[NAMA BAHAN],[2]!TBLREKAPBAHAN[[NAMA BAHAN]:[MODAL SATUAN]],2,FALSE)</f>
        <v>15000</v>
      </c>
      <c r="T4" s="53">
        <f>VLOOKUP(TBLROYAMCOKLATSINGLE[NAMA BAHAN],[2]!TBLREKAPBAHAN[[NAMA BAHAN]:[MODAL SATUAN]],3,FALSE)</f>
        <v>250</v>
      </c>
      <c r="U4" s="57" t="s">
        <v>36</v>
      </c>
      <c r="V4" s="7">
        <f>VLOOKUP(TBLROYAMCOKLATSINGLE[NAMA BAHAN],[2]!TBLREKAPBAHAN[[NAMA BAHAN]:[MODAL SATUAN]],4,FALSE)</f>
        <v>60</v>
      </c>
      <c r="W4" s="7">
        <f>VLOOKUP(TBLROYAMCOKLATSINGLE[NAMA BAHAN],[2]!TBLREKAPBAHAN[[NAMA BAHAN]:[MODAL SATUAN]],4,FALSE)</f>
        <v>60</v>
      </c>
      <c r="X4" s="58">
        <v>5</v>
      </c>
      <c r="Y4" s="7">
        <f t="shared" si="3"/>
        <v>300</v>
      </c>
    </row>
    <row r="5" spans="1:25" s="56" customFormat="1" ht="15" customHeight="1" x14ac:dyDescent="0.25">
      <c r="A5" s="54"/>
      <c r="B5" s="54">
        <v>4</v>
      </c>
      <c r="C5" s="54" t="s">
        <v>54</v>
      </c>
      <c r="D5" s="53">
        <f>VLOOKUP(TBLROYAMORISINGLE[NAMA BAHAN],[2]!TBLREKAPBAHAN[[NAMA BAHAN]:[MODAL SATUAN]],2,FALSE)</f>
        <v>35000</v>
      </c>
      <c r="E5" s="53">
        <f>VLOOKUP(TBLROYAMORISINGLE[NAMA BAHAN],[2]!TBLREKAPBAHAN[[NAMA BAHAN]:[MODAL SATUAN]],3,FALSE)</f>
        <v>1000</v>
      </c>
      <c r="F5" s="57" t="s">
        <v>36</v>
      </c>
      <c r="G5" s="7">
        <f>VLOOKUP(TBLROYAMORISINGLE[NAMA BAHAN],[2]!TBLREKAPBAHAN[[NAMA BAHAN]:[MODAL SATUAN]],4,FALSE)</f>
        <v>35</v>
      </c>
      <c r="H5" s="7">
        <f>VLOOKUP(TBLROYAMORISINGLE[NAMA BAHAN],[2]!TBLREKAPBAHAN[[NAMA BAHAN]:[MODAL SATUAN]],4,FALSE)</f>
        <v>35</v>
      </c>
      <c r="I5" s="58">
        <v>7</v>
      </c>
      <c r="J5" s="7">
        <f t="shared" si="0"/>
        <v>245</v>
      </c>
      <c r="K5" s="7">
        <v>7</v>
      </c>
      <c r="L5" s="7">
        <f t="shared" si="1"/>
        <v>245</v>
      </c>
      <c r="M5" s="7">
        <v>7</v>
      </c>
      <c r="N5" s="7">
        <f t="shared" si="2"/>
        <v>245</v>
      </c>
      <c r="P5" s="54"/>
      <c r="Q5" s="54">
        <v>4</v>
      </c>
      <c r="R5" s="54" t="s">
        <v>54</v>
      </c>
      <c r="S5" s="53">
        <f>VLOOKUP(TBLROYAMCOKLATSINGLE[NAMA BAHAN],[2]!TBLREKAPBAHAN[[NAMA BAHAN]:[MODAL SATUAN]],2,FALSE)</f>
        <v>35000</v>
      </c>
      <c r="T5" s="53">
        <f>VLOOKUP(TBLROYAMCOKLATSINGLE[NAMA BAHAN],[2]!TBLREKAPBAHAN[[NAMA BAHAN]:[MODAL SATUAN]],3,FALSE)</f>
        <v>1000</v>
      </c>
      <c r="U5" s="57" t="s">
        <v>36</v>
      </c>
      <c r="V5" s="7">
        <f>VLOOKUP(TBLROYAMCOKLATSINGLE[NAMA BAHAN],[2]!TBLREKAPBAHAN[[NAMA BAHAN]:[MODAL SATUAN]],4,FALSE)</f>
        <v>35</v>
      </c>
      <c r="W5" s="7">
        <f>VLOOKUP(TBLROYAMCOKLATSINGLE[NAMA BAHAN],[2]!TBLREKAPBAHAN[[NAMA BAHAN]:[MODAL SATUAN]],4,FALSE)</f>
        <v>35</v>
      </c>
      <c r="X5" s="58">
        <v>7</v>
      </c>
      <c r="Y5" s="7">
        <f t="shared" si="3"/>
        <v>245</v>
      </c>
    </row>
    <row r="6" spans="1:25" s="56" customFormat="1" ht="15" customHeight="1" x14ac:dyDescent="0.25">
      <c r="A6" s="54"/>
      <c r="B6" s="54">
        <v>5</v>
      </c>
      <c r="C6" s="54" t="s">
        <v>55</v>
      </c>
      <c r="D6" s="53">
        <f>VLOOKUP(TBLROYAMORISINGLE[NAMA BAHAN],[2]!TBLREKAPBAHAN[[NAMA BAHAN]:[MODAL SATUAN]],2,FALSE)</f>
        <v>23000</v>
      </c>
      <c r="E6" s="53">
        <f>VLOOKUP(TBLROYAMORISINGLE[NAMA BAHAN],[2]!TBLREKAPBAHAN[[NAMA BAHAN]:[MODAL SATUAN]],3,FALSE)</f>
        <v>3000</v>
      </c>
      <c r="F6" s="57" t="s">
        <v>36</v>
      </c>
      <c r="G6" s="7">
        <f>VLOOKUP(TBLROYAMORISINGLE[NAMA BAHAN],[2]!TBLREKAPBAHAN[[NAMA BAHAN]:[MODAL SATUAN]],4,FALSE)</f>
        <v>7.666666666666667</v>
      </c>
      <c r="H6" s="7">
        <f>VLOOKUP(TBLROYAMORISINGLE[NAMA BAHAN],[2]!TBLREKAPBAHAN[[NAMA BAHAN]:[MODAL SATUAN]],4,FALSE)</f>
        <v>7.666666666666667</v>
      </c>
      <c r="I6" s="58">
        <v>30</v>
      </c>
      <c r="J6" s="7">
        <f t="shared" si="0"/>
        <v>230</v>
      </c>
      <c r="K6" s="7">
        <v>40</v>
      </c>
      <c r="L6" s="7">
        <f t="shared" si="1"/>
        <v>306.66666666666669</v>
      </c>
      <c r="M6" s="7">
        <v>40</v>
      </c>
      <c r="N6" s="7">
        <f t="shared" si="2"/>
        <v>306.66666666666669</v>
      </c>
      <c r="P6" s="54"/>
      <c r="Q6" s="54">
        <v>5</v>
      </c>
      <c r="R6" s="54" t="s">
        <v>55</v>
      </c>
      <c r="S6" s="53">
        <f>VLOOKUP(TBLROYAMCOKLATSINGLE[NAMA BAHAN],[2]!TBLREKAPBAHAN[[NAMA BAHAN]:[MODAL SATUAN]],2,FALSE)</f>
        <v>23000</v>
      </c>
      <c r="T6" s="53">
        <f>VLOOKUP(TBLROYAMCOKLATSINGLE[NAMA BAHAN],[2]!TBLREKAPBAHAN[[NAMA BAHAN]:[MODAL SATUAN]],3,FALSE)</f>
        <v>3000</v>
      </c>
      <c r="U6" s="57" t="s">
        <v>36</v>
      </c>
      <c r="V6" s="7">
        <f>VLOOKUP(TBLROYAMCOKLATSINGLE[NAMA BAHAN],[2]!TBLREKAPBAHAN[[NAMA BAHAN]:[MODAL SATUAN]],4,FALSE)</f>
        <v>7.666666666666667</v>
      </c>
      <c r="W6" s="7">
        <f>VLOOKUP(TBLROYAMCOKLATSINGLE[NAMA BAHAN],[2]!TBLREKAPBAHAN[[NAMA BAHAN]:[MODAL SATUAN]],4,FALSE)</f>
        <v>7.666666666666667</v>
      </c>
      <c r="X6" s="58">
        <v>30</v>
      </c>
      <c r="Y6" s="7">
        <f t="shared" si="3"/>
        <v>230</v>
      </c>
    </row>
    <row r="7" spans="1:25" s="56" customFormat="1" ht="15" customHeight="1" x14ac:dyDescent="0.25">
      <c r="A7" s="54"/>
      <c r="B7" s="54">
        <v>6</v>
      </c>
      <c r="C7" s="54" t="s">
        <v>56</v>
      </c>
      <c r="D7" s="53">
        <f>VLOOKUP(TBLROYAMORISINGLE[NAMA BAHAN],[2]!TBLREKAPBAHAN[[NAMA BAHAN]:[MODAL SATUAN]],2,FALSE)</f>
        <v>41000</v>
      </c>
      <c r="E7" s="53">
        <f>VLOOKUP(TBLROYAMORISINGLE[NAMA BAHAN],[2]!TBLREKAPBAHAN[[NAMA BAHAN]:[MODAL SATUAN]],3,FALSE)</f>
        <v>50</v>
      </c>
      <c r="F7" s="57" t="s">
        <v>30</v>
      </c>
      <c r="G7" s="7">
        <f>VLOOKUP(TBLROYAMORISINGLE[NAMA BAHAN],[2]!TBLREKAPBAHAN[[NAMA BAHAN]:[MODAL SATUAN]],4,FALSE)</f>
        <v>820</v>
      </c>
      <c r="H7" s="7">
        <f>VLOOKUP(TBLROYAMORISINGLE[NAMA BAHAN],[2]!TBLREKAPBAHAN[[NAMA BAHAN]:[MODAL SATUAN]],4,FALSE)</f>
        <v>820</v>
      </c>
      <c r="I7" s="58">
        <v>0</v>
      </c>
      <c r="J7" s="7">
        <f t="shared" si="0"/>
        <v>0</v>
      </c>
      <c r="K7" s="7">
        <v>0</v>
      </c>
      <c r="L7" s="7">
        <f t="shared" si="1"/>
        <v>0</v>
      </c>
      <c r="M7" s="7">
        <v>1</v>
      </c>
      <c r="N7" s="7">
        <f t="shared" si="2"/>
        <v>820</v>
      </c>
      <c r="P7" s="54"/>
      <c r="Q7" s="54">
        <v>6</v>
      </c>
      <c r="R7" s="54" t="s">
        <v>56</v>
      </c>
      <c r="S7" s="53">
        <f>VLOOKUP(TBLROYAMCOKLATSINGLE[NAMA BAHAN],[2]!TBLREKAPBAHAN[[NAMA BAHAN]:[MODAL SATUAN]],2,FALSE)</f>
        <v>41000</v>
      </c>
      <c r="T7" s="53">
        <f>VLOOKUP(TBLROYAMCOKLATSINGLE[NAMA BAHAN],[2]!TBLREKAPBAHAN[[NAMA BAHAN]:[MODAL SATUAN]],3,FALSE)</f>
        <v>50</v>
      </c>
      <c r="U7" s="57" t="s">
        <v>30</v>
      </c>
      <c r="V7" s="7">
        <f>VLOOKUP(TBLROYAMCOKLATSINGLE[NAMA BAHAN],[2]!TBLREKAPBAHAN[[NAMA BAHAN]:[MODAL SATUAN]],4,FALSE)</f>
        <v>820</v>
      </c>
      <c r="W7" s="7">
        <f>VLOOKUP(TBLROYAMCOKLATSINGLE[NAMA BAHAN],[2]!TBLREKAPBAHAN[[NAMA BAHAN]:[MODAL SATUAN]],4,FALSE)</f>
        <v>820</v>
      </c>
      <c r="X7" s="58">
        <v>0</v>
      </c>
      <c r="Y7" s="7">
        <f t="shared" si="3"/>
        <v>0</v>
      </c>
    </row>
    <row r="8" spans="1:25" s="56" customFormat="1" ht="15" customHeight="1" x14ac:dyDescent="0.25">
      <c r="A8" s="54"/>
      <c r="B8" s="54">
        <v>7</v>
      </c>
      <c r="C8" s="54" t="s">
        <v>34</v>
      </c>
      <c r="D8" s="53">
        <f>VLOOKUP(TBLROYAMORISINGLE[NAMA BAHAN],[2]!TBLREKAPBAHAN[[NAMA BAHAN]:[MODAL SATUAN]],2,FALSE)</f>
        <v>5000</v>
      </c>
      <c r="E8" s="53">
        <f>VLOOKUP(TBLROYAMORISINGLE[NAMA BAHAN],[2]!TBLREKAPBAHAN[[NAMA BAHAN]:[MODAL SATUAN]],3,FALSE)</f>
        <v>100</v>
      </c>
      <c r="F8" s="57" t="s">
        <v>30</v>
      </c>
      <c r="G8" s="7">
        <f>VLOOKUP(TBLROYAMORISINGLE[NAMA BAHAN],[2]!TBLREKAPBAHAN[[NAMA BAHAN]:[MODAL SATUAN]],4,FALSE)</f>
        <v>50</v>
      </c>
      <c r="H8" s="7">
        <f>VLOOKUP(TBLROYAMORISINGLE[NAMA BAHAN],[2]!TBLREKAPBAHAN[[NAMA BAHAN]:[MODAL SATUAN]],4,FALSE)</f>
        <v>50</v>
      </c>
      <c r="I8" s="58">
        <v>1</v>
      </c>
      <c r="J8" s="7">
        <f t="shared" si="0"/>
        <v>50</v>
      </c>
      <c r="K8" s="7">
        <v>1</v>
      </c>
      <c r="L8" s="7">
        <f t="shared" si="1"/>
        <v>50</v>
      </c>
      <c r="M8" s="7">
        <v>0</v>
      </c>
      <c r="N8" s="7">
        <f t="shared" si="2"/>
        <v>0</v>
      </c>
      <c r="P8" s="54"/>
      <c r="Q8" s="54">
        <v>7</v>
      </c>
      <c r="R8" s="54" t="s">
        <v>34</v>
      </c>
      <c r="S8" s="53">
        <f>VLOOKUP(TBLROYAMCOKLATSINGLE[NAMA BAHAN],[2]!TBLREKAPBAHAN[[NAMA BAHAN]:[MODAL SATUAN]],2,FALSE)</f>
        <v>5000</v>
      </c>
      <c r="T8" s="53">
        <f>VLOOKUP(TBLROYAMCOKLATSINGLE[NAMA BAHAN],[2]!TBLREKAPBAHAN[[NAMA BAHAN]:[MODAL SATUAN]],3,FALSE)</f>
        <v>100</v>
      </c>
      <c r="U8" s="57" t="s">
        <v>30</v>
      </c>
      <c r="V8" s="7">
        <f>VLOOKUP(TBLROYAMCOKLATSINGLE[NAMA BAHAN],[2]!TBLREKAPBAHAN[[NAMA BAHAN]:[MODAL SATUAN]],4,FALSE)</f>
        <v>50</v>
      </c>
      <c r="W8" s="7">
        <f>VLOOKUP(TBLROYAMCOKLATSINGLE[NAMA BAHAN],[2]!TBLREKAPBAHAN[[NAMA BAHAN]:[MODAL SATUAN]],4,FALSE)</f>
        <v>50</v>
      </c>
      <c r="X8" s="58">
        <v>1</v>
      </c>
      <c r="Y8" s="7">
        <f t="shared" si="3"/>
        <v>50</v>
      </c>
    </row>
    <row r="9" spans="1:25" s="56" customFormat="1" ht="15" customHeight="1" x14ac:dyDescent="0.25">
      <c r="A9" s="54"/>
      <c r="B9" s="54">
        <v>8</v>
      </c>
      <c r="C9" s="54" t="s">
        <v>33</v>
      </c>
      <c r="D9" s="53">
        <f>VLOOKUP(TBLROYAMORISINGLE[NAMA BAHAN],[2]!TBLREKAPBAHAN[[NAMA BAHAN]:[MODAL SATUAN]],2,FALSE)</f>
        <v>6000</v>
      </c>
      <c r="E9" s="53">
        <f>VLOOKUP(TBLROYAMORISINGLE[NAMA BAHAN],[2]!TBLREKAPBAHAN[[NAMA BAHAN]:[MODAL SATUAN]],3,FALSE)</f>
        <v>100</v>
      </c>
      <c r="F9" s="57" t="s">
        <v>30</v>
      </c>
      <c r="G9" s="7">
        <f>VLOOKUP(TBLROYAMORISINGLE[NAMA BAHAN],[2]!TBLREKAPBAHAN[[NAMA BAHAN]:[MODAL SATUAN]],4,FALSE)</f>
        <v>60</v>
      </c>
      <c r="H9" s="7">
        <f>VLOOKUP(TBLROYAMORISINGLE[NAMA BAHAN],[2]!TBLREKAPBAHAN[[NAMA BAHAN]:[MODAL SATUAN]],4,FALSE)</f>
        <v>60</v>
      </c>
      <c r="I9" s="58">
        <v>0</v>
      </c>
      <c r="J9" s="7">
        <f t="shared" si="0"/>
        <v>0</v>
      </c>
      <c r="K9" s="7"/>
      <c r="L9" s="7"/>
      <c r="M9" s="7"/>
      <c r="N9" s="7"/>
      <c r="P9" s="54"/>
      <c r="Q9" s="54">
        <v>8</v>
      </c>
      <c r="R9" s="54" t="s">
        <v>33</v>
      </c>
      <c r="S9" s="53">
        <f>VLOOKUP(TBLROYAMCOKLATSINGLE[NAMA BAHAN],[2]!TBLREKAPBAHAN[[NAMA BAHAN]:[MODAL SATUAN]],2,FALSE)</f>
        <v>6000</v>
      </c>
      <c r="T9" s="53">
        <f>VLOOKUP(TBLROYAMCOKLATSINGLE[NAMA BAHAN],[2]!TBLREKAPBAHAN[[NAMA BAHAN]:[MODAL SATUAN]],3,FALSE)</f>
        <v>100</v>
      </c>
      <c r="U9" s="57" t="s">
        <v>30</v>
      </c>
      <c r="V9" s="7">
        <f>VLOOKUP(TBLROYAMCOKLATSINGLE[NAMA BAHAN],[2]!TBLREKAPBAHAN[[NAMA BAHAN]:[MODAL SATUAN]],4,FALSE)</f>
        <v>60</v>
      </c>
      <c r="W9" s="7">
        <f>VLOOKUP(TBLROYAMCOKLATSINGLE[NAMA BAHAN],[2]!TBLREKAPBAHAN[[NAMA BAHAN]:[MODAL SATUAN]],4,FALSE)</f>
        <v>60</v>
      </c>
      <c r="X9" s="58">
        <v>0</v>
      </c>
      <c r="Y9" s="7">
        <f t="shared" si="3"/>
        <v>0</v>
      </c>
    </row>
    <row r="10" spans="1:25" s="56" customFormat="1" ht="15" customHeight="1" x14ac:dyDescent="0.25">
      <c r="A10" s="54"/>
      <c r="B10" s="54">
        <v>9</v>
      </c>
      <c r="C10" s="54" t="s">
        <v>32</v>
      </c>
      <c r="D10" s="53">
        <f>VLOOKUP(TBLROYAMORISINGLE[NAMA BAHAN],[2]!TBLREKAPBAHAN[[NAMA BAHAN]:[MODAL SATUAN]],2,FALSE)</f>
        <v>8000</v>
      </c>
      <c r="E10" s="53">
        <f>VLOOKUP(TBLROYAMORISINGLE[NAMA BAHAN],[2]!TBLREKAPBAHAN[[NAMA BAHAN]:[MODAL SATUAN]],3,FALSE)</f>
        <v>100</v>
      </c>
      <c r="F10" s="57" t="s">
        <v>30</v>
      </c>
      <c r="G10" s="7">
        <f>VLOOKUP(TBLROYAMORISINGLE[NAMA BAHAN],[2]!TBLREKAPBAHAN[[NAMA BAHAN]:[MODAL SATUAN]],4,FALSE)</f>
        <v>80</v>
      </c>
      <c r="H10" s="7">
        <f>VLOOKUP(TBLROYAMORISINGLE[NAMA BAHAN],[2]!TBLREKAPBAHAN[[NAMA BAHAN]:[MODAL SATUAN]],4,FALSE)</f>
        <v>80</v>
      </c>
      <c r="I10" s="58">
        <v>0</v>
      </c>
      <c r="J10" s="7">
        <f t="shared" si="0"/>
        <v>0</v>
      </c>
      <c r="K10" s="7">
        <v>1</v>
      </c>
      <c r="L10" s="7">
        <f>H10*K10</f>
        <v>80</v>
      </c>
      <c r="M10" s="7">
        <v>1</v>
      </c>
      <c r="N10" s="7">
        <f>H10*M10</f>
        <v>80</v>
      </c>
      <c r="P10" s="54"/>
      <c r="Q10" s="54">
        <v>9</v>
      </c>
      <c r="R10" s="54" t="s">
        <v>32</v>
      </c>
      <c r="S10" s="53">
        <f>VLOOKUP(TBLROYAMCOKLATSINGLE[NAMA BAHAN],[2]!TBLREKAPBAHAN[[NAMA BAHAN]:[MODAL SATUAN]],2,FALSE)</f>
        <v>8000</v>
      </c>
      <c r="T10" s="53">
        <f>VLOOKUP(TBLROYAMCOKLATSINGLE[NAMA BAHAN],[2]!TBLREKAPBAHAN[[NAMA BAHAN]:[MODAL SATUAN]],3,FALSE)</f>
        <v>100</v>
      </c>
      <c r="U10" s="57" t="s">
        <v>30</v>
      </c>
      <c r="V10" s="7">
        <f>VLOOKUP(TBLROYAMCOKLATSINGLE[NAMA BAHAN],[2]!TBLREKAPBAHAN[[NAMA BAHAN]:[MODAL SATUAN]],4,FALSE)</f>
        <v>80</v>
      </c>
      <c r="W10" s="7">
        <f>VLOOKUP(TBLROYAMCOKLATSINGLE[NAMA BAHAN],[2]!TBLREKAPBAHAN[[NAMA BAHAN]:[MODAL SATUAN]],4,FALSE)</f>
        <v>80</v>
      </c>
      <c r="X10" s="58">
        <v>0</v>
      </c>
      <c r="Y10" s="7">
        <f t="shared" si="3"/>
        <v>0</v>
      </c>
    </row>
    <row r="11" spans="1:25" s="56" customFormat="1" ht="15" customHeight="1" x14ac:dyDescent="0.25">
      <c r="A11" s="54"/>
      <c r="B11" s="54">
        <v>10</v>
      </c>
      <c r="C11" s="54" t="s">
        <v>31</v>
      </c>
      <c r="D11" s="53">
        <f>VLOOKUP(TBLROYAMORISINGLE[NAMA BAHAN],[2]!TBLREKAPBAHAN[[NAMA BAHAN]:[MODAL SATUAN]],2,FALSE)</f>
        <v>12000</v>
      </c>
      <c r="E11" s="53">
        <f>VLOOKUP(TBLROYAMORISINGLE[NAMA BAHAN],[2]!TBLREKAPBAHAN[[NAMA BAHAN]:[MODAL SATUAN]],3,FALSE)</f>
        <v>100</v>
      </c>
      <c r="F11" s="57" t="s">
        <v>30</v>
      </c>
      <c r="G11" s="7">
        <f>VLOOKUP(TBLROYAMORISINGLE[NAMA BAHAN],[2]!TBLREKAPBAHAN[[NAMA BAHAN]:[MODAL SATUAN]],4,FALSE)</f>
        <v>120</v>
      </c>
      <c r="H11" s="7">
        <f>VLOOKUP(TBLROYAMORISINGLE[NAMA BAHAN],[2]!TBLREKAPBAHAN[[NAMA BAHAN]:[MODAL SATUAN]],4,FALSE)</f>
        <v>120</v>
      </c>
      <c r="I11" s="58">
        <v>0</v>
      </c>
      <c r="J11" s="7">
        <f t="shared" si="0"/>
        <v>0</v>
      </c>
      <c r="K11" s="7"/>
      <c r="L11" s="7"/>
      <c r="M11" s="7"/>
      <c r="N11" s="7"/>
      <c r="P11" s="54"/>
      <c r="Q11" s="54">
        <v>10</v>
      </c>
      <c r="R11" s="54" t="s">
        <v>31</v>
      </c>
      <c r="S11" s="53">
        <f>VLOOKUP(TBLROYAMCOKLATSINGLE[NAMA BAHAN],[2]!TBLREKAPBAHAN[[NAMA BAHAN]:[MODAL SATUAN]],2,FALSE)</f>
        <v>12000</v>
      </c>
      <c r="T11" s="53">
        <f>VLOOKUP(TBLROYAMCOKLATSINGLE[NAMA BAHAN],[2]!TBLREKAPBAHAN[[NAMA BAHAN]:[MODAL SATUAN]],3,FALSE)</f>
        <v>100</v>
      </c>
      <c r="U11" s="57" t="s">
        <v>30</v>
      </c>
      <c r="V11" s="7">
        <f>VLOOKUP(TBLROYAMCOKLATSINGLE[NAMA BAHAN],[2]!TBLREKAPBAHAN[[NAMA BAHAN]:[MODAL SATUAN]],4,FALSE)</f>
        <v>120</v>
      </c>
      <c r="W11" s="7">
        <f>VLOOKUP(TBLROYAMCOKLATSINGLE[NAMA BAHAN],[2]!TBLREKAPBAHAN[[NAMA BAHAN]:[MODAL SATUAN]],4,FALSE)</f>
        <v>120</v>
      </c>
      <c r="X11" s="58">
        <v>0</v>
      </c>
      <c r="Y11" s="7">
        <f t="shared" si="3"/>
        <v>0</v>
      </c>
    </row>
    <row r="12" spans="1:25" s="56" customFormat="1" ht="15" customHeight="1" x14ac:dyDescent="0.25">
      <c r="A12" s="54"/>
      <c r="B12" s="54">
        <v>11</v>
      </c>
      <c r="C12" s="54" t="s">
        <v>52</v>
      </c>
      <c r="D12" s="53">
        <f>VLOOKUP(TBLROYAMORISINGLE[NAMA BAHAN],[2]!TBLREKAPBAHAN[[NAMA BAHAN]:[MODAL SATUAN]],2,FALSE)</f>
        <v>5500</v>
      </c>
      <c r="E12" s="53">
        <f>VLOOKUP(TBLROYAMORISINGLE[NAMA BAHAN],[2]!TBLREKAPBAHAN[[NAMA BAHAN]:[MODAL SATUAN]],3,FALSE)</f>
        <v>100</v>
      </c>
      <c r="F12" s="57" t="s">
        <v>30</v>
      </c>
      <c r="G12" s="7">
        <f>VLOOKUP(TBLROYAMORISINGLE[NAMA BAHAN],[2]!TBLREKAPBAHAN[[NAMA BAHAN]:[MODAL SATUAN]],4,FALSE)</f>
        <v>55</v>
      </c>
      <c r="H12" s="7">
        <f>VLOOKUP(TBLROYAMORISINGLE[NAMA BAHAN],[2]!TBLREKAPBAHAN[[NAMA BAHAN]:[MODAL SATUAN]],4,FALSE)</f>
        <v>55</v>
      </c>
      <c r="I12" s="58">
        <v>1</v>
      </c>
      <c r="J12" s="7">
        <f t="shared" si="0"/>
        <v>55</v>
      </c>
      <c r="K12" s="7"/>
      <c r="L12" s="7"/>
      <c r="M12" s="7"/>
      <c r="N12" s="7"/>
      <c r="P12" s="54"/>
      <c r="Q12" s="54">
        <v>11</v>
      </c>
      <c r="R12" s="54" t="s">
        <v>52</v>
      </c>
      <c r="S12" s="53">
        <f>VLOOKUP(TBLROYAMCOKLATSINGLE[NAMA BAHAN],[2]!TBLREKAPBAHAN[[NAMA BAHAN]:[MODAL SATUAN]],2,FALSE)</f>
        <v>5500</v>
      </c>
      <c r="T12" s="53">
        <f>VLOOKUP(TBLROYAMCOKLATSINGLE[NAMA BAHAN],[2]!TBLREKAPBAHAN[[NAMA BAHAN]:[MODAL SATUAN]],3,FALSE)</f>
        <v>100</v>
      </c>
      <c r="U12" s="57" t="s">
        <v>30</v>
      </c>
      <c r="V12" s="7">
        <f>VLOOKUP(TBLROYAMCOKLATSINGLE[NAMA BAHAN],[2]!TBLREKAPBAHAN[[NAMA BAHAN]:[MODAL SATUAN]],4,FALSE)</f>
        <v>55</v>
      </c>
      <c r="W12" s="7">
        <f>VLOOKUP(TBLROYAMCOKLATSINGLE[NAMA BAHAN],[2]!TBLREKAPBAHAN[[NAMA BAHAN]:[MODAL SATUAN]],4,FALSE)</f>
        <v>55</v>
      </c>
      <c r="X12" s="58">
        <v>1</v>
      </c>
      <c r="Y12" s="7">
        <f t="shared" si="3"/>
        <v>55</v>
      </c>
    </row>
    <row r="13" spans="1:25" s="56" customFormat="1" ht="15" customHeight="1" x14ac:dyDescent="0.25">
      <c r="A13" s="54"/>
      <c r="B13" s="54">
        <v>12</v>
      </c>
      <c r="C13" s="54" t="s">
        <v>60</v>
      </c>
      <c r="D13" s="53">
        <f>VLOOKUP(TBLROYAMORISINGLE[NAMA BAHAN],[2]!TBLREKAPBAHAN[[NAMA BAHAN]:[MODAL SATUAN]],2,FALSE)</f>
        <v>7000</v>
      </c>
      <c r="E13" s="53">
        <f>VLOOKUP(TBLROYAMORISINGLE[NAMA BAHAN],[2]!TBLREKAPBAHAN[[NAMA BAHAN]:[MODAL SATUAN]],3,FALSE)</f>
        <v>50</v>
      </c>
      <c r="F13" s="57" t="s">
        <v>30</v>
      </c>
      <c r="G13" s="7">
        <f>VLOOKUP(TBLROYAMORISINGLE[NAMA BAHAN],[2]!TBLREKAPBAHAN[[NAMA BAHAN]:[MODAL SATUAN]],4,FALSE)</f>
        <v>140</v>
      </c>
      <c r="H13" s="7">
        <f>VLOOKUP(TBLROYAMORISINGLE[NAMA BAHAN],[2]!TBLREKAPBAHAN[[NAMA BAHAN]:[MODAL SATUAN]],4,FALSE)</f>
        <v>140</v>
      </c>
      <c r="I13" s="58">
        <v>0</v>
      </c>
      <c r="J13" s="7">
        <f t="shared" si="0"/>
        <v>0</v>
      </c>
      <c r="K13" s="7"/>
      <c r="L13" s="7"/>
      <c r="M13" s="7"/>
      <c r="N13" s="7"/>
      <c r="P13" s="54"/>
      <c r="Q13" s="54">
        <v>12</v>
      </c>
      <c r="R13" s="54" t="s">
        <v>60</v>
      </c>
      <c r="S13" s="53">
        <f>VLOOKUP(TBLROYAMCOKLATSINGLE[NAMA BAHAN],[2]!TBLREKAPBAHAN[[NAMA BAHAN]:[MODAL SATUAN]],2,FALSE)</f>
        <v>7000</v>
      </c>
      <c r="T13" s="53">
        <f>VLOOKUP(TBLROYAMCOKLATSINGLE[NAMA BAHAN],[2]!TBLREKAPBAHAN[[NAMA BAHAN]:[MODAL SATUAN]],3,FALSE)</f>
        <v>50</v>
      </c>
      <c r="U13" s="57" t="s">
        <v>30</v>
      </c>
      <c r="V13" s="7">
        <f>VLOOKUP(TBLROYAMCOKLATSINGLE[NAMA BAHAN],[2]!TBLREKAPBAHAN[[NAMA BAHAN]:[MODAL SATUAN]],4,FALSE)</f>
        <v>140</v>
      </c>
      <c r="W13" s="7">
        <f>VLOOKUP(TBLROYAMCOKLATSINGLE[NAMA BAHAN],[2]!TBLREKAPBAHAN[[NAMA BAHAN]:[MODAL SATUAN]],4,FALSE)</f>
        <v>140</v>
      </c>
      <c r="X13" s="58">
        <v>0</v>
      </c>
      <c r="Y13" s="7">
        <f t="shared" si="3"/>
        <v>0</v>
      </c>
    </row>
    <row r="14" spans="1:25" s="61" customFormat="1" ht="15.75" customHeight="1" x14ac:dyDescent="0.25">
      <c r="A14" s="149" t="s">
        <v>20</v>
      </c>
      <c r="B14" s="149"/>
      <c r="C14" s="149"/>
      <c r="D14" s="149"/>
      <c r="E14" s="149"/>
      <c r="F14" s="149"/>
      <c r="G14" s="149"/>
      <c r="H14" s="149"/>
      <c r="I14" s="60"/>
      <c r="J14" s="61">
        <f>SUM(J2:J13)</f>
        <v>2680</v>
      </c>
      <c r="L14" s="61">
        <f>SUM(L2:L13)</f>
        <v>3981.6666666666665</v>
      </c>
      <c r="N14" s="61">
        <f>SUM(N2:N13)</f>
        <v>8851.6666666666679</v>
      </c>
      <c r="P14" s="149" t="s">
        <v>20</v>
      </c>
      <c r="Q14" s="149"/>
      <c r="R14" s="149"/>
      <c r="S14" s="149"/>
      <c r="T14" s="149"/>
      <c r="U14" s="149"/>
      <c r="V14" s="149"/>
      <c r="W14" s="149"/>
      <c r="X14" s="60"/>
      <c r="Y14" s="61">
        <f>SUM(Y2:Y13)</f>
        <v>2880</v>
      </c>
    </row>
    <row r="18" spans="1:25" ht="45" x14ac:dyDescent="0.25">
      <c r="A18" s="53" t="s">
        <v>144</v>
      </c>
      <c r="B18" s="54" t="s">
        <v>90</v>
      </c>
      <c r="C18" s="54" t="s">
        <v>0</v>
      </c>
      <c r="D18" s="53" t="s">
        <v>4</v>
      </c>
      <c r="E18" s="53" t="s">
        <v>3</v>
      </c>
      <c r="F18" s="53" t="s">
        <v>19</v>
      </c>
      <c r="G18" s="53" t="s">
        <v>1</v>
      </c>
      <c r="H18" s="53" t="s">
        <v>2</v>
      </c>
      <c r="I18" s="55" t="s">
        <v>146</v>
      </c>
      <c r="J18" s="53" t="s">
        <v>145</v>
      </c>
      <c r="P18" s="53" t="s">
        <v>144</v>
      </c>
      <c r="Q18" s="54" t="s">
        <v>90</v>
      </c>
      <c r="R18" s="54" t="s">
        <v>0</v>
      </c>
      <c r="S18" s="53" t="s">
        <v>4</v>
      </c>
      <c r="T18" s="53" t="s">
        <v>3</v>
      </c>
      <c r="U18" s="53" t="s">
        <v>19</v>
      </c>
      <c r="V18" s="53" t="s">
        <v>1</v>
      </c>
      <c r="W18" s="53" t="s">
        <v>2</v>
      </c>
      <c r="X18" s="55" t="s">
        <v>151</v>
      </c>
      <c r="Y18" s="53" t="s">
        <v>145</v>
      </c>
    </row>
    <row r="19" spans="1:25" ht="15.75" x14ac:dyDescent="0.25">
      <c r="A19" s="5" t="s">
        <v>130</v>
      </c>
      <c r="B19" s="54">
        <v>1</v>
      </c>
      <c r="C19" s="54" t="s">
        <v>24</v>
      </c>
      <c r="D19" s="53">
        <f>VLOOKUP(TBLROYAMORIKENYANG[NAMA BAHAN],[2]!TBLREKAPBAHAN[[NAMA BAHAN]:[MODAL SATUAN]],2,FALSE)</f>
        <v>20000</v>
      </c>
      <c r="E19" s="53">
        <f>VLOOKUP(TBLROYAMORIKENYANG[NAMA BAHAN],[2]!TBLREKAPBAHAN[[NAMA BAHAN]:[MODAL SATUAN]],3,FALSE)</f>
        <v>10</v>
      </c>
      <c r="F19" s="57" t="s">
        <v>26</v>
      </c>
      <c r="G19" s="7">
        <f>VLOOKUP(TBLROYAMORIKENYANG[NAMA BAHAN],[2]!TBLREKAPBAHAN[[NAMA BAHAN]:[MODAL SATUAN]],4,FALSE)</f>
        <v>2000</v>
      </c>
      <c r="H19" s="7">
        <f>VLOOKUP(TBLROYAMORIKENYANG[NAMA BAHAN],[2]!TBLREKAPBAHAN[[NAMA BAHAN]:[MODAL SATUAN]],4,FALSE)</f>
        <v>2000</v>
      </c>
      <c r="I19" s="58">
        <v>3</v>
      </c>
      <c r="J19" s="7">
        <f t="shared" ref="J19:J30" si="4">H19*I19</f>
        <v>6000</v>
      </c>
      <c r="P19" s="59" t="s">
        <v>132</v>
      </c>
      <c r="Q19" s="54">
        <v>1</v>
      </c>
      <c r="R19" s="54" t="s">
        <v>24</v>
      </c>
      <c r="S19" s="53">
        <f>VLOOKUP(TBLROYAMCOKLATKENYANG[NAMA BAHAN],[2]!TBLREKAPBAHAN[[NAMA BAHAN]:[MODAL SATUAN]],2,FALSE)</f>
        <v>20000</v>
      </c>
      <c r="T19" s="53">
        <f>VLOOKUP(TBLROYAMCOKLATKENYANG[NAMA BAHAN],[2]!TBLREKAPBAHAN[[NAMA BAHAN]:[MODAL SATUAN]],3,FALSE)</f>
        <v>10</v>
      </c>
      <c r="U19" s="57" t="s">
        <v>26</v>
      </c>
      <c r="V19" s="7">
        <f>VLOOKUP(TBLROYAMCOKLATKENYANG[NAMA BAHAN],[2]!TBLREKAPBAHAN[[NAMA BAHAN]:[MODAL SATUAN]],4,FALSE)</f>
        <v>2000</v>
      </c>
      <c r="W19" s="7">
        <f>VLOOKUP(TBLROYAMCOKLATKENYANG[NAMA BAHAN],[2]!TBLREKAPBAHAN[[NAMA BAHAN]:[MODAL SATUAN]],4,FALSE)</f>
        <v>2000</v>
      </c>
      <c r="X19" s="58">
        <v>3</v>
      </c>
      <c r="Y19" s="7">
        <f t="shared" ref="Y19:Y30" si="5">W19*X19</f>
        <v>6000</v>
      </c>
    </row>
    <row r="20" spans="1:25" x14ac:dyDescent="0.25">
      <c r="A20" s="54"/>
      <c r="B20" s="54">
        <v>2</v>
      </c>
      <c r="C20" s="54" t="s">
        <v>25</v>
      </c>
      <c r="D20" s="53">
        <f>VLOOKUP(TBLROYAMORIKENYANG[NAMA BAHAN],[2]!TBLREKAPBAHAN[[NAMA BAHAN]:[MODAL SATUAN]],2,FALSE)</f>
        <v>5000</v>
      </c>
      <c r="E20" s="53">
        <f>VLOOKUP(TBLROYAMORIKENYANG[NAMA BAHAN],[2]!TBLREKAPBAHAN[[NAMA BAHAN]:[MODAL SATUAN]],3,FALSE)</f>
        <v>250</v>
      </c>
      <c r="F20" s="57" t="s">
        <v>36</v>
      </c>
      <c r="G20" s="7">
        <f>VLOOKUP(TBLROYAMORIKENYANG[NAMA BAHAN],[2]!TBLREKAPBAHAN[[NAMA BAHAN]:[MODAL SATUAN]],4,FALSE)</f>
        <v>20</v>
      </c>
      <c r="H20" s="7">
        <f>VLOOKUP(TBLROYAMORIKENYANG[NAMA BAHAN],[2]!TBLREKAPBAHAN[[NAMA BAHAN]:[MODAL SATUAN]],4,FALSE)</f>
        <v>20</v>
      </c>
      <c r="I20" s="58">
        <v>15</v>
      </c>
      <c r="J20" s="7">
        <f t="shared" si="4"/>
        <v>300</v>
      </c>
      <c r="P20" s="54"/>
      <c r="Q20" s="54">
        <v>2</v>
      </c>
      <c r="R20" s="54" t="s">
        <v>25</v>
      </c>
      <c r="S20" s="53">
        <f>VLOOKUP(TBLROYAMCOKLATKENYANG[NAMA BAHAN],[2]!TBLREKAPBAHAN[[NAMA BAHAN]:[MODAL SATUAN]],2,FALSE)</f>
        <v>5000</v>
      </c>
      <c r="T20" s="53">
        <f>VLOOKUP(TBLROYAMCOKLATKENYANG[NAMA BAHAN],[2]!TBLREKAPBAHAN[[NAMA BAHAN]:[MODAL SATUAN]],3,FALSE)</f>
        <v>250</v>
      </c>
      <c r="U20" s="57" t="s">
        <v>36</v>
      </c>
      <c r="V20" s="7">
        <f>VLOOKUP(TBLROYAMCOKLATKENYANG[NAMA BAHAN],[2]!TBLREKAPBAHAN[[NAMA BAHAN]:[MODAL SATUAN]],4,FALSE)</f>
        <v>20</v>
      </c>
      <c r="W20" s="7">
        <f>VLOOKUP(TBLROYAMCOKLATKENYANG[NAMA BAHAN],[2]!TBLREKAPBAHAN[[NAMA BAHAN]:[MODAL SATUAN]],4,FALSE)</f>
        <v>20</v>
      </c>
      <c r="X20" s="58">
        <v>0</v>
      </c>
      <c r="Y20" s="7">
        <f t="shared" si="5"/>
        <v>0</v>
      </c>
    </row>
    <row r="21" spans="1:25" x14ac:dyDescent="0.25">
      <c r="A21" s="54"/>
      <c r="B21" s="54">
        <v>3</v>
      </c>
      <c r="C21" s="54" t="s">
        <v>53</v>
      </c>
      <c r="D21" s="53">
        <f>VLOOKUP(TBLROYAMORIKENYANG[NAMA BAHAN],[2]!TBLREKAPBAHAN[[NAMA BAHAN]:[MODAL SATUAN]],2,FALSE)</f>
        <v>15000</v>
      </c>
      <c r="E21" s="53">
        <f>VLOOKUP(TBLROYAMORIKENYANG[NAMA BAHAN],[2]!TBLREKAPBAHAN[[NAMA BAHAN]:[MODAL SATUAN]],3,FALSE)</f>
        <v>250</v>
      </c>
      <c r="F21" s="57" t="s">
        <v>36</v>
      </c>
      <c r="G21" s="7">
        <f>VLOOKUP(TBLROYAMORIKENYANG[NAMA BAHAN],[2]!TBLREKAPBAHAN[[NAMA BAHAN]:[MODAL SATUAN]],4,FALSE)</f>
        <v>60</v>
      </c>
      <c r="H21" s="7">
        <f>VLOOKUP(TBLROYAMORIKENYANG[NAMA BAHAN],[2]!TBLREKAPBAHAN[[NAMA BAHAN]:[MODAL SATUAN]],4,FALSE)</f>
        <v>60</v>
      </c>
      <c r="I21" s="58">
        <v>0</v>
      </c>
      <c r="J21" s="7">
        <f t="shared" si="4"/>
        <v>0</v>
      </c>
      <c r="P21" s="54"/>
      <c r="Q21" s="54">
        <v>3</v>
      </c>
      <c r="R21" s="54" t="s">
        <v>53</v>
      </c>
      <c r="S21" s="53">
        <f>VLOOKUP(TBLROYAMCOKLATKENYANG[NAMA BAHAN],[2]!TBLREKAPBAHAN[[NAMA BAHAN]:[MODAL SATUAN]],2,FALSE)</f>
        <v>15000</v>
      </c>
      <c r="T21" s="53">
        <f>VLOOKUP(TBLROYAMCOKLATKENYANG[NAMA BAHAN],[2]!TBLREKAPBAHAN[[NAMA BAHAN]:[MODAL SATUAN]],3,FALSE)</f>
        <v>250</v>
      </c>
      <c r="U21" s="57" t="s">
        <v>36</v>
      </c>
      <c r="V21" s="7">
        <f>VLOOKUP(TBLROYAMCOKLATKENYANG[NAMA BAHAN],[2]!TBLREKAPBAHAN[[NAMA BAHAN]:[MODAL SATUAN]],4,FALSE)</f>
        <v>60</v>
      </c>
      <c r="W21" s="7">
        <f>VLOOKUP(TBLROYAMCOKLATKENYANG[NAMA BAHAN],[2]!TBLREKAPBAHAN[[NAMA BAHAN]:[MODAL SATUAN]],4,FALSE)</f>
        <v>60</v>
      </c>
      <c r="X21" s="58">
        <v>15</v>
      </c>
      <c r="Y21" s="7">
        <f t="shared" si="5"/>
        <v>900</v>
      </c>
    </row>
    <row r="22" spans="1:25" x14ac:dyDescent="0.25">
      <c r="A22" s="54"/>
      <c r="B22" s="54">
        <v>4</v>
      </c>
      <c r="C22" s="54" t="s">
        <v>54</v>
      </c>
      <c r="D22" s="53">
        <f>VLOOKUP(TBLROYAMORIKENYANG[NAMA BAHAN],[2]!TBLREKAPBAHAN[[NAMA BAHAN]:[MODAL SATUAN]],2,FALSE)</f>
        <v>35000</v>
      </c>
      <c r="E22" s="53">
        <f>VLOOKUP(TBLROYAMORIKENYANG[NAMA BAHAN],[2]!TBLREKAPBAHAN[[NAMA BAHAN]:[MODAL SATUAN]],3,FALSE)</f>
        <v>1000</v>
      </c>
      <c r="F22" s="57" t="s">
        <v>36</v>
      </c>
      <c r="G22" s="7">
        <f>VLOOKUP(TBLROYAMORIKENYANG[NAMA BAHAN],[2]!TBLREKAPBAHAN[[NAMA BAHAN]:[MODAL SATUAN]],4,FALSE)</f>
        <v>35</v>
      </c>
      <c r="H22" s="7">
        <f>VLOOKUP(TBLROYAMORIKENYANG[NAMA BAHAN],[2]!TBLREKAPBAHAN[[NAMA BAHAN]:[MODAL SATUAN]],4,FALSE)</f>
        <v>35</v>
      </c>
      <c r="I22" s="58">
        <v>7</v>
      </c>
      <c r="J22" s="7">
        <f t="shared" si="4"/>
        <v>245</v>
      </c>
      <c r="P22" s="54"/>
      <c r="Q22" s="54">
        <v>4</v>
      </c>
      <c r="R22" s="54" t="s">
        <v>54</v>
      </c>
      <c r="S22" s="53">
        <f>VLOOKUP(TBLROYAMCOKLATKENYANG[NAMA BAHAN],[2]!TBLREKAPBAHAN[[NAMA BAHAN]:[MODAL SATUAN]],2,FALSE)</f>
        <v>35000</v>
      </c>
      <c r="T22" s="53">
        <f>VLOOKUP(TBLROYAMCOKLATKENYANG[NAMA BAHAN],[2]!TBLREKAPBAHAN[[NAMA BAHAN]:[MODAL SATUAN]],3,FALSE)</f>
        <v>1000</v>
      </c>
      <c r="U22" s="57" t="s">
        <v>36</v>
      </c>
      <c r="V22" s="7">
        <f>VLOOKUP(TBLROYAMCOKLATKENYANG[NAMA BAHAN],[2]!TBLREKAPBAHAN[[NAMA BAHAN]:[MODAL SATUAN]],4,FALSE)</f>
        <v>35</v>
      </c>
      <c r="W22" s="7">
        <f>VLOOKUP(TBLROYAMCOKLATKENYANG[NAMA BAHAN],[2]!TBLREKAPBAHAN[[NAMA BAHAN]:[MODAL SATUAN]],4,FALSE)</f>
        <v>35</v>
      </c>
      <c r="X22" s="58">
        <v>7</v>
      </c>
      <c r="Y22" s="7">
        <f t="shared" si="5"/>
        <v>245</v>
      </c>
    </row>
    <row r="23" spans="1:25" x14ac:dyDescent="0.25">
      <c r="A23" s="54"/>
      <c r="B23" s="54">
        <v>5</v>
      </c>
      <c r="C23" s="54" t="s">
        <v>55</v>
      </c>
      <c r="D23" s="53">
        <f>VLOOKUP(TBLROYAMORIKENYANG[NAMA BAHAN],[2]!TBLREKAPBAHAN[[NAMA BAHAN]:[MODAL SATUAN]],2,FALSE)</f>
        <v>23000</v>
      </c>
      <c r="E23" s="53">
        <f>VLOOKUP(TBLROYAMORIKENYANG[NAMA BAHAN],[2]!TBLREKAPBAHAN[[NAMA BAHAN]:[MODAL SATUAN]],3,FALSE)</f>
        <v>3000</v>
      </c>
      <c r="F23" s="57" t="s">
        <v>36</v>
      </c>
      <c r="G23" s="7">
        <f>VLOOKUP(TBLROYAMORIKENYANG[NAMA BAHAN],[2]!TBLREKAPBAHAN[[NAMA BAHAN]:[MODAL SATUAN]],4,FALSE)</f>
        <v>7.666666666666667</v>
      </c>
      <c r="H23" s="7">
        <f>VLOOKUP(TBLROYAMORIKENYANG[NAMA BAHAN],[2]!TBLREKAPBAHAN[[NAMA BAHAN]:[MODAL SATUAN]],4,FALSE)</f>
        <v>7.666666666666667</v>
      </c>
      <c r="I23" s="58">
        <v>30</v>
      </c>
      <c r="J23" s="7">
        <f t="shared" si="4"/>
        <v>230</v>
      </c>
      <c r="P23" s="54"/>
      <c r="Q23" s="54">
        <v>5</v>
      </c>
      <c r="R23" s="54" t="s">
        <v>55</v>
      </c>
      <c r="S23" s="53">
        <f>VLOOKUP(TBLROYAMCOKLATKENYANG[NAMA BAHAN],[2]!TBLREKAPBAHAN[[NAMA BAHAN]:[MODAL SATUAN]],2,FALSE)</f>
        <v>23000</v>
      </c>
      <c r="T23" s="53">
        <f>VLOOKUP(TBLROYAMCOKLATKENYANG[NAMA BAHAN],[2]!TBLREKAPBAHAN[[NAMA BAHAN]:[MODAL SATUAN]],3,FALSE)</f>
        <v>3000</v>
      </c>
      <c r="U23" s="57" t="s">
        <v>36</v>
      </c>
      <c r="V23" s="7">
        <f>VLOOKUP(TBLROYAMCOKLATKENYANG[NAMA BAHAN],[2]!TBLREKAPBAHAN[[NAMA BAHAN]:[MODAL SATUAN]],4,FALSE)</f>
        <v>7.666666666666667</v>
      </c>
      <c r="W23" s="7">
        <f>VLOOKUP(TBLROYAMCOKLATKENYANG[NAMA BAHAN],[2]!TBLREKAPBAHAN[[NAMA BAHAN]:[MODAL SATUAN]],4,FALSE)</f>
        <v>7.666666666666667</v>
      </c>
      <c r="X23" s="58">
        <v>30</v>
      </c>
      <c r="Y23" s="7">
        <f t="shared" si="5"/>
        <v>230</v>
      </c>
    </row>
    <row r="24" spans="1:25" x14ac:dyDescent="0.25">
      <c r="A24" s="54"/>
      <c r="B24" s="54">
        <v>6</v>
      </c>
      <c r="C24" s="54" t="s">
        <v>56</v>
      </c>
      <c r="D24" s="53">
        <f>VLOOKUP(TBLROYAMORIKENYANG[NAMA BAHAN],[2]!TBLREKAPBAHAN[[NAMA BAHAN]:[MODAL SATUAN]],2,FALSE)</f>
        <v>41000</v>
      </c>
      <c r="E24" s="53">
        <f>VLOOKUP(TBLROYAMORIKENYANG[NAMA BAHAN],[2]!TBLREKAPBAHAN[[NAMA BAHAN]:[MODAL SATUAN]],3,FALSE)</f>
        <v>50</v>
      </c>
      <c r="F24" s="57" t="s">
        <v>30</v>
      </c>
      <c r="G24" s="7">
        <f>VLOOKUP(TBLROYAMORIKENYANG[NAMA BAHAN],[2]!TBLREKAPBAHAN[[NAMA BAHAN]:[MODAL SATUAN]],4,FALSE)</f>
        <v>820</v>
      </c>
      <c r="H24" s="7">
        <f>VLOOKUP(TBLROYAMORIKENYANG[NAMA BAHAN],[2]!TBLREKAPBAHAN[[NAMA BAHAN]:[MODAL SATUAN]],4,FALSE)</f>
        <v>820</v>
      </c>
      <c r="I24" s="58">
        <v>0</v>
      </c>
      <c r="J24" s="7">
        <f t="shared" si="4"/>
        <v>0</v>
      </c>
      <c r="P24" s="54"/>
      <c r="Q24" s="54">
        <v>6</v>
      </c>
      <c r="R24" s="54" t="s">
        <v>56</v>
      </c>
      <c r="S24" s="53">
        <f>VLOOKUP(TBLROYAMCOKLATKENYANG[NAMA BAHAN],[2]!TBLREKAPBAHAN[[NAMA BAHAN]:[MODAL SATUAN]],2,FALSE)</f>
        <v>41000</v>
      </c>
      <c r="T24" s="53">
        <f>VLOOKUP(TBLROYAMCOKLATKENYANG[NAMA BAHAN],[2]!TBLREKAPBAHAN[[NAMA BAHAN]:[MODAL SATUAN]],3,FALSE)</f>
        <v>50</v>
      </c>
      <c r="U24" s="57" t="s">
        <v>30</v>
      </c>
      <c r="V24" s="7">
        <f>VLOOKUP(TBLROYAMCOKLATKENYANG[NAMA BAHAN],[2]!TBLREKAPBAHAN[[NAMA BAHAN]:[MODAL SATUAN]],4,FALSE)</f>
        <v>820</v>
      </c>
      <c r="W24" s="7">
        <f>VLOOKUP(TBLROYAMCOKLATKENYANG[NAMA BAHAN],[2]!TBLREKAPBAHAN[[NAMA BAHAN]:[MODAL SATUAN]],4,FALSE)</f>
        <v>820</v>
      </c>
      <c r="X24" s="58">
        <v>0</v>
      </c>
      <c r="Y24" s="7">
        <f t="shared" si="5"/>
        <v>0</v>
      </c>
    </row>
    <row r="25" spans="1:25" x14ac:dyDescent="0.25">
      <c r="A25" s="54"/>
      <c r="B25" s="54">
        <v>7</v>
      </c>
      <c r="C25" s="54" t="s">
        <v>34</v>
      </c>
      <c r="D25" s="53">
        <f>VLOOKUP(TBLROYAMORIKENYANG[NAMA BAHAN],[2]!TBLREKAPBAHAN[[NAMA BAHAN]:[MODAL SATUAN]],2,FALSE)</f>
        <v>5000</v>
      </c>
      <c r="E25" s="53">
        <f>VLOOKUP(TBLROYAMORIKENYANG[NAMA BAHAN],[2]!TBLREKAPBAHAN[[NAMA BAHAN]:[MODAL SATUAN]],3,FALSE)</f>
        <v>100</v>
      </c>
      <c r="F25" s="57" t="s">
        <v>30</v>
      </c>
      <c r="G25" s="7">
        <f>VLOOKUP(TBLROYAMORIKENYANG[NAMA BAHAN],[2]!TBLREKAPBAHAN[[NAMA BAHAN]:[MODAL SATUAN]],4,FALSE)</f>
        <v>50</v>
      </c>
      <c r="H25" s="7">
        <f>VLOOKUP(TBLROYAMORIKENYANG[NAMA BAHAN],[2]!TBLREKAPBAHAN[[NAMA BAHAN]:[MODAL SATUAN]],4,FALSE)</f>
        <v>50</v>
      </c>
      <c r="I25" s="58">
        <v>0</v>
      </c>
      <c r="J25" s="7">
        <f t="shared" si="4"/>
        <v>0</v>
      </c>
      <c r="P25" s="54"/>
      <c r="Q25" s="54">
        <v>7</v>
      </c>
      <c r="R25" s="54" t="s">
        <v>34</v>
      </c>
      <c r="S25" s="53">
        <f>VLOOKUP(TBLROYAMCOKLATKENYANG[NAMA BAHAN],[2]!TBLREKAPBAHAN[[NAMA BAHAN]:[MODAL SATUAN]],2,FALSE)</f>
        <v>5000</v>
      </c>
      <c r="T25" s="53">
        <f>VLOOKUP(TBLROYAMCOKLATKENYANG[NAMA BAHAN],[2]!TBLREKAPBAHAN[[NAMA BAHAN]:[MODAL SATUAN]],3,FALSE)</f>
        <v>100</v>
      </c>
      <c r="U25" s="57" t="s">
        <v>30</v>
      </c>
      <c r="V25" s="7">
        <f>VLOOKUP(TBLROYAMCOKLATKENYANG[NAMA BAHAN],[2]!TBLREKAPBAHAN[[NAMA BAHAN]:[MODAL SATUAN]],4,FALSE)</f>
        <v>50</v>
      </c>
      <c r="W25" s="7">
        <f>VLOOKUP(TBLROYAMCOKLATKENYANG[NAMA BAHAN],[2]!TBLREKAPBAHAN[[NAMA BAHAN]:[MODAL SATUAN]],4,FALSE)</f>
        <v>50</v>
      </c>
      <c r="X25" s="58">
        <v>0</v>
      </c>
      <c r="Y25" s="7">
        <f t="shared" si="5"/>
        <v>0</v>
      </c>
    </row>
    <row r="26" spans="1:25" x14ac:dyDescent="0.25">
      <c r="A26" s="54"/>
      <c r="B26" s="54">
        <v>8</v>
      </c>
      <c r="C26" s="54" t="s">
        <v>33</v>
      </c>
      <c r="D26" s="53">
        <f>VLOOKUP(TBLROYAMORIKENYANG[NAMA BAHAN],[2]!TBLREKAPBAHAN[[NAMA BAHAN]:[MODAL SATUAN]],2,FALSE)</f>
        <v>6000</v>
      </c>
      <c r="E26" s="53">
        <f>VLOOKUP(TBLROYAMORIKENYANG[NAMA BAHAN],[2]!TBLREKAPBAHAN[[NAMA BAHAN]:[MODAL SATUAN]],3,FALSE)</f>
        <v>100</v>
      </c>
      <c r="F26" s="57" t="s">
        <v>30</v>
      </c>
      <c r="G26" s="7">
        <f>VLOOKUP(TBLROYAMORIKENYANG[NAMA BAHAN],[2]!TBLREKAPBAHAN[[NAMA BAHAN]:[MODAL SATUAN]],4,FALSE)</f>
        <v>60</v>
      </c>
      <c r="H26" s="7">
        <f>VLOOKUP(TBLROYAMORIKENYANG[NAMA BAHAN],[2]!TBLREKAPBAHAN[[NAMA BAHAN]:[MODAL SATUAN]],4,FALSE)</f>
        <v>60</v>
      </c>
      <c r="I26" s="58">
        <v>1</v>
      </c>
      <c r="J26" s="7">
        <f t="shared" si="4"/>
        <v>60</v>
      </c>
      <c r="P26" s="54"/>
      <c r="Q26" s="54">
        <v>8</v>
      </c>
      <c r="R26" s="54" t="s">
        <v>33</v>
      </c>
      <c r="S26" s="53">
        <f>VLOOKUP(TBLROYAMCOKLATKENYANG[NAMA BAHAN],[2]!TBLREKAPBAHAN[[NAMA BAHAN]:[MODAL SATUAN]],2,FALSE)</f>
        <v>6000</v>
      </c>
      <c r="T26" s="53">
        <f>VLOOKUP(TBLROYAMCOKLATKENYANG[NAMA BAHAN],[2]!TBLREKAPBAHAN[[NAMA BAHAN]:[MODAL SATUAN]],3,FALSE)</f>
        <v>100</v>
      </c>
      <c r="U26" s="57" t="s">
        <v>30</v>
      </c>
      <c r="V26" s="7">
        <f>VLOOKUP(TBLROYAMCOKLATKENYANG[NAMA BAHAN],[2]!TBLREKAPBAHAN[[NAMA BAHAN]:[MODAL SATUAN]],4,FALSE)</f>
        <v>60</v>
      </c>
      <c r="W26" s="7">
        <f>VLOOKUP(TBLROYAMCOKLATKENYANG[NAMA BAHAN],[2]!TBLREKAPBAHAN[[NAMA BAHAN]:[MODAL SATUAN]],4,FALSE)</f>
        <v>60</v>
      </c>
      <c r="X26" s="58">
        <v>1</v>
      </c>
      <c r="Y26" s="7">
        <f t="shared" si="5"/>
        <v>60</v>
      </c>
    </row>
    <row r="27" spans="1:25" x14ac:dyDescent="0.25">
      <c r="A27" s="54"/>
      <c r="B27" s="54">
        <v>9</v>
      </c>
      <c r="C27" s="54" t="s">
        <v>32</v>
      </c>
      <c r="D27" s="53">
        <f>VLOOKUP(TBLROYAMORIKENYANG[NAMA BAHAN],[2]!TBLREKAPBAHAN[[NAMA BAHAN]:[MODAL SATUAN]],2,FALSE)</f>
        <v>8000</v>
      </c>
      <c r="E27" s="53">
        <f>VLOOKUP(TBLROYAMORIKENYANG[NAMA BAHAN],[2]!TBLREKAPBAHAN[[NAMA BAHAN]:[MODAL SATUAN]],3,FALSE)</f>
        <v>100</v>
      </c>
      <c r="F27" s="57" t="s">
        <v>30</v>
      </c>
      <c r="G27" s="7">
        <f>VLOOKUP(TBLROYAMORIKENYANG[NAMA BAHAN],[2]!TBLREKAPBAHAN[[NAMA BAHAN]:[MODAL SATUAN]],4,FALSE)</f>
        <v>80</v>
      </c>
      <c r="H27" s="7">
        <f>VLOOKUP(TBLROYAMORIKENYANG[NAMA BAHAN],[2]!TBLREKAPBAHAN[[NAMA BAHAN]:[MODAL SATUAN]],4,FALSE)</f>
        <v>80</v>
      </c>
      <c r="I27" s="58">
        <v>0</v>
      </c>
      <c r="J27" s="7">
        <f t="shared" si="4"/>
        <v>0</v>
      </c>
      <c r="P27" s="54"/>
      <c r="Q27" s="54">
        <v>9</v>
      </c>
      <c r="R27" s="54" t="s">
        <v>32</v>
      </c>
      <c r="S27" s="53">
        <f>VLOOKUP(TBLROYAMCOKLATKENYANG[NAMA BAHAN],[2]!TBLREKAPBAHAN[[NAMA BAHAN]:[MODAL SATUAN]],2,FALSE)</f>
        <v>8000</v>
      </c>
      <c r="T27" s="53">
        <f>VLOOKUP(TBLROYAMCOKLATKENYANG[NAMA BAHAN],[2]!TBLREKAPBAHAN[[NAMA BAHAN]:[MODAL SATUAN]],3,FALSE)</f>
        <v>100</v>
      </c>
      <c r="U27" s="57" t="s">
        <v>30</v>
      </c>
      <c r="V27" s="7">
        <f>VLOOKUP(TBLROYAMCOKLATKENYANG[NAMA BAHAN],[2]!TBLREKAPBAHAN[[NAMA BAHAN]:[MODAL SATUAN]],4,FALSE)</f>
        <v>80</v>
      </c>
      <c r="W27" s="7">
        <f>VLOOKUP(TBLROYAMCOKLATKENYANG[NAMA BAHAN],[2]!TBLREKAPBAHAN[[NAMA BAHAN]:[MODAL SATUAN]],4,FALSE)</f>
        <v>80</v>
      </c>
      <c r="X27" s="58">
        <v>0</v>
      </c>
      <c r="Y27" s="7">
        <f t="shared" si="5"/>
        <v>0</v>
      </c>
    </row>
    <row r="28" spans="1:25" x14ac:dyDescent="0.25">
      <c r="A28" s="54"/>
      <c r="B28" s="54">
        <v>10</v>
      </c>
      <c r="C28" s="54" t="s">
        <v>31</v>
      </c>
      <c r="D28" s="53">
        <f>VLOOKUP(TBLROYAMORIKENYANG[NAMA BAHAN],[2]!TBLREKAPBAHAN[[NAMA BAHAN]:[MODAL SATUAN]],2,FALSE)</f>
        <v>12000</v>
      </c>
      <c r="E28" s="53">
        <f>VLOOKUP(TBLROYAMORIKENYANG[NAMA BAHAN],[2]!TBLREKAPBAHAN[[NAMA BAHAN]:[MODAL SATUAN]],3,FALSE)</f>
        <v>100</v>
      </c>
      <c r="F28" s="57" t="s">
        <v>30</v>
      </c>
      <c r="G28" s="7">
        <f>VLOOKUP(TBLROYAMORIKENYANG[NAMA BAHAN],[2]!TBLREKAPBAHAN[[NAMA BAHAN]:[MODAL SATUAN]],4,FALSE)</f>
        <v>120</v>
      </c>
      <c r="H28" s="7">
        <f>VLOOKUP(TBLROYAMORIKENYANG[NAMA BAHAN],[2]!TBLREKAPBAHAN[[NAMA BAHAN]:[MODAL SATUAN]],4,FALSE)</f>
        <v>120</v>
      </c>
      <c r="I28" s="58">
        <v>0</v>
      </c>
      <c r="J28" s="7">
        <f t="shared" si="4"/>
        <v>0</v>
      </c>
      <c r="P28" s="54"/>
      <c r="Q28" s="54">
        <v>10</v>
      </c>
      <c r="R28" s="54" t="s">
        <v>31</v>
      </c>
      <c r="S28" s="53">
        <f>VLOOKUP(TBLROYAMCOKLATKENYANG[NAMA BAHAN],[2]!TBLREKAPBAHAN[[NAMA BAHAN]:[MODAL SATUAN]],2,FALSE)</f>
        <v>12000</v>
      </c>
      <c r="T28" s="53">
        <f>VLOOKUP(TBLROYAMCOKLATKENYANG[NAMA BAHAN],[2]!TBLREKAPBAHAN[[NAMA BAHAN]:[MODAL SATUAN]],3,FALSE)</f>
        <v>100</v>
      </c>
      <c r="U28" s="57" t="s">
        <v>30</v>
      </c>
      <c r="V28" s="7">
        <f>VLOOKUP(TBLROYAMCOKLATKENYANG[NAMA BAHAN],[2]!TBLREKAPBAHAN[[NAMA BAHAN]:[MODAL SATUAN]],4,FALSE)</f>
        <v>120</v>
      </c>
      <c r="W28" s="7">
        <f>VLOOKUP(TBLROYAMCOKLATKENYANG[NAMA BAHAN],[2]!TBLREKAPBAHAN[[NAMA BAHAN]:[MODAL SATUAN]],4,FALSE)</f>
        <v>120</v>
      </c>
      <c r="X28" s="58">
        <v>0</v>
      </c>
      <c r="Y28" s="7">
        <f t="shared" si="5"/>
        <v>0</v>
      </c>
    </row>
    <row r="29" spans="1:25" x14ac:dyDescent="0.25">
      <c r="A29" s="54"/>
      <c r="B29" s="54">
        <v>11</v>
      </c>
      <c r="C29" s="54" t="s">
        <v>52</v>
      </c>
      <c r="D29" s="53">
        <f>VLOOKUP(TBLROYAMORIKENYANG[NAMA BAHAN],[2]!TBLREKAPBAHAN[[NAMA BAHAN]:[MODAL SATUAN]],2,FALSE)</f>
        <v>5500</v>
      </c>
      <c r="E29" s="53">
        <f>VLOOKUP(TBLROYAMORIKENYANG[NAMA BAHAN],[2]!TBLREKAPBAHAN[[NAMA BAHAN]:[MODAL SATUAN]],3,FALSE)</f>
        <v>100</v>
      </c>
      <c r="F29" s="57" t="s">
        <v>30</v>
      </c>
      <c r="G29" s="7">
        <f>VLOOKUP(TBLROYAMORIKENYANG[NAMA BAHAN],[2]!TBLREKAPBAHAN[[NAMA BAHAN]:[MODAL SATUAN]],4,FALSE)</f>
        <v>55</v>
      </c>
      <c r="H29" s="7">
        <f>VLOOKUP(TBLROYAMORIKENYANG[NAMA BAHAN],[2]!TBLREKAPBAHAN[[NAMA BAHAN]:[MODAL SATUAN]],4,FALSE)</f>
        <v>55</v>
      </c>
      <c r="I29" s="58">
        <v>1</v>
      </c>
      <c r="J29" s="7">
        <f t="shared" si="4"/>
        <v>55</v>
      </c>
      <c r="P29" s="54"/>
      <c r="Q29" s="54">
        <v>11</v>
      </c>
      <c r="R29" s="54" t="s">
        <v>52</v>
      </c>
      <c r="S29" s="53">
        <f>VLOOKUP(TBLROYAMCOKLATKENYANG[NAMA BAHAN],[2]!TBLREKAPBAHAN[[NAMA BAHAN]:[MODAL SATUAN]],2,FALSE)</f>
        <v>5500</v>
      </c>
      <c r="T29" s="53">
        <f>VLOOKUP(TBLROYAMCOKLATKENYANG[NAMA BAHAN],[2]!TBLREKAPBAHAN[[NAMA BAHAN]:[MODAL SATUAN]],3,FALSE)</f>
        <v>100</v>
      </c>
      <c r="U29" s="57" t="s">
        <v>30</v>
      </c>
      <c r="V29" s="7">
        <f>VLOOKUP(TBLROYAMCOKLATKENYANG[NAMA BAHAN],[2]!TBLREKAPBAHAN[[NAMA BAHAN]:[MODAL SATUAN]],4,FALSE)</f>
        <v>55</v>
      </c>
      <c r="W29" s="7">
        <f>VLOOKUP(TBLROYAMCOKLATKENYANG[NAMA BAHAN],[2]!TBLREKAPBAHAN[[NAMA BAHAN]:[MODAL SATUAN]],4,FALSE)</f>
        <v>55</v>
      </c>
      <c r="X29" s="58">
        <v>1</v>
      </c>
      <c r="Y29" s="7">
        <f t="shared" si="5"/>
        <v>55</v>
      </c>
    </row>
    <row r="30" spans="1:25" x14ac:dyDescent="0.25">
      <c r="A30" s="54"/>
      <c r="B30" s="54">
        <v>12</v>
      </c>
      <c r="C30" s="54" t="s">
        <v>60</v>
      </c>
      <c r="D30" s="53">
        <f>VLOOKUP(TBLROYAMORIKENYANG[NAMA BAHAN],[2]!TBLREKAPBAHAN[[NAMA BAHAN]:[MODAL SATUAN]],2,FALSE)</f>
        <v>7000</v>
      </c>
      <c r="E30" s="53">
        <f>VLOOKUP(TBLROYAMORIKENYANG[NAMA BAHAN],[2]!TBLREKAPBAHAN[[NAMA BAHAN]:[MODAL SATUAN]],3,FALSE)</f>
        <v>50</v>
      </c>
      <c r="F30" s="57" t="s">
        <v>30</v>
      </c>
      <c r="G30" s="7">
        <f>VLOOKUP(TBLROYAMORIKENYANG[NAMA BAHAN],[2]!TBLREKAPBAHAN[[NAMA BAHAN]:[MODAL SATUAN]],4,FALSE)</f>
        <v>140</v>
      </c>
      <c r="H30" s="7">
        <f>VLOOKUP(TBLROYAMORIKENYANG[NAMA BAHAN],[2]!TBLREKAPBAHAN[[NAMA BAHAN]:[MODAL SATUAN]],4,FALSE)</f>
        <v>140</v>
      </c>
      <c r="I30" s="58">
        <v>0</v>
      </c>
      <c r="J30" s="7">
        <f t="shared" si="4"/>
        <v>0</v>
      </c>
      <c r="P30" s="54"/>
      <c r="Q30" s="54">
        <v>12</v>
      </c>
      <c r="R30" s="54" t="s">
        <v>60</v>
      </c>
      <c r="S30" s="53">
        <f>VLOOKUP(TBLROYAMCOKLATKENYANG[NAMA BAHAN],[2]!TBLREKAPBAHAN[[NAMA BAHAN]:[MODAL SATUAN]],2,FALSE)</f>
        <v>7000</v>
      </c>
      <c r="T30" s="53">
        <f>VLOOKUP(TBLROYAMCOKLATKENYANG[NAMA BAHAN],[2]!TBLREKAPBAHAN[[NAMA BAHAN]:[MODAL SATUAN]],3,FALSE)</f>
        <v>50</v>
      </c>
      <c r="U30" s="57" t="s">
        <v>30</v>
      </c>
      <c r="V30" s="7">
        <f>VLOOKUP(TBLROYAMCOKLATKENYANG[NAMA BAHAN],[2]!TBLREKAPBAHAN[[NAMA BAHAN]:[MODAL SATUAN]],4,FALSE)</f>
        <v>140</v>
      </c>
      <c r="W30" s="7">
        <f>VLOOKUP(TBLROYAMCOKLATKENYANG[NAMA BAHAN],[2]!TBLREKAPBAHAN[[NAMA BAHAN]:[MODAL SATUAN]],4,FALSE)</f>
        <v>140</v>
      </c>
      <c r="X30" s="58">
        <v>0</v>
      </c>
      <c r="Y30" s="7">
        <f t="shared" si="5"/>
        <v>0</v>
      </c>
    </row>
    <row r="31" spans="1:25" x14ac:dyDescent="0.25">
      <c r="A31" s="149" t="s">
        <v>20</v>
      </c>
      <c r="B31" s="149"/>
      <c r="C31" s="149"/>
      <c r="D31" s="149"/>
      <c r="E31" s="149"/>
      <c r="F31" s="149"/>
      <c r="G31" s="149"/>
      <c r="H31" s="149"/>
      <c r="I31" s="60"/>
      <c r="J31" s="61">
        <f>SUM(J19:J30)</f>
        <v>6890</v>
      </c>
      <c r="P31" s="149" t="s">
        <v>20</v>
      </c>
      <c r="Q31" s="149"/>
      <c r="R31" s="149"/>
      <c r="S31" s="149"/>
      <c r="T31" s="149"/>
      <c r="U31" s="149"/>
      <c r="V31" s="149"/>
      <c r="W31" s="149"/>
      <c r="X31" s="60"/>
      <c r="Y31" s="61">
        <f>SUM(Y19:Y30)</f>
        <v>7490</v>
      </c>
    </row>
    <row r="36" spans="1:25" ht="45" x14ac:dyDescent="0.25">
      <c r="A36" s="53" t="s">
        <v>144</v>
      </c>
      <c r="B36" s="54" t="s">
        <v>90</v>
      </c>
      <c r="C36" s="54" t="s">
        <v>154</v>
      </c>
      <c r="D36" s="53" t="s">
        <v>4</v>
      </c>
      <c r="E36" s="53" t="s">
        <v>3</v>
      </c>
      <c r="F36" s="53" t="s">
        <v>19</v>
      </c>
      <c r="G36" s="53" t="s">
        <v>1</v>
      </c>
      <c r="H36" s="53" t="s">
        <v>2</v>
      </c>
      <c r="I36" s="55" t="s">
        <v>147</v>
      </c>
      <c r="J36" s="53" t="s">
        <v>145</v>
      </c>
      <c r="P36" s="53" t="s">
        <v>144</v>
      </c>
      <c r="Q36" s="54" t="s">
        <v>90</v>
      </c>
      <c r="R36" s="54" t="s">
        <v>0</v>
      </c>
      <c r="S36" s="53" t="s">
        <v>4</v>
      </c>
      <c r="T36" s="53" t="s">
        <v>3</v>
      </c>
      <c r="U36" s="53" t="s">
        <v>19</v>
      </c>
      <c r="V36" s="53" t="s">
        <v>1</v>
      </c>
      <c r="W36" s="53" t="s">
        <v>2</v>
      </c>
      <c r="X36" s="55" t="s">
        <v>152</v>
      </c>
      <c r="Y36" s="53" t="s">
        <v>145</v>
      </c>
    </row>
    <row r="37" spans="1:25" ht="15.75" x14ac:dyDescent="0.25">
      <c r="A37" s="5" t="s">
        <v>129</v>
      </c>
      <c r="B37" s="54">
        <v>1</v>
      </c>
      <c r="C37" s="54" t="s">
        <v>24</v>
      </c>
      <c r="D37" s="53">
        <v>18000</v>
      </c>
      <c r="E37" s="53">
        <v>10</v>
      </c>
      <c r="F37" s="57" t="s">
        <v>26</v>
      </c>
      <c r="G37" s="7">
        <f>D37/E37</f>
        <v>1800</v>
      </c>
      <c r="H37" s="7">
        <f>G37</f>
        <v>1800</v>
      </c>
      <c r="I37" s="58">
        <v>6</v>
      </c>
      <c r="J37" s="7">
        <f t="shared" ref="J37:J48" si="6">H37*I37</f>
        <v>10800</v>
      </c>
      <c r="P37" s="59" t="s">
        <v>131</v>
      </c>
      <c r="Q37" s="54">
        <v>1</v>
      </c>
      <c r="R37" s="54" t="s">
        <v>24</v>
      </c>
      <c r="S37" s="53">
        <f>VLOOKUP(TBLROYAMCOKLATDOBEL[NAMA BAHAN],[1]!TBLREKAPBAHAN[[NAMA BAHAN]:[MODAL SATUAN]],2,FALSE)</f>
        <v>20000</v>
      </c>
      <c r="T37" s="53">
        <f>VLOOKUP(TBLROYAMCOKLATDOBEL[NAMA BAHAN],[1]!TBLREKAPBAHAN[[NAMA BAHAN]:[MODAL SATUAN]],3,FALSE)</f>
        <v>10</v>
      </c>
      <c r="U37" s="57" t="s">
        <v>26</v>
      </c>
      <c r="V37" s="7">
        <f>VLOOKUP(TBLROYAMCOKLATDOBEL[NAMA BAHAN],[1]!TBLREKAPBAHAN[[NAMA BAHAN]:[MODAL SATUAN]],4,FALSE)</f>
        <v>2000</v>
      </c>
      <c r="W37" s="7">
        <f>VLOOKUP(TBLROYAMCOKLATDOBEL[NAMA BAHAN],[1]!TBLREKAPBAHAN[[NAMA BAHAN]:[MODAL SATUAN]],4,FALSE)</f>
        <v>2000</v>
      </c>
      <c r="X37" s="58">
        <v>6</v>
      </c>
      <c r="Y37" s="7">
        <f t="shared" ref="Y37:Y48" si="7">W37*X37</f>
        <v>12000</v>
      </c>
    </row>
    <row r="38" spans="1:25" x14ac:dyDescent="0.25">
      <c r="A38" s="54"/>
      <c r="B38" s="54">
        <v>2</v>
      </c>
      <c r="C38" s="54" t="s">
        <v>25</v>
      </c>
      <c r="D38" s="53">
        <v>5000</v>
      </c>
      <c r="E38" s="53">
        <v>250</v>
      </c>
      <c r="F38" s="57" t="s">
        <v>36</v>
      </c>
      <c r="G38" s="7">
        <f>D38/E38</f>
        <v>20</v>
      </c>
      <c r="H38" s="7">
        <f>G38</f>
        <v>20</v>
      </c>
      <c r="I38" s="58">
        <v>20</v>
      </c>
      <c r="J38" s="7">
        <f t="shared" si="6"/>
        <v>400</v>
      </c>
      <c r="P38" s="54"/>
      <c r="Q38" s="54">
        <v>2</v>
      </c>
      <c r="R38" s="54" t="s">
        <v>25</v>
      </c>
      <c r="S38" s="53">
        <f>VLOOKUP(TBLROYAMCOKLATDOBEL[NAMA BAHAN],[1]!TBLREKAPBAHAN[[NAMA BAHAN]:[MODAL SATUAN]],2,FALSE)</f>
        <v>5000</v>
      </c>
      <c r="T38" s="53">
        <f>VLOOKUP(TBLROYAMCOKLATDOBEL[NAMA BAHAN],[1]!TBLREKAPBAHAN[[NAMA BAHAN]:[MODAL SATUAN]],3,FALSE)</f>
        <v>250</v>
      </c>
      <c r="U38" s="57" t="s">
        <v>36</v>
      </c>
      <c r="V38" s="7">
        <f>VLOOKUP(TBLROYAMCOKLATDOBEL[NAMA BAHAN],[1]!TBLREKAPBAHAN[[NAMA BAHAN]:[MODAL SATUAN]],4,FALSE)</f>
        <v>20</v>
      </c>
      <c r="W38" s="7">
        <f>VLOOKUP(TBLROYAMCOKLATDOBEL[NAMA BAHAN],[1]!TBLREKAPBAHAN[[NAMA BAHAN]:[MODAL SATUAN]],4,FALSE)</f>
        <v>20</v>
      </c>
      <c r="X38" s="58">
        <v>0</v>
      </c>
      <c r="Y38" s="7">
        <f t="shared" si="7"/>
        <v>0</v>
      </c>
    </row>
    <row r="39" spans="1:25" x14ac:dyDescent="0.25">
      <c r="A39" s="54"/>
      <c r="B39" s="54">
        <v>3</v>
      </c>
      <c r="C39" s="54" t="s">
        <v>53</v>
      </c>
      <c r="D39" s="53">
        <v>11000</v>
      </c>
      <c r="E39" s="53">
        <v>250</v>
      </c>
      <c r="F39" s="57" t="s">
        <v>36</v>
      </c>
      <c r="G39" s="7">
        <f t="shared" ref="G39:G48" si="8">D39/E39</f>
        <v>44</v>
      </c>
      <c r="H39" s="7">
        <f t="shared" ref="H39:H48" si="9">G39</f>
        <v>44</v>
      </c>
      <c r="I39" s="58">
        <v>0</v>
      </c>
      <c r="J39" s="7">
        <f t="shared" si="6"/>
        <v>0</v>
      </c>
      <c r="P39" s="54"/>
      <c r="Q39" s="54">
        <v>3</v>
      </c>
      <c r="R39" s="54" t="s">
        <v>53</v>
      </c>
      <c r="S39" s="53">
        <f>VLOOKUP(TBLROYAMCOKLATDOBEL[NAMA BAHAN],[1]!TBLREKAPBAHAN[[NAMA BAHAN]:[MODAL SATUAN]],2,FALSE)</f>
        <v>15000</v>
      </c>
      <c r="T39" s="53">
        <f>VLOOKUP(TBLROYAMCOKLATDOBEL[NAMA BAHAN],[1]!TBLREKAPBAHAN[[NAMA BAHAN]:[MODAL SATUAN]],3,FALSE)</f>
        <v>250</v>
      </c>
      <c r="U39" s="57" t="s">
        <v>36</v>
      </c>
      <c r="V39" s="7">
        <f>VLOOKUP(TBLROYAMCOKLATDOBEL[NAMA BAHAN],[1]!TBLREKAPBAHAN[[NAMA BAHAN]:[MODAL SATUAN]],4,FALSE)</f>
        <v>60</v>
      </c>
      <c r="W39" s="7">
        <f>VLOOKUP(TBLROYAMCOKLATDOBEL[NAMA BAHAN],[1]!TBLREKAPBAHAN[[NAMA BAHAN]:[MODAL SATUAN]],4,FALSE)</f>
        <v>60</v>
      </c>
      <c r="X39" s="58">
        <v>23</v>
      </c>
      <c r="Y39" s="7">
        <f t="shared" si="7"/>
        <v>1380</v>
      </c>
    </row>
    <row r="40" spans="1:25" x14ac:dyDescent="0.25">
      <c r="A40" s="54"/>
      <c r="B40" s="54">
        <v>4</v>
      </c>
      <c r="C40" s="54" t="s">
        <v>54</v>
      </c>
      <c r="D40" s="53">
        <v>35000</v>
      </c>
      <c r="E40" s="53">
        <v>1000</v>
      </c>
      <c r="F40" s="57" t="s">
        <v>36</v>
      </c>
      <c r="G40" s="7">
        <f t="shared" si="8"/>
        <v>35</v>
      </c>
      <c r="H40" s="7">
        <f t="shared" si="9"/>
        <v>35</v>
      </c>
      <c r="I40" s="58">
        <v>10</v>
      </c>
      <c r="J40" s="7">
        <f t="shared" si="6"/>
        <v>350</v>
      </c>
      <c r="P40" s="54"/>
      <c r="Q40" s="54">
        <v>4</v>
      </c>
      <c r="R40" s="54" t="s">
        <v>54</v>
      </c>
      <c r="S40" s="53">
        <f>VLOOKUP(TBLROYAMCOKLATDOBEL[NAMA BAHAN],[1]!TBLREKAPBAHAN[[NAMA BAHAN]:[MODAL SATUAN]],2,FALSE)</f>
        <v>35000</v>
      </c>
      <c r="T40" s="53">
        <f>VLOOKUP(TBLROYAMCOKLATDOBEL[NAMA BAHAN],[1]!TBLREKAPBAHAN[[NAMA BAHAN]:[MODAL SATUAN]],3,FALSE)</f>
        <v>1000</v>
      </c>
      <c r="U40" s="57" t="s">
        <v>36</v>
      </c>
      <c r="V40" s="7">
        <f>VLOOKUP(TBLROYAMCOKLATDOBEL[NAMA BAHAN],[1]!TBLREKAPBAHAN[[NAMA BAHAN]:[MODAL SATUAN]],4,FALSE)</f>
        <v>35</v>
      </c>
      <c r="W40" s="7">
        <f>VLOOKUP(TBLROYAMCOKLATDOBEL[NAMA BAHAN],[1]!TBLREKAPBAHAN[[NAMA BAHAN]:[MODAL SATUAN]],4,FALSE)</f>
        <v>35</v>
      </c>
      <c r="X40" s="58">
        <v>10</v>
      </c>
      <c r="Y40" s="7">
        <f t="shared" si="7"/>
        <v>350</v>
      </c>
    </row>
    <row r="41" spans="1:25" x14ac:dyDescent="0.25">
      <c r="A41" s="54"/>
      <c r="B41" s="54">
        <v>5</v>
      </c>
      <c r="C41" s="54" t="s">
        <v>55</v>
      </c>
      <c r="D41" s="53">
        <v>23000</v>
      </c>
      <c r="E41" s="53">
        <v>3000</v>
      </c>
      <c r="F41" s="57" t="s">
        <v>36</v>
      </c>
      <c r="G41" s="7">
        <f t="shared" si="8"/>
        <v>7.666666666666667</v>
      </c>
      <c r="H41" s="7">
        <f t="shared" si="9"/>
        <v>7.666666666666667</v>
      </c>
      <c r="I41" s="58">
        <v>30</v>
      </c>
      <c r="J41" s="7">
        <f t="shared" si="6"/>
        <v>230</v>
      </c>
      <c r="P41" s="54"/>
      <c r="Q41" s="54">
        <v>5</v>
      </c>
      <c r="R41" s="54" t="s">
        <v>55</v>
      </c>
      <c r="S41" s="53">
        <f>VLOOKUP(TBLROYAMCOKLATDOBEL[NAMA BAHAN],[1]!TBLREKAPBAHAN[[NAMA BAHAN]:[MODAL SATUAN]],2,FALSE)</f>
        <v>23000</v>
      </c>
      <c r="T41" s="53">
        <f>VLOOKUP(TBLROYAMCOKLATDOBEL[NAMA BAHAN],[1]!TBLREKAPBAHAN[[NAMA BAHAN]:[MODAL SATUAN]],3,FALSE)</f>
        <v>3000</v>
      </c>
      <c r="U41" s="57" t="s">
        <v>36</v>
      </c>
      <c r="V41" s="7">
        <f>VLOOKUP(TBLROYAMCOKLATDOBEL[NAMA BAHAN],[1]!TBLREKAPBAHAN[[NAMA BAHAN]:[MODAL SATUAN]],4,FALSE)</f>
        <v>7.666666666666667</v>
      </c>
      <c r="W41" s="7">
        <f>VLOOKUP(TBLROYAMCOKLATDOBEL[NAMA BAHAN],[1]!TBLREKAPBAHAN[[NAMA BAHAN]:[MODAL SATUAN]],4,FALSE)</f>
        <v>7.666666666666667</v>
      </c>
      <c r="X41" s="58">
        <v>30</v>
      </c>
      <c r="Y41" s="7">
        <f t="shared" si="7"/>
        <v>230</v>
      </c>
    </row>
    <row r="42" spans="1:25" x14ac:dyDescent="0.25">
      <c r="A42" s="54"/>
      <c r="B42" s="54">
        <v>6</v>
      </c>
      <c r="C42" s="54" t="s">
        <v>56</v>
      </c>
      <c r="D42" s="53">
        <v>41000</v>
      </c>
      <c r="E42" s="53">
        <v>50</v>
      </c>
      <c r="F42" s="57" t="s">
        <v>30</v>
      </c>
      <c r="G42" s="7">
        <f t="shared" si="8"/>
        <v>820</v>
      </c>
      <c r="H42" s="7">
        <f t="shared" si="9"/>
        <v>820</v>
      </c>
      <c r="I42" s="58">
        <v>0</v>
      </c>
      <c r="J42" s="7">
        <f t="shared" si="6"/>
        <v>0</v>
      </c>
      <c r="P42" s="54"/>
      <c r="Q42" s="54">
        <v>6</v>
      </c>
      <c r="R42" s="54" t="s">
        <v>56</v>
      </c>
      <c r="S42" s="53">
        <f>VLOOKUP(TBLROYAMCOKLATDOBEL[NAMA BAHAN],[1]!TBLREKAPBAHAN[[NAMA BAHAN]:[MODAL SATUAN]],2,FALSE)</f>
        <v>41000</v>
      </c>
      <c r="T42" s="53">
        <f>VLOOKUP(TBLROYAMCOKLATDOBEL[NAMA BAHAN],[1]!TBLREKAPBAHAN[[NAMA BAHAN]:[MODAL SATUAN]],3,FALSE)</f>
        <v>50</v>
      </c>
      <c r="U42" s="57" t="s">
        <v>30</v>
      </c>
      <c r="V42" s="7">
        <f>VLOOKUP(TBLROYAMCOKLATDOBEL[NAMA BAHAN],[1]!TBLREKAPBAHAN[[NAMA BAHAN]:[MODAL SATUAN]],4,FALSE)</f>
        <v>820</v>
      </c>
      <c r="W42" s="7">
        <f>VLOOKUP(TBLROYAMCOKLATDOBEL[NAMA BAHAN],[1]!TBLREKAPBAHAN[[NAMA BAHAN]:[MODAL SATUAN]],4,FALSE)</f>
        <v>820</v>
      </c>
      <c r="X42" s="58">
        <v>0</v>
      </c>
      <c r="Y42" s="7">
        <f t="shared" si="7"/>
        <v>0</v>
      </c>
    </row>
    <row r="43" spans="1:25" x14ac:dyDescent="0.25">
      <c r="A43" s="54"/>
      <c r="B43" s="54">
        <v>7</v>
      </c>
      <c r="C43" s="54" t="s">
        <v>34</v>
      </c>
      <c r="D43" s="53">
        <v>5000</v>
      </c>
      <c r="E43" s="53">
        <v>100</v>
      </c>
      <c r="F43" s="57" t="s">
        <v>30</v>
      </c>
      <c r="G43" s="7">
        <f t="shared" si="8"/>
        <v>50</v>
      </c>
      <c r="H43" s="7">
        <f t="shared" si="9"/>
        <v>50</v>
      </c>
      <c r="I43" s="58">
        <v>0</v>
      </c>
      <c r="J43" s="7">
        <f t="shared" si="6"/>
        <v>0</v>
      </c>
      <c r="P43" s="54"/>
      <c r="Q43" s="54">
        <v>7</v>
      </c>
      <c r="R43" s="54" t="s">
        <v>34</v>
      </c>
      <c r="S43" s="53">
        <f>VLOOKUP(TBLROYAMCOKLATDOBEL[NAMA BAHAN],[1]!TBLREKAPBAHAN[[NAMA BAHAN]:[MODAL SATUAN]],2,FALSE)</f>
        <v>5000</v>
      </c>
      <c r="T43" s="53">
        <f>VLOOKUP(TBLROYAMCOKLATDOBEL[NAMA BAHAN],[1]!TBLREKAPBAHAN[[NAMA BAHAN]:[MODAL SATUAN]],3,FALSE)</f>
        <v>100</v>
      </c>
      <c r="U43" s="57" t="s">
        <v>30</v>
      </c>
      <c r="V43" s="7">
        <f>VLOOKUP(TBLROYAMCOKLATDOBEL[NAMA BAHAN],[1]!TBLREKAPBAHAN[[NAMA BAHAN]:[MODAL SATUAN]],4,FALSE)</f>
        <v>50</v>
      </c>
      <c r="W43" s="7">
        <f>VLOOKUP(TBLROYAMCOKLATDOBEL[NAMA BAHAN],[1]!TBLREKAPBAHAN[[NAMA BAHAN]:[MODAL SATUAN]],4,FALSE)</f>
        <v>50</v>
      </c>
      <c r="X43" s="58">
        <v>0</v>
      </c>
      <c r="Y43" s="7">
        <f t="shared" si="7"/>
        <v>0</v>
      </c>
    </row>
    <row r="44" spans="1:25" x14ac:dyDescent="0.25">
      <c r="A44" s="54"/>
      <c r="B44" s="54">
        <v>8</v>
      </c>
      <c r="C44" s="54" t="s">
        <v>33</v>
      </c>
      <c r="D44" s="53">
        <v>6000</v>
      </c>
      <c r="E44" s="53">
        <v>100</v>
      </c>
      <c r="F44" s="57" t="s">
        <v>30</v>
      </c>
      <c r="G44" s="7">
        <f t="shared" si="8"/>
        <v>60</v>
      </c>
      <c r="H44" s="7">
        <f t="shared" si="9"/>
        <v>60</v>
      </c>
      <c r="I44" s="58">
        <v>0</v>
      </c>
      <c r="J44" s="7">
        <f t="shared" si="6"/>
        <v>0</v>
      </c>
      <c r="P44" s="54"/>
      <c r="Q44" s="54">
        <v>8</v>
      </c>
      <c r="R44" s="54" t="s">
        <v>33</v>
      </c>
      <c r="S44" s="53">
        <f>VLOOKUP(TBLROYAMCOKLATDOBEL[NAMA BAHAN],[1]!TBLREKAPBAHAN[[NAMA BAHAN]:[MODAL SATUAN]],2,FALSE)</f>
        <v>6000</v>
      </c>
      <c r="T44" s="53">
        <f>VLOOKUP(TBLROYAMCOKLATDOBEL[NAMA BAHAN],[1]!TBLREKAPBAHAN[[NAMA BAHAN]:[MODAL SATUAN]],3,FALSE)</f>
        <v>100</v>
      </c>
      <c r="U44" s="57" t="s">
        <v>30</v>
      </c>
      <c r="V44" s="7">
        <f>VLOOKUP(TBLROYAMCOKLATDOBEL[NAMA BAHAN],[1]!TBLREKAPBAHAN[[NAMA BAHAN]:[MODAL SATUAN]],4,FALSE)</f>
        <v>60</v>
      </c>
      <c r="W44" s="7">
        <f>VLOOKUP(TBLROYAMCOKLATDOBEL[NAMA BAHAN],[1]!TBLREKAPBAHAN[[NAMA BAHAN]:[MODAL SATUAN]],4,FALSE)</f>
        <v>60</v>
      </c>
      <c r="X44" s="58">
        <v>0</v>
      </c>
      <c r="Y44" s="7">
        <f t="shared" si="7"/>
        <v>0</v>
      </c>
    </row>
    <row r="45" spans="1:25" x14ac:dyDescent="0.25">
      <c r="A45" s="54"/>
      <c r="B45" s="54">
        <v>9</v>
      </c>
      <c r="C45" s="54" t="s">
        <v>32</v>
      </c>
      <c r="D45" s="53">
        <v>8000</v>
      </c>
      <c r="E45" s="53">
        <v>100</v>
      </c>
      <c r="F45" s="57" t="s">
        <v>30</v>
      </c>
      <c r="G45" s="7">
        <f t="shared" si="8"/>
        <v>80</v>
      </c>
      <c r="H45" s="7">
        <f t="shared" si="9"/>
        <v>80</v>
      </c>
      <c r="I45" s="58">
        <v>1</v>
      </c>
      <c r="J45" s="7">
        <f t="shared" si="6"/>
        <v>80</v>
      </c>
      <c r="P45" s="54"/>
      <c r="Q45" s="54">
        <v>9</v>
      </c>
      <c r="R45" s="54" t="s">
        <v>32</v>
      </c>
      <c r="S45" s="53">
        <f>VLOOKUP(TBLROYAMCOKLATDOBEL[NAMA BAHAN],[1]!TBLREKAPBAHAN[[NAMA BAHAN]:[MODAL SATUAN]],2,FALSE)</f>
        <v>8000</v>
      </c>
      <c r="T45" s="53">
        <f>VLOOKUP(TBLROYAMCOKLATDOBEL[NAMA BAHAN],[1]!TBLREKAPBAHAN[[NAMA BAHAN]:[MODAL SATUAN]],3,FALSE)</f>
        <v>100</v>
      </c>
      <c r="U45" s="57" t="s">
        <v>30</v>
      </c>
      <c r="V45" s="7">
        <f>VLOOKUP(TBLROYAMCOKLATDOBEL[NAMA BAHAN],[1]!TBLREKAPBAHAN[[NAMA BAHAN]:[MODAL SATUAN]],4,FALSE)</f>
        <v>80</v>
      </c>
      <c r="W45" s="7">
        <f>VLOOKUP(TBLROYAMCOKLATDOBEL[NAMA BAHAN],[1]!TBLREKAPBAHAN[[NAMA BAHAN]:[MODAL SATUAN]],4,FALSE)</f>
        <v>80</v>
      </c>
      <c r="X45" s="58">
        <v>1</v>
      </c>
      <c r="Y45" s="7">
        <f t="shared" si="7"/>
        <v>80</v>
      </c>
    </row>
    <row r="46" spans="1:25" x14ac:dyDescent="0.25">
      <c r="A46" s="54"/>
      <c r="B46" s="54">
        <v>10</v>
      </c>
      <c r="C46" s="54" t="s">
        <v>31</v>
      </c>
      <c r="D46" s="53">
        <v>12000</v>
      </c>
      <c r="E46" s="53">
        <v>100</v>
      </c>
      <c r="F46" s="57" t="s">
        <v>30</v>
      </c>
      <c r="G46" s="7">
        <f t="shared" si="8"/>
        <v>120</v>
      </c>
      <c r="H46" s="7">
        <f t="shared" si="9"/>
        <v>120</v>
      </c>
      <c r="I46" s="58">
        <v>0</v>
      </c>
      <c r="J46" s="7">
        <f t="shared" si="6"/>
        <v>0</v>
      </c>
      <c r="P46" s="54"/>
      <c r="Q46" s="54">
        <v>10</v>
      </c>
      <c r="R46" s="54" t="s">
        <v>31</v>
      </c>
      <c r="S46" s="53">
        <f>VLOOKUP(TBLROYAMCOKLATDOBEL[NAMA BAHAN],[1]!TBLREKAPBAHAN[[NAMA BAHAN]:[MODAL SATUAN]],2,FALSE)</f>
        <v>12000</v>
      </c>
      <c r="T46" s="53">
        <f>VLOOKUP(TBLROYAMCOKLATDOBEL[NAMA BAHAN],[1]!TBLREKAPBAHAN[[NAMA BAHAN]:[MODAL SATUAN]],3,FALSE)</f>
        <v>100</v>
      </c>
      <c r="U46" s="57" t="s">
        <v>30</v>
      </c>
      <c r="V46" s="7">
        <f>VLOOKUP(TBLROYAMCOKLATDOBEL[NAMA BAHAN],[1]!TBLREKAPBAHAN[[NAMA BAHAN]:[MODAL SATUAN]],4,FALSE)</f>
        <v>120</v>
      </c>
      <c r="W46" s="7">
        <f>VLOOKUP(TBLROYAMCOKLATDOBEL[NAMA BAHAN],[1]!TBLREKAPBAHAN[[NAMA BAHAN]:[MODAL SATUAN]],4,FALSE)</f>
        <v>120</v>
      </c>
      <c r="X46" s="58">
        <v>0</v>
      </c>
      <c r="Y46" s="7">
        <f t="shared" si="7"/>
        <v>0</v>
      </c>
    </row>
    <row r="47" spans="1:25" x14ac:dyDescent="0.25">
      <c r="A47" s="54"/>
      <c r="B47" s="54">
        <v>11</v>
      </c>
      <c r="C47" s="54" t="s">
        <v>52</v>
      </c>
      <c r="D47" s="53">
        <v>5500</v>
      </c>
      <c r="E47" s="53">
        <v>100</v>
      </c>
      <c r="F47" s="57" t="s">
        <v>30</v>
      </c>
      <c r="G47" s="7">
        <f t="shared" si="8"/>
        <v>55</v>
      </c>
      <c r="H47" s="7">
        <f t="shared" si="9"/>
        <v>55</v>
      </c>
      <c r="I47" s="58">
        <v>0</v>
      </c>
      <c r="J47" s="7">
        <f t="shared" si="6"/>
        <v>0</v>
      </c>
      <c r="P47" s="54"/>
      <c r="Q47" s="54">
        <v>11</v>
      </c>
      <c r="R47" s="54" t="s">
        <v>52</v>
      </c>
      <c r="S47" s="53">
        <f>VLOOKUP(TBLROYAMCOKLATDOBEL[NAMA BAHAN],[1]!TBLREKAPBAHAN[[NAMA BAHAN]:[MODAL SATUAN]],2,FALSE)</f>
        <v>5500</v>
      </c>
      <c r="T47" s="53">
        <f>VLOOKUP(TBLROYAMCOKLATDOBEL[NAMA BAHAN],[1]!TBLREKAPBAHAN[[NAMA BAHAN]:[MODAL SATUAN]],3,FALSE)</f>
        <v>100</v>
      </c>
      <c r="U47" s="57" t="s">
        <v>30</v>
      </c>
      <c r="V47" s="7">
        <f>VLOOKUP(TBLROYAMCOKLATDOBEL[NAMA BAHAN],[1]!TBLREKAPBAHAN[[NAMA BAHAN]:[MODAL SATUAN]],4,FALSE)</f>
        <v>55</v>
      </c>
      <c r="W47" s="7">
        <f>VLOOKUP(TBLROYAMCOKLATDOBEL[NAMA BAHAN],[1]!TBLREKAPBAHAN[[NAMA BAHAN]:[MODAL SATUAN]],4,FALSE)</f>
        <v>55</v>
      </c>
      <c r="X47" s="58">
        <v>0</v>
      </c>
      <c r="Y47" s="7">
        <f t="shared" si="7"/>
        <v>0</v>
      </c>
    </row>
    <row r="48" spans="1:25" x14ac:dyDescent="0.25">
      <c r="A48" s="54"/>
      <c r="B48" s="54">
        <v>12</v>
      </c>
      <c r="C48" s="54" t="s">
        <v>60</v>
      </c>
      <c r="D48" s="53">
        <v>7000</v>
      </c>
      <c r="E48" s="53">
        <v>50</v>
      </c>
      <c r="F48" s="57" t="s">
        <v>30</v>
      </c>
      <c r="G48" s="7">
        <f t="shared" si="8"/>
        <v>140</v>
      </c>
      <c r="H48" s="7">
        <f t="shared" si="9"/>
        <v>140</v>
      </c>
      <c r="I48" s="58">
        <v>1</v>
      </c>
      <c r="J48" s="7">
        <f t="shared" si="6"/>
        <v>140</v>
      </c>
      <c r="P48" s="54"/>
      <c r="Q48" s="54">
        <v>12</v>
      </c>
      <c r="R48" s="54" t="s">
        <v>60</v>
      </c>
      <c r="S48" s="53">
        <f>VLOOKUP(TBLROYAMCOKLATDOBEL[NAMA BAHAN],[1]!TBLREKAPBAHAN[[NAMA BAHAN]:[MODAL SATUAN]],2,FALSE)</f>
        <v>7000</v>
      </c>
      <c r="T48" s="53">
        <f>VLOOKUP(TBLROYAMCOKLATDOBEL[NAMA BAHAN],[1]!TBLREKAPBAHAN[[NAMA BAHAN]:[MODAL SATUAN]],3,FALSE)</f>
        <v>50</v>
      </c>
      <c r="U48" s="57" t="s">
        <v>30</v>
      </c>
      <c r="V48" s="7">
        <f>VLOOKUP(TBLROYAMCOKLATDOBEL[NAMA BAHAN],[1]!TBLREKAPBAHAN[[NAMA BAHAN]:[MODAL SATUAN]],4,FALSE)</f>
        <v>140</v>
      </c>
      <c r="W48" s="7">
        <f>VLOOKUP(TBLROYAMCOKLATDOBEL[NAMA BAHAN],[1]!TBLREKAPBAHAN[[NAMA BAHAN]:[MODAL SATUAN]],4,FALSE)</f>
        <v>140</v>
      </c>
      <c r="X48" s="58">
        <v>1</v>
      </c>
      <c r="Y48" s="7">
        <f t="shared" si="7"/>
        <v>140</v>
      </c>
    </row>
    <row r="49" spans="1:25" x14ac:dyDescent="0.25">
      <c r="A49" s="149" t="s">
        <v>20</v>
      </c>
      <c r="B49" s="149"/>
      <c r="C49" s="149"/>
      <c r="D49" s="149"/>
      <c r="E49" s="149"/>
      <c r="F49" s="149"/>
      <c r="G49" s="149"/>
      <c r="H49" s="149"/>
      <c r="I49" s="60"/>
      <c r="J49" s="61">
        <f>SUM(J37:J48)</f>
        <v>12000</v>
      </c>
      <c r="P49" s="149" t="s">
        <v>20</v>
      </c>
      <c r="Q49" s="149"/>
      <c r="R49" s="149"/>
      <c r="S49" s="149"/>
      <c r="T49" s="149"/>
      <c r="U49" s="149"/>
      <c r="V49" s="149"/>
      <c r="W49" s="149"/>
      <c r="X49" s="60"/>
      <c r="Y49" s="61">
        <f>SUM(Y37:Y48)</f>
        <v>14180</v>
      </c>
    </row>
    <row r="50" spans="1:25" x14ac:dyDescent="0.25">
      <c r="D50" s="9"/>
      <c r="E50" s="9"/>
      <c r="F50" s="9"/>
      <c r="G50" s="9"/>
      <c r="H50" s="9"/>
      <c r="I50" s="9"/>
      <c r="J50" s="9"/>
    </row>
  </sheetData>
  <mergeCells count="6">
    <mergeCell ref="P14:W14"/>
    <mergeCell ref="P31:W31"/>
    <mergeCell ref="P49:W49"/>
    <mergeCell ref="A14:H14"/>
    <mergeCell ref="A31:H31"/>
    <mergeCell ref="A49:H49"/>
  </mergeCells>
  <pageMargins left="0.70866141732283472" right="0.70866141732283472" top="0.74803149606299213" bottom="0.74803149606299213" header="0.31496062992125984" footer="0.31496062992125984"/>
  <pageSetup paperSize="5" scale="60" fitToWidth="0" fitToHeight="0" orientation="landscape" horizontalDpi="4294967293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zoomScale="75" zoomScaleNormal="75" workbookViewId="0">
      <selection activeCell="J16" sqref="J16"/>
    </sheetView>
  </sheetViews>
  <sheetFormatPr defaultRowHeight="15" x14ac:dyDescent="0.25"/>
  <cols>
    <col min="1" max="1" width="14.85546875" style="67" customWidth="1"/>
    <col min="2" max="2" width="23.7109375" style="9" customWidth="1"/>
    <col min="3" max="3" width="16" style="1" customWidth="1"/>
    <col min="4" max="4" width="12.42578125" style="1" customWidth="1"/>
    <col min="5" max="5" width="23.5703125" style="1" customWidth="1"/>
    <col min="6" max="6" width="17.7109375" style="1" customWidth="1"/>
    <col min="7" max="7" width="7" style="18" customWidth="1"/>
    <col min="8" max="8" width="17.140625" style="1" customWidth="1"/>
    <col min="9" max="9" width="8.140625" style="18" customWidth="1"/>
    <col min="10" max="10" width="20.140625" style="9" customWidth="1"/>
    <col min="11" max="11" width="8.140625" style="18" customWidth="1"/>
    <col min="12" max="12" width="26.85546875" style="1" customWidth="1"/>
    <col min="13" max="13" width="8.140625" style="18" customWidth="1"/>
    <col min="14" max="14" width="33" style="9" customWidth="1"/>
    <col min="15" max="18" width="9.140625" style="9"/>
    <col min="19" max="19" width="9.140625" style="9" customWidth="1"/>
    <col min="20" max="16384" width="9.140625" style="9"/>
  </cols>
  <sheetData>
    <row r="1" spans="1:17" s="34" customFormat="1" ht="48" customHeight="1" x14ac:dyDescent="0.25">
      <c r="A1" s="34" t="s">
        <v>90</v>
      </c>
      <c r="B1" s="34" t="s">
        <v>0</v>
      </c>
      <c r="C1" s="62" t="s">
        <v>4</v>
      </c>
      <c r="D1" s="62" t="s">
        <v>3</v>
      </c>
      <c r="E1" s="62" t="s">
        <v>1</v>
      </c>
      <c r="F1" s="62" t="s">
        <v>2</v>
      </c>
      <c r="G1" s="63" t="s">
        <v>5</v>
      </c>
      <c r="H1" s="64" t="s">
        <v>187</v>
      </c>
      <c r="I1" s="63" t="s">
        <v>146</v>
      </c>
      <c r="J1" s="64" t="s">
        <v>188</v>
      </c>
      <c r="K1" s="65" t="s">
        <v>147</v>
      </c>
      <c r="L1" s="66" t="s">
        <v>127</v>
      </c>
      <c r="M1" s="65" t="s">
        <v>148</v>
      </c>
      <c r="N1" s="66" t="s">
        <v>128</v>
      </c>
      <c r="P1" s="34" t="s">
        <v>153</v>
      </c>
    </row>
    <row r="2" spans="1:17" x14ac:dyDescent="0.25">
      <c r="A2" s="67">
        <v>1</v>
      </c>
      <c r="B2" s="10" t="s">
        <v>37</v>
      </c>
      <c r="C2" s="11">
        <f>VLOOKUP(TBLKEBABSOSIZ[NAMA BAHAN],[2]!TBLREKAPBAHAN[[NAMA BAHAN]:[MODAL SATUAN]],2,FALSE)</f>
        <v>20000</v>
      </c>
      <c r="D2" s="11">
        <f>VLOOKUP(TBLKEBABSOSIZ[NAMA BAHAN],[2]!TBLREKAPBAHAN[[NAMA BAHAN]:[MODAL SATUAN]],3,FALSE)</f>
        <v>1000</v>
      </c>
      <c r="E2" s="12">
        <f>VLOOKUP(TBLKEBABSOSIZ[NAMA BAHAN],[2]!TBLREKAPBAHAN[[NAMA BAHAN]:[MODAL SATUAN]],4,FALSE)</f>
        <v>20</v>
      </c>
      <c r="F2" s="12">
        <f>VLOOKUP(TBLKEBABSOSIZ[NAMA BAHAN],[2]!TBLREKAPBAHAN[[NAMA BAHAN]:[MODAL SATUAN]],4,FALSE)</f>
        <v>20</v>
      </c>
      <c r="G2" s="68">
        <v>10</v>
      </c>
      <c r="H2" s="69">
        <f t="shared" ref="H2:H13" si="0">F2*G2</f>
        <v>200</v>
      </c>
      <c r="I2" s="68">
        <v>0</v>
      </c>
      <c r="J2" s="69">
        <f>F2*I2</f>
        <v>0</v>
      </c>
      <c r="K2" s="70">
        <v>10</v>
      </c>
      <c r="L2" s="71">
        <f>F2*K2</f>
        <v>200</v>
      </c>
      <c r="M2" s="70">
        <v>0</v>
      </c>
      <c r="N2" s="71">
        <f>F2*M2</f>
        <v>0</v>
      </c>
      <c r="P2" s="144">
        <v>13</v>
      </c>
      <c r="Q2" s="145">
        <f>TBLKEBABSOSIZ[[#This Row],[MODAL SATUAN]]*P2</f>
        <v>260</v>
      </c>
    </row>
    <row r="3" spans="1:17" x14ac:dyDescent="0.25">
      <c r="A3" s="67">
        <v>2</v>
      </c>
      <c r="B3" s="10" t="s">
        <v>62</v>
      </c>
      <c r="C3" s="11">
        <f>VLOOKUP(TBLKEBABSOSIZ[NAMA BAHAN],[2]!TBLREKAPBAHAN[[NAMA BAHAN]:[MODAL SATUAN]],2,FALSE)</f>
        <v>18000</v>
      </c>
      <c r="D3" s="11">
        <f>VLOOKUP(TBLKEBABSOSIZ[NAMA BAHAN],[2]!TBLREKAPBAHAN[[NAMA BAHAN]:[MODAL SATUAN]],3,FALSE)</f>
        <v>1000</v>
      </c>
      <c r="E3" s="12">
        <f>VLOOKUP(TBLKEBABSOSIZ[NAMA BAHAN],[2]!TBLREKAPBAHAN[[NAMA BAHAN]:[MODAL SATUAN]],4,FALSE)</f>
        <v>18</v>
      </c>
      <c r="F3" s="12">
        <f>VLOOKUP(TBLKEBABSOSIZ[NAMA BAHAN],[2]!TBLREKAPBAHAN[[NAMA BAHAN]:[MODAL SATUAN]],4,FALSE)</f>
        <v>18</v>
      </c>
      <c r="G3" s="68">
        <v>0</v>
      </c>
      <c r="H3" s="69">
        <f t="shared" si="0"/>
        <v>0</v>
      </c>
      <c r="I3" s="68">
        <v>20</v>
      </c>
      <c r="J3" s="69">
        <f>F3*I3</f>
        <v>360</v>
      </c>
      <c r="K3" s="70">
        <v>0</v>
      </c>
      <c r="L3" s="71">
        <f>F3*K3</f>
        <v>0</v>
      </c>
      <c r="M3" s="70">
        <v>20</v>
      </c>
      <c r="N3" s="71">
        <f>F3*M3</f>
        <v>360</v>
      </c>
      <c r="P3" s="144">
        <v>0</v>
      </c>
      <c r="Q3" s="145">
        <f>TBLKEBABSOSIZ[[#This Row],[MODAL SATUAN]]*P3</f>
        <v>0</v>
      </c>
    </row>
    <row r="4" spans="1:17" x14ac:dyDescent="0.25">
      <c r="A4" s="67">
        <v>3</v>
      </c>
      <c r="B4" s="10" t="s">
        <v>63</v>
      </c>
      <c r="C4" s="11">
        <f>VLOOKUP(TBLKEBABSOSIZ[NAMA BAHAN],[2]!TBLREKAPBAHAN[[NAMA BAHAN]:[MODAL SATUAN]],2,FALSE)</f>
        <v>12000</v>
      </c>
      <c r="D4" s="11">
        <f>VLOOKUP(TBLKEBABSOSIZ[NAMA BAHAN],[2]!TBLREKAPBAHAN[[NAMA BAHAN]:[MODAL SATUAN]],3,FALSE)</f>
        <v>250</v>
      </c>
      <c r="E4" s="12">
        <f>VLOOKUP(TBLKEBABSOSIZ[NAMA BAHAN],[2]!TBLREKAPBAHAN[[NAMA BAHAN]:[MODAL SATUAN]],4,FALSE)</f>
        <v>48</v>
      </c>
      <c r="F4" s="12">
        <f>VLOOKUP(TBLKEBABSOSIZ[NAMA BAHAN],[2]!TBLREKAPBAHAN[[NAMA BAHAN]:[MODAL SATUAN]],4,FALSE)</f>
        <v>48</v>
      </c>
      <c r="G4" s="68">
        <v>5</v>
      </c>
      <c r="H4" s="69">
        <f t="shared" si="0"/>
        <v>240</v>
      </c>
      <c r="I4" s="68">
        <v>5</v>
      </c>
      <c r="J4" s="69">
        <f t="shared" ref="J4:J13" si="1">F4*I4</f>
        <v>240</v>
      </c>
      <c r="K4" s="70">
        <v>5</v>
      </c>
      <c r="L4" s="71">
        <f t="shared" ref="L4:L13" si="2">F4*K4</f>
        <v>240</v>
      </c>
      <c r="M4" s="70">
        <v>5</v>
      </c>
      <c r="N4" s="71">
        <f t="shared" ref="N4:N13" si="3">F4*M4</f>
        <v>240</v>
      </c>
      <c r="P4" s="144">
        <v>5</v>
      </c>
      <c r="Q4" s="145">
        <f>TBLKEBABSOSIZ[[#This Row],[MODAL SATUAN]]*P4</f>
        <v>240</v>
      </c>
    </row>
    <row r="5" spans="1:17" x14ac:dyDescent="0.25">
      <c r="A5" s="67">
        <v>4</v>
      </c>
      <c r="B5" s="10" t="s">
        <v>64</v>
      </c>
      <c r="C5" s="11">
        <f>VLOOKUP(TBLKEBABSOSIZ[NAMA BAHAN],[2]!TBLREKAPBAHAN[[NAMA BAHAN]:[MODAL SATUAN]],2,FALSE)</f>
        <v>50000</v>
      </c>
      <c r="D5" s="11">
        <f>VLOOKUP(TBLKEBABSOSIZ[NAMA BAHAN],[2]!TBLREKAPBAHAN[[NAMA BAHAN]:[MODAL SATUAN]],3,FALSE)</f>
        <v>1000</v>
      </c>
      <c r="E5" s="12">
        <f>VLOOKUP(TBLKEBABSOSIZ[NAMA BAHAN],[2]!TBLREKAPBAHAN[[NAMA BAHAN]:[MODAL SATUAN]],4,FALSE)</f>
        <v>50</v>
      </c>
      <c r="F5" s="12">
        <f>VLOOKUP(TBLKEBABSOSIZ[NAMA BAHAN],[2]!TBLREKAPBAHAN[[NAMA BAHAN]:[MODAL SATUAN]],4,FALSE)</f>
        <v>50</v>
      </c>
      <c r="G5" s="68">
        <v>10</v>
      </c>
      <c r="H5" s="69">
        <f t="shared" si="0"/>
        <v>500</v>
      </c>
      <c r="I5" s="68">
        <v>7</v>
      </c>
      <c r="J5" s="69">
        <f t="shared" si="1"/>
        <v>350</v>
      </c>
      <c r="K5" s="70">
        <v>10</v>
      </c>
      <c r="L5" s="71">
        <f t="shared" si="2"/>
        <v>500</v>
      </c>
      <c r="M5" s="70">
        <v>7</v>
      </c>
      <c r="N5" s="71">
        <f t="shared" si="3"/>
        <v>350</v>
      </c>
      <c r="P5" s="144">
        <v>13</v>
      </c>
      <c r="Q5" s="145">
        <f>TBLKEBABSOSIZ[[#This Row],[MODAL SATUAN]]*P5</f>
        <v>650</v>
      </c>
    </row>
    <row r="6" spans="1:17" x14ac:dyDescent="0.25">
      <c r="A6" s="67">
        <v>5</v>
      </c>
      <c r="B6" s="10" t="s">
        <v>71</v>
      </c>
      <c r="C6" s="11">
        <f>VLOOKUP(TBLKEBABSOSIZ[NAMA BAHAN],[2]!TBLREKAPBAHAN[[NAMA BAHAN]:[MODAL SATUAN]],2,FALSE)</f>
        <v>12000</v>
      </c>
      <c r="D6" s="11">
        <f>VLOOKUP(TBLKEBABSOSIZ[NAMA BAHAN],[2]!TBLREKAPBAHAN[[NAMA BAHAN]:[MODAL SATUAN]],3,FALSE)</f>
        <v>250</v>
      </c>
      <c r="E6" s="12">
        <f>VLOOKUP(TBLKEBABSOSIZ[NAMA BAHAN],[2]!TBLREKAPBAHAN[[NAMA BAHAN]:[MODAL SATUAN]],4,FALSE)</f>
        <v>48</v>
      </c>
      <c r="F6" s="12">
        <f>VLOOKUP(TBLKEBABSOSIZ[NAMA BAHAN],[2]!TBLREKAPBAHAN[[NAMA BAHAN]:[MODAL SATUAN]],4,FALSE)</f>
        <v>48</v>
      </c>
      <c r="G6" s="68">
        <v>5</v>
      </c>
      <c r="H6" s="69">
        <f t="shared" si="0"/>
        <v>240</v>
      </c>
      <c r="I6" s="68">
        <v>5</v>
      </c>
      <c r="J6" s="69">
        <f t="shared" si="1"/>
        <v>240</v>
      </c>
      <c r="K6" s="70">
        <v>5</v>
      </c>
      <c r="L6" s="71">
        <f t="shared" si="2"/>
        <v>240</v>
      </c>
      <c r="M6" s="70">
        <v>5</v>
      </c>
      <c r="N6" s="71">
        <f t="shared" si="3"/>
        <v>240</v>
      </c>
      <c r="P6" s="144">
        <v>5</v>
      </c>
      <c r="Q6" s="145">
        <f>TBLKEBABSOSIZ[[#This Row],[MODAL SATUAN]]*P6</f>
        <v>240</v>
      </c>
    </row>
    <row r="7" spans="1:17" x14ac:dyDescent="0.25">
      <c r="A7" s="67">
        <v>6</v>
      </c>
      <c r="B7" s="10" t="s">
        <v>57</v>
      </c>
      <c r="C7" s="11">
        <f>VLOOKUP(TBLKEBABSOSIZ[NAMA BAHAN],[2]!TBLREKAPBAHAN[[NAMA BAHAN]:[MODAL SATUAN]],2,FALSE)</f>
        <v>35000</v>
      </c>
      <c r="D7" s="11">
        <f>VLOOKUP(TBLKEBABSOSIZ[NAMA BAHAN],[2]!TBLREKAPBAHAN[[NAMA BAHAN]:[MODAL SATUAN]],3,FALSE)</f>
        <v>38</v>
      </c>
      <c r="E7" s="12">
        <f>VLOOKUP(TBLKEBABSOSIZ[NAMA BAHAN],[2]!TBLREKAPBAHAN[[NAMA BAHAN]:[MODAL SATUAN]],4,FALSE)</f>
        <v>921.0526315789474</v>
      </c>
      <c r="F7" s="12">
        <f>VLOOKUP(TBLKEBABSOSIZ[NAMA BAHAN],[2]!TBLREKAPBAHAN[[NAMA BAHAN]:[MODAL SATUAN]],4,FALSE)</f>
        <v>921.0526315789474</v>
      </c>
      <c r="G7" s="68">
        <v>2</v>
      </c>
      <c r="H7" s="69">
        <f t="shared" si="0"/>
        <v>1842.1052631578948</v>
      </c>
      <c r="I7" s="68">
        <v>2</v>
      </c>
      <c r="J7" s="69">
        <f t="shared" si="1"/>
        <v>1842.1052631578948</v>
      </c>
      <c r="K7" s="70">
        <v>3</v>
      </c>
      <c r="L7" s="71">
        <f t="shared" si="2"/>
        <v>2763.1578947368421</v>
      </c>
      <c r="M7" s="70">
        <v>3</v>
      </c>
      <c r="N7" s="71">
        <f t="shared" si="3"/>
        <v>2763.1578947368421</v>
      </c>
      <c r="P7" s="144">
        <v>4</v>
      </c>
      <c r="Q7" s="145">
        <f>TBLKEBABSOSIZ[[#This Row],[MODAL SATUAN]]*P7</f>
        <v>3684.2105263157896</v>
      </c>
    </row>
    <row r="8" spans="1:17" x14ac:dyDescent="0.25">
      <c r="A8" s="67">
        <v>7</v>
      </c>
      <c r="B8" s="10" t="s">
        <v>189</v>
      </c>
      <c r="C8" s="11">
        <f>VLOOKUP(TBLKEBABSOSIZ[NAMA BAHAN],[2]!TBLREKAPBAHAN[[NAMA BAHAN]:[MODAL SATUAN]],2,FALSE)</f>
        <v>27000</v>
      </c>
      <c r="D8" s="11">
        <f>VLOOKUP(TBLKEBABSOSIZ[NAMA BAHAN],[2]!TBLREKAPBAHAN[[NAMA BAHAN]:[MODAL SATUAN]],3,FALSE)</f>
        <v>20</v>
      </c>
      <c r="E8" s="12">
        <f>VLOOKUP(TBLKEBABSOSIZ[NAMA BAHAN],[2]!TBLREKAPBAHAN[[NAMA BAHAN]:[MODAL SATUAN]],4,FALSE)</f>
        <v>1350</v>
      </c>
      <c r="F8" s="12">
        <f>VLOOKUP(TBLKEBABSOSIZ[NAMA BAHAN],[2]!TBLREKAPBAHAN[[NAMA BAHAN]:[MODAL SATUAN]],4,FALSE)</f>
        <v>1350</v>
      </c>
      <c r="G8" s="68">
        <v>1</v>
      </c>
      <c r="H8" s="69">
        <f t="shared" si="0"/>
        <v>1350</v>
      </c>
      <c r="I8" s="68">
        <v>1</v>
      </c>
      <c r="J8" s="69">
        <f t="shared" si="1"/>
        <v>1350</v>
      </c>
      <c r="K8" s="70">
        <v>1</v>
      </c>
      <c r="L8" s="71">
        <f t="shared" si="2"/>
        <v>1350</v>
      </c>
      <c r="M8" s="70">
        <v>1</v>
      </c>
      <c r="N8" s="71">
        <f t="shared" si="3"/>
        <v>1350</v>
      </c>
      <c r="P8" s="144">
        <v>1</v>
      </c>
      <c r="Q8" s="145">
        <f>TBLKEBABSOSIZ[[#This Row],[MODAL SATUAN]]*P8</f>
        <v>1350</v>
      </c>
    </row>
    <row r="9" spans="1:17" x14ac:dyDescent="0.25">
      <c r="A9" s="67">
        <v>8</v>
      </c>
      <c r="B9" s="10" t="s">
        <v>59</v>
      </c>
      <c r="C9" s="11">
        <f>VLOOKUP(TBLKEBABSOSIZ[NAMA BAHAN],[2]!TBLREKAPBAHAN[[NAMA BAHAN]:[MODAL SATUAN]],2,FALSE)</f>
        <v>60000</v>
      </c>
      <c r="D9" s="11">
        <f>VLOOKUP(TBLKEBABSOSIZ[NAMA BAHAN],[2]!TBLREKAPBAHAN[[NAMA BAHAN]:[MODAL SATUAN]],3,FALSE)</f>
        <v>50</v>
      </c>
      <c r="E9" s="12">
        <f>VLOOKUP(TBLKEBABSOSIZ[NAMA BAHAN],[2]!TBLREKAPBAHAN[[NAMA BAHAN]:[MODAL SATUAN]],4,FALSE)</f>
        <v>1200</v>
      </c>
      <c r="F9" s="12">
        <f>VLOOKUP(TBLKEBABSOSIZ[NAMA BAHAN],[2]!TBLREKAPBAHAN[[NAMA BAHAN]:[MODAL SATUAN]],4,FALSE)</f>
        <v>1200</v>
      </c>
      <c r="G9" s="68">
        <v>1</v>
      </c>
      <c r="H9" s="69">
        <f t="shared" si="0"/>
        <v>1200</v>
      </c>
      <c r="I9" s="68">
        <v>1</v>
      </c>
      <c r="J9" s="69">
        <f t="shared" si="1"/>
        <v>1200</v>
      </c>
      <c r="K9" s="70">
        <v>0</v>
      </c>
      <c r="L9" s="71">
        <f t="shared" si="2"/>
        <v>0</v>
      </c>
      <c r="M9" s="70">
        <v>0</v>
      </c>
      <c r="N9" s="71">
        <f t="shared" si="3"/>
        <v>0</v>
      </c>
      <c r="P9" s="144">
        <v>1</v>
      </c>
      <c r="Q9" s="145">
        <f>TBLKEBABSOSIZ[[#This Row],[MODAL SATUAN]]*P9</f>
        <v>1200</v>
      </c>
    </row>
    <row r="10" spans="1:17" x14ac:dyDescent="0.25">
      <c r="A10" s="67">
        <v>9</v>
      </c>
      <c r="B10" s="10" t="s">
        <v>54</v>
      </c>
      <c r="C10" s="11">
        <f>VLOOKUP(TBLKEBABSOSIZ[NAMA BAHAN],[2]!TBLREKAPBAHAN[[NAMA BAHAN]:[MODAL SATUAN]],2,FALSE)</f>
        <v>35000</v>
      </c>
      <c r="D10" s="11">
        <f>VLOOKUP(TBLKEBABSOSIZ[NAMA BAHAN],[2]!TBLREKAPBAHAN[[NAMA BAHAN]:[MODAL SATUAN]],3,FALSE)</f>
        <v>1000</v>
      </c>
      <c r="E10" s="12">
        <f>VLOOKUP(TBLKEBABSOSIZ[NAMA BAHAN],[2]!TBLREKAPBAHAN[[NAMA BAHAN]:[MODAL SATUAN]],4,FALSE)</f>
        <v>35</v>
      </c>
      <c r="F10" s="12">
        <f>VLOOKUP(TBLKEBABSOSIZ[NAMA BAHAN],[2]!TBLREKAPBAHAN[[NAMA BAHAN]:[MODAL SATUAN]],4,FALSE)</f>
        <v>35</v>
      </c>
      <c r="G10" s="68">
        <v>20</v>
      </c>
      <c r="H10" s="69">
        <f t="shared" si="0"/>
        <v>700</v>
      </c>
      <c r="I10" s="68">
        <v>20</v>
      </c>
      <c r="J10" s="69">
        <f t="shared" si="1"/>
        <v>700</v>
      </c>
      <c r="K10" s="70">
        <v>20</v>
      </c>
      <c r="L10" s="71">
        <f t="shared" si="2"/>
        <v>700</v>
      </c>
      <c r="M10" s="70">
        <v>20</v>
      </c>
      <c r="N10" s="71">
        <f t="shared" si="3"/>
        <v>700</v>
      </c>
      <c r="P10" s="144">
        <v>20</v>
      </c>
      <c r="Q10" s="145">
        <f>TBLKEBABSOSIZ[[#This Row],[MODAL SATUAN]]*P10</f>
        <v>700</v>
      </c>
    </row>
    <row r="11" spans="1:17" x14ac:dyDescent="0.25">
      <c r="A11" s="67">
        <v>10</v>
      </c>
      <c r="B11" s="10" t="s">
        <v>55</v>
      </c>
      <c r="C11" s="11">
        <f>VLOOKUP(TBLKEBABSOSIZ[NAMA BAHAN],[2]!TBLREKAPBAHAN[[NAMA BAHAN]:[MODAL SATUAN]],2,FALSE)</f>
        <v>23000</v>
      </c>
      <c r="D11" s="11">
        <f>VLOOKUP(TBLKEBABSOSIZ[NAMA BAHAN],[2]!TBLREKAPBAHAN[[NAMA BAHAN]:[MODAL SATUAN]],3,FALSE)</f>
        <v>3000</v>
      </c>
      <c r="E11" s="12">
        <f>VLOOKUP(TBLKEBABSOSIZ[NAMA BAHAN],[2]!TBLREKAPBAHAN[[NAMA BAHAN]:[MODAL SATUAN]],4,FALSE)</f>
        <v>7.666666666666667</v>
      </c>
      <c r="F11" s="12">
        <f>VLOOKUP(TBLKEBABSOSIZ[NAMA BAHAN],[2]!TBLREKAPBAHAN[[NAMA BAHAN]:[MODAL SATUAN]],4,FALSE)</f>
        <v>7.666666666666667</v>
      </c>
      <c r="G11" s="68">
        <v>20</v>
      </c>
      <c r="H11" s="69">
        <f t="shared" si="0"/>
        <v>153.33333333333334</v>
      </c>
      <c r="I11" s="68">
        <v>20</v>
      </c>
      <c r="J11" s="69">
        <f t="shared" si="1"/>
        <v>153.33333333333334</v>
      </c>
      <c r="K11" s="70">
        <v>20</v>
      </c>
      <c r="L11" s="71">
        <f t="shared" si="2"/>
        <v>153.33333333333334</v>
      </c>
      <c r="M11" s="70">
        <v>20</v>
      </c>
      <c r="N11" s="71">
        <f t="shared" si="3"/>
        <v>153.33333333333334</v>
      </c>
      <c r="P11" s="144">
        <v>20</v>
      </c>
      <c r="Q11" s="145">
        <f>TBLKEBABSOSIZ[[#This Row],[MODAL SATUAN]]*P11</f>
        <v>153.33333333333334</v>
      </c>
    </row>
    <row r="12" spans="1:17" x14ac:dyDescent="0.25">
      <c r="A12" s="67">
        <v>11</v>
      </c>
      <c r="B12" s="10" t="s">
        <v>73</v>
      </c>
      <c r="C12" s="11">
        <f>VLOOKUP(TBLKEBABSOSIZ[NAMA BAHAN],[2]!TBLREKAPBAHAN[[NAMA BAHAN]:[MODAL SATUAN]],2,FALSE)</f>
        <v>25000</v>
      </c>
      <c r="D12" s="11">
        <f>VLOOKUP(TBLKEBABSOSIZ[NAMA BAHAN],[2]!TBLREKAPBAHAN[[NAMA BAHAN]:[MODAL SATUAN]],3,FALSE)</f>
        <v>100</v>
      </c>
      <c r="E12" s="12">
        <f>VLOOKUP(TBLKEBABSOSIZ[NAMA BAHAN],[2]!TBLREKAPBAHAN[[NAMA BAHAN]:[MODAL SATUAN]],4,FALSE)</f>
        <v>250</v>
      </c>
      <c r="F12" s="12">
        <f>VLOOKUP(TBLKEBABSOSIZ[NAMA BAHAN],[2]!TBLREKAPBAHAN[[NAMA BAHAN]:[MODAL SATUAN]],4,FALSE)</f>
        <v>250</v>
      </c>
      <c r="G12" s="68">
        <v>1</v>
      </c>
      <c r="H12" s="69">
        <f t="shared" si="0"/>
        <v>250</v>
      </c>
      <c r="I12" s="68">
        <v>1</v>
      </c>
      <c r="J12" s="69">
        <f t="shared" si="1"/>
        <v>250</v>
      </c>
      <c r="K12" s="70">
        <v>1</v>
      </c>
      <c r="L12" s="71">
        <f t="shared" si="2"/>
        <v>250</v>
      </c>
      <c r="M12" s="70">
        <v>1</v>
      </c>
      <c r="N12" s="71">
        <f t="shared" si="3"/>
        <v>250</v>
      </c>
      <c r="P12" s="144">
        <v>1</v>
      </c>
      <c r="Q12" s="145">
        <f>TBLKEBABSOSIZ[[#This Row],[MODAL SATUAN]]*P12</f>
        <v>250</v>
      </c>
    </row>
    <row r="13" spans="1:17" x14ac:dyDescent="0.25">
      <c r="A13" s="67">
        <v>12</v>
      </c>
      <c r="B13" s="10" t="s">
        <v>52</v>
      </c>
      <c r="C13" s="11">
        <f>VLOOKUP(TBLKEBABSOSIZ[NAMA BAHAN],[2]!TBLREKAPBAHAN[[NAMA BAHAN]:[MODAL SATUAN]],2,FALSE)</f>
        <v>5500</v>
      </c>
      <c r="D13" s="11">
        <f>VLOOKUP(TBLKEBABSOSIZ[NAMA BAHAN],[2]!TBLREKAPBAHAN[[NAMA BAHAN]:[MODAL SATUAN]],3,FALSE)</f>
        <v>100</v>
      </c>
      <c r="E13" s="12">
        <f>VLOOKUP(TBLKEBABSOSIZ[NAMA BAHAN],[2]!TBLREKAPBAHAN[[NAMA BAHAN]:[MODAL SATUAN]],4,FALSE)</f>
        <v>55</v>
      </c>
      <c r="F13" s="12">
        <f>VLOOKUP(TBLKEBABSOSIZ[NAMA BAHAN],[2]!TBLREKAPBAHAN[[NAMA BAHAN]:[MODAL SATUAN]],4,FALSE)</f>
        <v>55</v>
      </c>
      <c r="G13" s="68">
        <v>1</v>
      </c>
      <c r="H13" s="69">
        <f t="shared" si="0"/>
        <v>55</v>
      </c>
      <c r="I13" s="68">
        <v>1</v>
      </c>
      <c r="J13" s="69">
        <f t="shared" si="1"/>
        <v>55</v>
      </c>
      <c r="K13" s="70">
        <v>1</v>
      </c>
      <c r="L13" s="71">
        <f t="shared" si="2"/>
        <v>55</v>
      </c>
      <c r="M13" s="70">
        <v>1</v>
      </c>
      <c r="N13" s="71">
        <f t="shared" si="3"/>
        <v>55</v>
      </c>
      <c r="P13" s="144">
        <v>1</v>
      </c>
      <c r="Q13" s="145">
        <f>TBLKEBABSOSIZ[[#This Row],[MODAL SATUAN]]*P13</f>
        <v>55</v>
      </c>
    </row>
    <row r="14" spans="1:17" s="17" customFormat="1" x14ac:dyDescent="0.25">
      <c r="A14" s="72"/>
      <c r="B14" s="147" t="s">
        <v>20</v>
      </c>
      <c r="C14" s="147"/>
      <c r="D14" s="147"/>
      <c r="E14" s="147"/>
      <c r="F14" s="147"/>
      <c r="G14" s="15"/>
      <c r="H14" s="16">
        <f>SUM(H2:H13)</f>
        <v>6730.4385964912281</v>
      </c>
      <c r="I14" s="15"/>
      <c r="J14" s="16">
        <f>SUM(J2:J13)</f>
        <v>6740.4385964912281</v>
      </c>
      <c r="K14" s="73"/>
      <c r="L14" s="74">
        <f>SUM(L2:L13)</f>
        <v>6451.4912280701747</v>
      </c>
      <c r="M14" s="73"/>
      <c r="N14" s="74">
        <f>SUM(N2:N13)</f>
        <v>6461.4912280701747</v>
      </c>
      <c r="Q14" s="146">
        <f>SUM(Q2:Q13)</f>
        <v>8782.543859649124</v>
      </c>
    </row>
  </sheetData>
  <mergeCells count="1">
    <mergeCell ref="B14:F14"/>
  </mergeCells>
  <pageMargins left="0.70866141732283472" right="0.70866141732283472" top="0.74803149606299213" bottom="0.74803149606299213" header="0.31496062992125984" footer="0.31496062992125984"/>
  <pageSetup scale="60" fitToWidth="0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zoomScale="60" zoomScaleNormal="60" workbookViewId="0">
      <selection activeCell="J7" sqref="J7"/>
    </sheetView>
  </sheetViews>
  <sheetFormatPr defaultRowHeight="15" x14ac:dyDescent="0.25"/>
  <cols>
    <col min="1" max="1" width="14.7109375" style="127" customWidth="1"/>
    <col min="2" max="2" width="29.28515625" style="9" customWidth="1"/>
    <col min="3" max="3" width="15.7109375" style="1" customWidth="1"/>
    <col min="4" max="4" width="12.42578125" style="1" customWidth="1"/>
    <col min="5" max="5" width="12" style="47" customWidth="1"/>
    <col min="6" max="6" width="23" style="1" customWidth="1"/>
    <col min="7" max="7" width="17.5703125" style="1" customWidth="1"/>
    <col min="8" max="8" width="7.7109375" style="18" customWidth="1"/>
    <col min="9" max="9" width="28.7109375" style="1" customWidth="1"/>
    <col min="10" max="10" width="8.140625" style="18" customWidth="1"/>
    <col min="11" max="11" width="28.7109375" style="9" customWidth="1"/>
    <col min="12" max="12" width="8.140625" style="18" customWidth="1"/>
    <col min="13" max="13" width="28.85546875" style="1" customWidth="1"/>
    <col min="14" max="14" width="8.140625" style="18" customWidth="1"/>
    <col min="15" max="15" width="24.140625" style="9" customWidth="1"/>
    <col min="16" max="16" width="9.140625" style="9"/>
    <col min="17" max="17" width="9.140625" style="9" customWidth="1"/>
    <col min="18" max="16384" width="9.140625" style="9"/>
  </cols>
  <sheetData>
    <row r="1" spans="1:15" s="108" customFormat="1" ht="69.75" customHeight="1" x14ac:dyDescent="0.25">
      <c r="A1" s="128" t="s">
        <v>90</v>
      </c>
      <c r="B1" s="128" t="s">
        <v>0</v>
      </c>
      <c r="C1" s="129" t="s">
        <v>4</v>
      </c>
      <c r="D1" s="129" t="s">
        <v>3</v>
      </c>
      <c r="E1" s="129" t="s">
        <v>19</v>
      </c>
      <c r="F1" s="129" t="s">
        <v>1</v>
      </c>
      <c r="G1" s="129" t="s">
        <v>2</v>
      </c>
      <c r="H1" s="130" t="s">
        <v>5</v>
      </c>
      <c r="I1" s="131" t="s">
        <v>166</v>
      </c>
      <c r="J1" s="130" t="s">
        <v>146</v>
      </c>
      <c r="K1" s="131" t="s">
        <v>168</v>
      </c>
      <c r="L1" s="106" t="s">
        <v>149</v>
      </c>
      <c r="M1" s="107" t="s">
        <v>169</v>
      </c>
      <c r="N1" s="106" t="s">
        <v>150</v>
      </c>
      <c r="O1" s="107" t="s">
        <v>171</v>
      </c>
    </row>
    <row r="2" spans="1:15" x14ac:dyDescent="0.25">
      <c r="A2" s="127">
        <v>1</v>
      </c>
      <c r="B2" s="10" t="s">
        <v>37</v>
      </c>
      <c r="C2" s="11">
        <f>VLOOKUP(TBLKEBABAYAMMEDIUM[NAMA BAHAN],[2]!TBLREKAPBAHAN[[NAMA BAHAN]:[MODAL SATUAN]],2,FALSE)</f>
        <v>20000</v>
      </c>
      <c r="D2" s="11">
        <f>VLOOKUP(TBLKEBABAYAMMEDIUM[NAMA BAHAN],[2]!TBLREKAPBAHAN[[NAMA BAHAN]:[MODAL SATUAN]],3,FALSE)</f>
        <v>1000</v>
      </c>
      <c r="E2" s="42" t="s">
        <v>36</v>
      </c>
      <c r="F2" s="12">
        <f>VLOOKUP(TBLKEBABAYAMMEDIUM[NAMA BAHAN],[2]!TBLREKAPBAHAN[[NAMA BAHAN]:[MODAL SATUAN]],4,FALSE)</f>
        <v>20</v>
      </c>
      <c r="G2" s="12">
        <f>VLOOKUP(TBLKEBABAYAMMEDIUM[NAMA BAHAN],[2]!TBLREKAPBAHAN[[NAMA BAHAN]:[MODAL SATUAN]],4,FALSE)</f>
        <v>20</v>
      </c>
      <c r="H2" s="77">
        <v>15</v>
      </c>
      <c r="I2" s="78">
        <f t="shared" ref="I2:I13" si="0">G2*H2</f>
        <v>300</v>
      </c>
      <c r="J2" s="77">
        <v>0</v>
      </c>
      <c r="K2" s="78">
        <f t="shared" ref="K2:K13" si="1">G2*J2</f>
        <v>0</v>
      </c>
      <c r="L2" s="70">
        <v>15</v>
      </c>
      <c r="M2" s="71">
        <f t="shared" ref="M2:M13" si="2">G2*L2</f>
        <v>300</v>
      </c>
      <c r="N2" s="70">
        <v>15</v>
      </c>
      <c r="O2" s="71">
        <f t="shared" ref="O2:O13" si="3">G2*N2</f>
        <v>300</v>
      </c>
    </row>
    <row r="3" spans="1:15" x14ac:dyDescent="0.25">
      <c r="A3" s="127">
        <v>2</v>
      </c>
      <c r="B3" s="10" t="s">
        <v>62</v>
      </c>
      <c r="C3" s="11">
        <f>VLOOKUP(TBLKEBABAYAMMEDIUM[NAMA BAHAN],[2]!TBLREKAPBAHAN[[NAMA BAHAN]:[MODAL SATUAN]],2,FALSE)</f>
        <v>18000</v>
      </c>
      <c r="D3" s="11">
        <f>VLOOKUP(TBLKEBABAYAMMEDIUM[NAMA BAHAN],[2]!TBLREKAPBAHAN[[NAMA BAHAN]:[MODAL SATUAN]],3,FALSE)</f>
        <v>1000</v>
      </c>
      <c r="E3" s="42" t="s">
        <v>36</v>
      </c>
      <c r="F3" s="12">
        <f>VLOOKUP(TBLKEBABAYAMMEDIUM[NAMA BAHAN],[2]!TBLREKAPBAHAN[[NAMA BAHAN]:[MODAL SATUAN]],4,FALSE)</f>
        <v>18</v>
      </c>
      <c r="G3" s="12">
        <f>VLOOKUP(TBLKEBABAYAMMEDIUM[NAMA BAHAN],[2]!TBLREKAPBAHAN[[NAMA BAHAN]:[MODAL SATUAN]],4,FALSE)</f>
        <v>18</v>
      </c>
      <c r="H3" s="77">
        <v>0</v>
      </c>
      <c r="I3" s="78">
        <f t="shared" si="0"/>
        <v>0</v>
      </c>
      <c r="J3" s="77">
        <v>25</v>
      </c>
      <c r="K3" s="78">
        <f t="shared" si="1"/>
        <v>450</v>
      </c>
      <c r="L3" s="70">
        <v>0</v>
      </c>
      <c r="M3" s="71">
        <f t="shared" si="2"/>
        <v>0</v>
      </c>
      <c r="N3" s="70">
        <v>0</v>
      </c>
      <c r="O3" s="71">
        <f t="shared" si="3"/>
        <v>0</v>
      </c>
    </row>
    <row r="4" spans="1:15" x14ac:dyDescent="0.25">
      <c r="A4" s="127">
        <v>3</v>
      </c>
      <c r="B4" s="10" t="s">
        <v>63</v>
      </c>
      <c r="C4" s="11">
        <f>VLOOKUP(TBLKEBABAYAMMEDIUM[NAMA BAHAN],[2]!TBLREKAPBAHAN[[NAMA BAHAN]:[MODAL SATUAN]],2,FALSE)</f>
        <v>12000</v>
      </c>
      <c r="D4" s="11">
        <f>VLOOKUP(TBLKEBABAYAMMEDIUM[NAMA BAHAN],[2]!TBLREKAPBAHAN[[NAMA BAHAN]:[MODAL SATUAN]],3,FALSE)</f>
        <v>250</v>
      </c>
      <c r="E4" s="42" t="s">
        <v>36</v>
      </c>
      <c r="F4" s="12">
        <f>VLOOKUP(TBLKEBABAYAMMEDIUM[NAMA BAHAN],[2]!TBLREKAPBAHAN[[NAMA BAHAN]:[MODAL SATUAN]],4,FALSE)</f>
        <v>48</v>
      </c>
      <c r="G4" s="12">
        <f>VLOOKUP(TBLKEBABAYAMMEDIUM[NAMA BAHAN],[2]!TBLREKAPBAHAN[[NAMA BAHAN]:[MODAL SATUAN]],4,FALSE)</f>
        <v>48</v>
      </c>
      <c r="H4" s="77">
        <v>7</v>
      </c>
      <c r="I4" s="78">
        <f t="shared" si="0"/>
        <v>336</v>
      </c>
      <c r="J4" s="77">
        <v>7</v>
      </c>
      <c r="K4" s="78">
        <f t="shared" si="1"/>
        <v>336</v>
      </c>
      <c r="L4" s="70">
        <v>7</v>
      </c>
      <c r="M4" s="71">
        <f t="shared" si="2"/>
        <v>336</v>
      </c>
      <c r="N4" s="70">
        <v>7</v>
      </c>
      <c r="O4" s="71">
        <f t="shared" si="3"/>
        <v>336</v>
      </c>
    </row>
    <row r="5" spans="1:15" x14ac:dyDescent="0.25">
      <c r="A5" s="127">
        <v>4</v>
      </c>
      <c r="B5" s="10" t="s">
        <v>64</v>
      </c>
      <c r="C5" s="11">
        <f>VLOOKUP(TBLKEBABAYAMMEDIUM[NAMA BAHAN],[2]!TBLREKAPBAHAN[[NAMA BAHAN]:[MODAL SATUAN]],2,FALSE)</f>
        <v>50000</v>
      </c>
      <c r="D5" s="11">
        <f>VLOOKUP(TBLKEBABAYAMMEDIUM[NAMA BAHAN],[2]!TBLREKAPBAHAN[[NAMA BAHAN]:[MODAL SATUAN]],3,FALSE)</f>
        <v>1000</v>
      </c>
      <c r="E5" s="42" t="s">
        <v>36</v>
      </c>
      <c r="F5" s="12">
        <f>VLOOKUP(TBLKEBABAYAMMEDIUM[NAMA BAHAN],[2]!TBLREKAPBAHAN[[NAMA BAHAN]:[MODAL SATUAN]],4,FALSE)</f>
        <v>50</v>
      </c>
      <c r="G5" s="12">
        <f>VLOOKUP(TBLKEBABAYAMMEDIUM[NAMA BAHAN],[2]!TBLREKAPBAHAN[[NAMA BAHAN]:[MODAL SATUAN]],4,FALSE)</f>
        <v>50</v>
      </c>
      <c r="H5" s="77">
        <v>15</v>
      </c>
      <c r="I5" s="78">
        <f t="shared" si="0"/>
        <v>750</v>
      </c>
      <c r="J5" s="77">
        <v>10</v>
      </c>
      <c r="K5" s="78">
        <f t="shared" si="1"/>
        <v>500</v>
      </c>
      <c r="L5" s="70">
        <v>15</v>
      </c>
      <c r="M5" s="71">
        <f t="shared" si="2"/>
        <v>750</v>
      </c>
      <c r="N5" s="70">
        <v>15</v>
      </c>
      <c r="O5" s="71">
        <f t="shared" si="3"/>
        <v>750</v>
      </c>
    </row>
    <row r="6" spans="1:15" x14ac:dyDescent="0.25">
      <c r="A6" s="127">
        <v>5</v>
      </c>
      <c r="B6" s="10" t="s">
        <v>71</v>
      </c>
      <c r="C6" s="11">
        <f>VLOOKUP(TBLKEBABAYAMMEDIUM[NAMA BAHAN],[2]!TBLREKAPBAHAN[[NAMA BAHAN]:[MODAL SATUAN]],2,FALSE)</f>
        <v>12000</v>
      </c>
      <c r="D6" s="11">
        <f>VLOOKUP(TBLKEBABAYAMMEDIUM[NAMA BAHAN],[2]!TBLREKAPBAHAN[[NAMA BAHAN]:[MODAL SATUAN]],3,FALSE)</f>
        <v>250</v>
      </c>
      <c r="E6" s="42" t="s">
        <v>36</v>
      </c>
      <c r="F6" s="12">
        <f>VLOOKUP(TBLKEBABAYAMMEDIUM[NAMA BAHAN],[2]!TBLREKAPBAHAN[[NAMA BAHAN]:[MODAL SATUAN]],4,FALSE)</f>
        <v>48</v>
      </c>
      <c r="G6" s="12">
        <f>VLOOKUP(TBLKEBABAYAMMEDIUM[NAMA BAHAN],[2]!TBLREKAPBAHAN[[NAMA BAHAN]:[MODAL SATUAN]],4,FALSE)</f>
        <v>48</v>
      </c>
      <c r="H6" s="77">
        <v>7</v>
      </c>
      <c r="I6" s="78">
        <f t="shared" si="0"/>
        <v>336</v>
      </c>
      <c r="J6" s="77">
        <v>7</v>
      </c>
      <c r="K6" s="78">
        <f t="shared" si="1"/>
        <v>336</v>
      </c>
      <c r="L6" s="70">
        <v>7</v>
      </c>
      <c r="M6" s="71">
        <f t="shared" si="2"/>
        <v>336</v>
      </c>
      <c r="N6" s="70">
        <v>7</v>
      </c>
      <c r="O6" s="71">
        <f t="shared" si="3"/>
        <v>336</v>
      </c>
    </row>
    <row r="7" spans="1:15" x14ac:dyDescent="0.25">
      <c r="A7" s="127">
        <v>6</v>
      </c>
      <c r="B7" s="10" t="s">
        <v>58</v>
      </c>
      <c r="C7" s="11">
        <f>VLOOKUP(TBLKEBABAYAMMEDIUM[NAMA BAHAN],[2]!TBLREKAPBAHAN[[NAMA BAHAN]:[MODAL SATUAN]],2,FALSE)</f>
        <v>45000</v>
      </c>
      <c r="D7" s="11">
        <f>VLOOKUP(TBLKEBABAYAMMEDIUM[NAMA BAHAN],[2]!TBLREKAPBAHAN[[NAMA BAHAN]:[MODAL SATUAN]],3,FALSE)</f>
        <v>400</v>
      </c>
      <c r="E7" s="42" t="s">
        <v>36</v>
      </c>
      <c r="F7" s="12">
        <f>VLOOKUP(TBLKEBABAYAMMEDIUM[NAMA BAHAN],[2]!TBLREKAPBAHAN[[NAMA BAHAN]:[MODAL SATUAN]],4,FALSE)</f>
        <v>112.5</v>
      </c>
      <c r="G7" s="12">
        <f>VLOOKUP(TBLKEBABAYAMMEDIUM[NAMA BAHAN],[2]!TBLREKAPBAHAN[[NAMA BAHAN]:[MODAL SATUAN]],4,FALSE)</f>
        <v>112.5</v>
      </c>
      <c r="H7" s="77">
        <v>30</v>
      </c>
      <c r="I7" s="78">
        <f t="shared" si="0"/>
        <v>3375</v>
      </c>
      <c r="J7" s="77">
        <v>30</v>
      </c>
      <c r="K7" s="78">
        <f t="shared" si="1"/>
        <v>3375</v>
      </c>
      <c r="L7" s="70">
        <v>35</v>
      </c>
      <c r="M7" s="71">
        <f t="shared" si="2"/>
        <v>3937.5</v>
      </c>
      <c r="N7" s="70">
        <v>35</v>
      </c>
      <c r="O7" s="71">
        <f t="shared" si="3"/>
        <v>3937.5</v>
      </c>
    </row>
    <row r="8" spans="1:15" x14ac:dyDescent="0.25">
      <c r="A8" s="127">
        <v>7</v>
      </c>
      <c r="B8" s="10" t="s">
        <v>72</v>
      </c>
      <c r="C8" s="11">
        <f>VLOOKUP(TBLKEBABAYAMMEDIUM[NAMA BAHAN],[2]!TBLREKAPBAHAN[[NAMA BAHAN]:[MODAL SATUAN]],2,FALSE)</f>
        <v>29000</v>
      </c>
      <c r="D8" s="11">
        <f>VLOOKUP(TBLKEBABAYAMMEDIUM[NAMA BAHAN],[2]!TBLREKAPBAHAN[[NAMA BAHAN]:[MODAL SATUAN]],3,FALSE)</f>
        <v>20</v>
      </c>
      <c r="E8" s="42" t="s">
        <v>26</v>
      </c>
      <c r="F8" s="12">
        <f>VLOOKUP(TBLKEBABAYAMMEDIUM[NAMA BAHAN],[2]!TBLREKAPBAHAN[[NAMA BAHAN]:[MODAL SATUAN]],4,FALSE)</f>
        <v>1450</v>
      </c>
      <c r="G8" s="12">
        <f>VLOOKUP(TBLKEBABAYAMMEDIUM[NAMA BAHAN],[2]!TBLREKAPBAHAN[[NAMA BAHAN]:[MODAL SATUAN]],4,FALSE)</f>
        <v>1450</v>
      </c>
      <c r="H8" s="77">
        <v>1</v>
      </c>
      <c r="I8" s="78">
        <f t="shared" si="0"/>
        <v>1450</v>
      </c>
      <c r="J8" s="77">
        <v>1</v>
      </c>
      <c r="K8" s="78">
        <f t="shared" si="1"/>
        <v>1450</v>
      </c>
      <c r="L8" s="70">
        <v>1</v>
      </c>
      <c r="M8" s="71">
        <f t="shared" si="2"/>
        <v>1450</v>
      </c>
      <c r="N8" s="70">
        <v>1</v>
      </c>
      <c r="O8" s="71">
        <f t="shared" si="3"/>
        <v>1450</v>
      </c>
    </row>
    <row r="9" spans="1:15" x14ac:dyDescent="0.25">
      <c r="A9" s="127">
        <v>8</v>
      </c>
      <c r="B9" s="10" t="s">
        <v>59</v>
      </c>
      <c r="C9" s="11">
        <f>VLOOKUP(TBLKEBABAYAMMEDIUM[NAMA BAHAN],[2]!TBLREKAPBAHAN[[NAMA BAHAN]:[MODAL SATUAN]],2,FALSE)</f>
        <v>60000</v>
      </c>
      <c r="D9" s="11">
        <f>VLOOKUP(TBLKEBABAYAMMEDIUM[NAMA BAHAN],[2]!TBLREKAPBAHAN[[NAMA BAHAN]:[MODAL SATUAN]],3,FALSE)</f>
        <v>50</v>
      </c>
      <c r="E9" s="42" t="s">
        <v>23</v>
      </c>
      <c r="F9" s="12">
        <f>VLOOKUP(TBLKEBABAYAMMEDIUM[NAMA BAHAN],[2]!TBLREKAPBAHAN[[NAMA BAHAN]:[MODAL SATUAN]],4,FALSE)</f>
        <v>1200</v>
      </c>
      <c r="G9" s="12">
        <f>VLOOKUP(TBLKEBABAYAMMEDIUM[NAMA BAHAN],[2]!TBLREKAPBAHAN[[NAMA BAHAN]:[MODAL SATUAN]],4,FALSE)</f>
        <v>1200</v>
      </c>
      <c r="H9" s="77">
        <v>1</v>
      </c>
      <c r="I9" s="78">
        <f t="shared" si="0"/>
        <v>1200</v>
      </c>
      <c r="J9" s="77">
        <v>1</v>
      </c>
      <c r="K9" s="78">
        <f t="shared" si="1"/>
        <v>1200</v>
      </c>
      <c r="L9" s="70">
        <v>0</v>
      </c>
      <c r="M9" s="71">
        <f t="shared" si="2"/>
        <v>0</v>
      </c>
      <c r="N9" s="70">
        <v>0</v>
      </c>
      <c r="O9" s="71">
        <f t="shared" si="3"/>
        <v>0</v>
      </c>
    </row>
    <row r="10" spans="1:15" x14ac:dyDescent="0.25">
      <c r="A10" s="127">
        <v>9</v>
      </c>
      <c r="B10" s="10" t="s">
        <v>54</v>
      </c>
      <c r="C10" s="11">
        <f>VLOOKUP(TBLKEBABAYAMMEDIUM[NAMA BAHAN],[2]!TBLREKAPBAHAN[[NAMA BAHAN]:[MODAL SATUAN]],2,FALSE)</f>
        <v>35000</v>
      </c>
      <c r="D10" s="11">
        <f>VLOOKUP(TBLKEBABAYAMMEDIUM[NAMA BAHAN],[2]!TBLREKAPBAHAN[[NAMA BAHAN]:[MODAL SATUAN]],3,FALSE)</f>
        <v>1000</v>
      </c>
      <c r="E10" s="42" t="s">
        <v>36</v>
      </c>
      <c r="F10" s="12">
        <f>VLOOKUP(TBLKEBABAYAMMEDIUM[NAMA BAHAN],[2]!TBLREKAPBAHAN[[NAMA BAHAN]:[MODAL SATUAN]],4,FALSE)</f>
        <v>35</v>
      </c>
      <c r="G10" s="12">
        <f>VLOOKUP(TBLKEBABAYAMMEDIUM[NAMA BAHAN],[2]!TBLREKAPBAHAN[[NAMA BAHAN]:[MODAL SATUAN]],4,FALSE)</f>
        <v>35</v>
      </c>
      <c r="H10" s="77">
        <v>10</v>
      </c>
      <c r="I10" s="78">
        <f t="shared" si="0"/>
        <v>350</v>
      </c>
      <c r="J10" s="77">
        <v>10</v>
      </c>
      <c r="K10" s="78">
        <f t="shared" si="1"/>
        <v>350</v>
      </c>
      <c r="L10" s="70">
        <v>10</v>
      </c>
      <c r="M10" s="71">
        <f t="shared" si="2"/>
        <v>350</v>
      </c>
      <c r="N10" s="70">
        <v>10</v>
      </c>
      <c r="O10" s="71">
        <f t="shared" si="3"/>
        <v>350</v>
      </c>
    </row>
    <row r="11" spans="1:15" x14ac:dyDescent="0.25">
      <c r="A11" s="127">
        <v>10</v>
      </c>
      <c r="B11" s="10" t="s">
        <v>55</v>
      </c>
      <c r="C11" s="11">
        <f>VLOOKUP(TBLKEBABAYAMMEDIUM[NAMA BAHAN],[2]!TBLREKAPBAHAN[[NAMA BAHAN]:[MODAL SATUAN]],2,FALSE)</f>
        <v>23000</v>
      </c>
      <c r="D11" s="11">
        <f>VLOOKUP(TBLKEBABAYAMMEDIUM[NAMA BAHAN],[2]!TBLREKAPBAHAN[[NAMA BAHAN]:[MODAL SATUAN]],3,FALSE)</f>
        <v>3000</v>
      </c>
      <c r="E11" s="42" t="s">
        <v>36</v>
      </c>
      <c r="F11" s="12">
        <f>VLOOKUP(TBLKEBABAYAMMEDIUM[NAMA BAHAN],[2]!TBLREKAPBAHAN[[NAMA BAHAN]:[MODAL SATUAN]],4,FALSE)</f>
        <v>7.666666666666667</v>
      </c>
      <c r="G11" s="12">
        <f>VLOOKUP(TBLKEBABAYAMMEDIUM[NAMA BAHAN],[2]!TBLREKAPBAHAN[[NAMA BAHAN]:[MODAL SATUAN]],4,FALSE)</f>
        <v>7.666666666666667</v>
      </c>
      <c r="H11" s="77">
        <v>10</v>
      </c>
      <c r="I11" s="78">
        <f t="shared" si="0"/>
        <v>76.666666666666671</v>
      </c>
      <c r="J11" s="77">
        <v>10</v>
      </c>
      <c r="K11" s="78">
        <f t="shared" si="1"/>
        <v>76.666666666666671</v>
      </c>
      <c r="L11" s="70">
        <v>10</v>
      </c>
      <c r="M11" s="71">
        <f t="shared" si="2"/>
        <v>76.666666666666671</v>
      </c>
      <c r="N11" s="70">
        <v>10</v>
      </c>
      <c r="O11" s="71">
        <f t="shared" si="3"/>
        <v>76.666666666666671</v>
      </c>
    </row>
    <row r="12" spans="1:15" x14ac:dyDescent="0.25">
      <c r="A12" s="135">
        <v>11</v>
      </c>
      <c r="B12" s="10" t="s">
        <v>73</v>
      </c>
      <c r="C12" s="11">
        <f>VLOOKUP(TBLKEBABAYAMMEDIUM[NAMA BAHAN],[2]!TBLREKAPBAHAN[[NAMA BAHAN]:[MODAL SATUAN]],2,FALSE)</f>
        <v>25000</v>
      </c>
      <c r="D12" s="11">
        <f>VLOOKUP(TBLKEBABAYAMMEDIUM[NAMA BAHAN],[2]!TBLREKAPBAHAN[[NAMA BAHAN]:[MODAL SATUAN]],3,FALSE)</f>
        <v>100</v>
      </c>
      <c r="E12" s="42" t="s">
        <v>30</v>
      </c>
      <c r="F12" s="12">
        <f>VLOOKUP(TBLKEBABAYAMMEDIUM[NAMA BAHAN],[2]!TBLREKAPBAHAN[[NAMA BAHAN]:[MODAL SATUAN]],4,FALSE)</f>
        <v>250</v>
      </c>
      <c r="G12" s="12">
        <f>VLOOKUP(TBLKEBABAYAMMEDIUM[NAMA BAHAN],[2]!TBLREKAPBAHAN[[NAMA BAHAN]:[MODAL SATUAN]],4,FALSE)</f>
        <v>250</v>
      </c>
      <c r="H12" s="77">
        <v>1</v>
      </c>
      <c r="I12" s="78">
        <f t="shared" si="0"/>
        <v>250</v>
      </c>
      <c r="J12" s="77">
        <v>1</v>
      </c>
      <c r="K12" s="78">
        <f t="shared" si="1"/>
        <v>250</v>
      </c>
      <c r="L12" s="70">
        <v>1</v>
      </c>
      <c r="M12" s="71">
        <f t="shared" si="2"/>
        <v>250</v>
      </c>
      <c r="N12" s="70">
        <v>1</v>
      </c>
      <c r="O12" s="71">
        <f t="shared" si="3"/>
        <v>250</v>
      </c>
    </row>
    <row r="13" spans="1:15" x14ac:dyDescent="0.25">
      <c r="A13" s="135">
        <v>12</v>
      </c>
      <c r="B13" s="10" t="s">
        <v>52</v>
      </c>
      <c r="C13" s="11">
        <f>VLOOKUP(TBLKEBABAYAMMEDIUM[NAMA BAHAN],[2]!TBLREKAPBAHAN[[NAMA BAHAN]:[MODAL SATUAN]],2,FALSE)</f>
        <v>5500</v>
      </c>
      <c r="D13" s="11">
        <f>VLOOKUP(TBLKEBABAYAMMEDIUM[NAMA BAHAN],[2]!TBLREKAPBAHAN[[NAMA BAHAN]:[MODAL SATUAN]],3,FALSE)</f>
        <v>100</v>
      </c>
      <c r="E13" s="42" t="s">
        <v>30</v>
      </c>
      <c r="F13" s="12">
        <f>VLOOKUP(TBLKEBABAYAMMEDIUM[NAMA BAHAN],[2]!TBLREKAPBAHAN[[NAMA BAHAN]:[MODAL SATUAN]],4,FALSE)</f>
        <v>55</v>
      </c>
      <c r="G13" s="12">
        <f>VLOOKUP(TBLKEBABAYAMMEDIUM[NAMA BAHAN],[2]!TBLREKAPBAHAN[[NAMA BAHAN]:[MODAL SATUAN]],4,FALSE)</f>
        <v>55</v>
      </c>
      <c r="H13" s="77">
        <v>1</v>
      </c>
      <c r="I13" s="78">
        <f t="shared" si="0"/>
        <v>55</v>
      </c>
      <c r="J13" s="77">
        <v>1</v>
      </c>
      <c r="K13" s="78">
        <f t="shared" si="1"/>
        <v>55</v>
      </c>
      <c r="L13" s="70">
        <v>1</v>
      </c>
      <c r="M13" s="71">
        <f t="shared" si="2"/>
        <v>55</v>
      </c>
      <c r="N13" s="70">
        <v>1</v>
      </c>
      <c r="O13" s="71">
        <f t="shared" si="3"/>
        <v>55</v>
      </c>
    </row>
    <row r="14" spans="1:15" s="17" customFormat="1" ht="15.75" customHeight="1" x14ac:dyDescent="0.25">
      <c r="A14" s="126"/>
      <c r="B14" s="147" t="s">
        <v>20</v>
      </c>
      <c r="C14" s="147"/>
      <c r="D14" s="147"/>
      <c r="E14" s="147"/>
      <c r="F14" s="147"/>
      <c r="G14" s="147"/>
      <c r="H14" s="79"/>
      <c r="I14" s="80">
        <f>SUM(I2:I13)</f>
        <v>8478.6666666666679</v>
      </c>
      <c r="J14" s="79"/>
      <c r="K14" s="80">
        <f>SUM(K2:K13)</f>
        <v>8378.6666666666679</v>
      </c>
      <c r="L14" s="73"/>
      <c r="M14" s="74">
        <f>SUM(M2:M13)</f>
        <v>7841.166666666667</v>
      </c>
      <c r="N14" s="73"/>
      <c r="O14" s="74">
        <f>SUM(O2:O13)</f>
        <v>7841.166666666667</v>
      </c>
    </row>
    <row r="17" spans="1:15" s="127" customFormat="1" ht="15" customHeight="1" x14ac:dyDescent="0.25">
      <c r="B17" s="9"/>
      <c r="C17" s="1"/>
      <c r="D17" s="1"/>
      <c r="E17" s="47"/>
      <c r="F17" s="1"/>
      <c r="G17" s="1"/>
      <c r="H17" s="18"/>
      <c r="I17" s="1"/>
      <c r="J17" s="18"/>
      <c r="K17" s="9"/>
      <c r="L17" s="18"/>
      <c r="M17" s="1"/>
      <c r="N17" s="18"/>
      <c r="O17" s="9"/>
    </row>
    <row r="25" spans="1:15" s="108" customFormat="1" ht="30" x14ac:dyDescent="0.25">
      <c r="A25" s="128" t="s">
        <v>90</v>
      </c>
      <c r="B25" s="128" t="s">
        <v>0</v>
      </c>
      <c r="C25" s="129" t="s">
        <v>4</v>
      </c>
      <c r="D25" s="129" t="s">
        <v>3</v>
      </c>
      <c r="E25" s="129" t="s">
        <v>19</v>
      </c>
      <c r="F25" s="129" t="s">
        <v>1</v>
      </c>
      <c r="G25" s="129" t="s">
        <v>2</v>
      </c>
      <c r="H25" s="130" t="s">
        <v>5</v>
      </c>
      <c r="I25" s="131" t="s">
        <v>167</v>
      </c>
      <c r="J25" s="130" t="s">
        <v>146</v>
      </c>
      <c r="K25" s="131" t="s">
        <v>165</v>
      </c>
      <c r="L25" s="106" t="s">
        <v>149</v>
      </c>
      <c r="M25" s="107" t="s">
        <v>172</v>
      </c>
      <c r="N25" s="106" t="s">
        <v>150</v>
      </c>
      <c r="O25" s="107" t="s">
        <v>173</v>
      </c>
    </row>
    <row r="26" spans="1:15" x14ac:dyDescent="0.25">
      <c r="A26" s="127">
        <v>1</v>
      </c>
      <c r="B26" s="10" t="s">
        <v>37</v>
      </c>
      <c r="C26" s="11">
        <f>VLOOKUP(TBLKEBABAYAMMINI[NAMA BAHAN],[2]!TBLREKAPBAHAN[[NAMA BAHAN]:[MODAL SATUAN]],2,FALSE)</f>
        <v>20000</v>
      </c>
      <c r="D26" s="11">
        <f>VLOOKUP(TBLKEBABAYAMMINI[NAMA BAHAN],[2]!TBLREKAPBAHAN[[NAMA BAHAN]:[MODAL SATUAN]],3,FALSE)</f>
        <v>1000</v>
      </c>
      <c r="E26" s="42" t="s">
        <v>36</v>
      </c>
      <c r="F26" s="12">
        <f>VLOOKUP(TBLKEBABAYAMMINI[NAMA BAHAN],[2]!TBLREKAPBAHAN[[NAMA BAHAN]:[MODAL SATUAN]],4,FALSE)</f>
        <v>20</v>
      </c>
      <c r="G26" s="12">
        <f>VLOOKUP(TBLKEBABAYAMMINI[NAMA BAHAN],[2]!TBLREKAPBAHAN[[NAMA BAHAN]:[MODAL SATUAN]],4,FALSE)</f>
        <v>20</v>
      </c>
      <c r="H26" s="77">
        <v>10</v>
      </c>
      <c r="I26" s="78">
        <f t="shared" ref="I26:I37" si="4">G26*H26</f>
        <v>200</v>
      </c>
      <c r="J26" s="77">
        <v>0</v>
      </c>
      <c r="K26" s="78">
        <f t="shared" ref="K26:K37" si="5">G26*J26</f>
        <v>0</v>
      </c>
      <c r="L26" s="70">
        <v>10</v>
      </c>
      <c r="M26" s="71">
        <f t="shared" ref="M26:M37" si="6">G26*L26</f>
        <v>200</v>
      </c>
      <c r="N26" s="70">
        <v>0</v>
      </c>
      <c r="O26" s="71">
        <f t="shared" ref="O26:O37" si="7">G26*N26</f>
        <v>0</v>
      </c>
    </row>
    <row r="27" spans="1:15" x14ac:dyDescent="0.25">
      <c r="A27" s="127">
        <v>2</v>
      </c>
      <c r="B27" s="10" t="s">
        <v>62</v>
      </c>
      <c r="C27" s="11">
        <f>VLOOKUP(TBLKEBABAYAMMINI[NAMA BAHAN],[2]!TBLREKAPBAHAN[[NAMA BAHAN]:[MODAL SATUAN]],2,FALSE)</f>
        <v>18000</v>
      </c>
      <c r="D27" s="11">
        <f>VLOOKUP(TBLKEBABAYAMMINI[NAMA BAHAN],[2]!TBLREKAPBAHAN[[NAMA BAHAN]:[MODAL SATUAN]],3,FALSE)</f>
        <v>1000</v>
      </c>
      <c r="E27" s="42" t="s">
        <v>36</v>
      </c>
      <c r="F27" s="12">
        <f>VLOOKUP(TBLKEBABAYAMMINI[NAMA BAHAN],[2]!TBLREKAPBAHAN[[NAMA BAHAN]:[MODAL SATUAN]],4,FALSE)</f>
        <v>18</v>
      </c>
      <c r="G27" s="12">
        <f>VLOOKUP(TBLKEBABAYAMMINI[NAMA BAHAN],[2]!TBLREKAPBAHAN[[NAMA BAHAN]:[MODAL SATUAN]],4,FALSE)</f>
        <v>18</v>
      </c>
      <c r="H27" s="77">
        <v>0</v>
      </c>
      <c r="I27" s="78">
        <f t="shared" si="4"/>
        <v>0</v>
      </c>
      <c r="J27" s="77">
        <v>25</v>
      </c>
      <c r="K27" s="78">
        <f t="shared" si="5"/>
        <v>450</v>
      </c>
      <c r="L27" s="70">
        <v>0</v>
      </c>
      <c r="M27" s="71">
        <f t="shared" si="6"/>
        <v>0</v>
      </c>
      <c r="N27" s="70">
        <v>25</v>
      </c>
      <c r="O27" s="71">
        <f t="shared" si="7"/>
        <v>450</v>
      </c>
    </row>
    <row r="28" spans="1:15" x14ac:dyDescent="0.25">
      <c r="A28" s="127">
        <v>3</v>
      </c>
      <c r="B28" s="10" t="s">
        <v>63</v>
      </c>
      <c r="C28" s="11">
        <f>VLOOKUP(TBLKEBABAYAMMINI[NAMA BAHAN],[2]!TBLREKAPBAHAN[[NAMA BAHAN]:[MODAL SATUAN]],2,FALSE)</f>
        <v>12000</v>
      </c>
      <c r="D28" s="11">
        <f>VLOOKUP(TBLKEBABAYAMMINI[NAMA BAHAN],[2]!TBLREKAPBAHAN[[NAMA BAHAN]:[MODAL SATUAN]],3,FALSE)</f>
        <v>250</v>
      </c>
      <c r="E28" s="42" t="s">
        <v>36</v>
      </c>
      <c r="F28" s="12">
        <f>VLOOKUP(TBLKEBABAYAMMINI[NAMA BAHAN],[2]!TBLREKAPBAHAN[[NAMA BAHAN]:[MODAL SATUAN]],4,FALSE)</f>
        <v>48</v>
      </c>
      <c r="G28" s="12">
        <f>VLOOKUP(TBLKEBABAYAMMINI[NAMA BAHAN],[2]!TBLREKAPBAHAN[[NAMA BAHAN]:[MODAL SATUAN]],4,FALSE)</f>
        <v>48</v>
      </c>
      <c r="H28" s="77">
        <v>5</v>
      </c>
      <c r="I28" s="78">
        <f t="shared" si="4"/>
        <v>240</v>
      </c>
      <c r="J28" s="77">
        <v>7</v>
      </c>
      <c r="K28" s="78">
        <f t="shared" si="5"/>
        <v>336</v>
      </c>
      <c r="L28" s="70">
        <v>5</v>
      </c>
      <c r="M28" s="71">
        <f t="shared" si="6"/>
        <v>240</v>
      </c>
      <c r="N28" s="70">
        <v>7</v>
      </c>
      <c r="O28" s="71">
        <f t="shared" si="7"/>
        <v>336</v>
      </c>
    </row>
    <row r="29" spans="1:15" x14ac:dyDescent="0.25">
      <c r="A29" s="127">
        <v>4</v>
      </c>
      <c r="B29" s="10" t="s">
        <v>64</v>
      </c>
      <c r="C29" s="11">
        <f>VLOOKUP(TBLKEBABAYAMMINI[NAMA BAHAN],[2]!TBLREKAPBAHAN[[NAMA BAHAN]:[MODAL SATUAN]],2,FALSE)</f>
        <v>50000</v>
      </c>
      <c r="D29" s="11">
        <f>VLOOKUP(TBLKEBABAYAMMINI[NAMA BAHAN],[2]!TBLREKAPBAHAN[[NAMA BAHAN]:[MODAL SATUAN]],3,FALSE)</f>
        <v>1000</v>
      </c>
      <c r="E29" s="42" t="s">
        <v>36</v>
      </c>
      <c r="F29" s="12">
        <f>VLOOKUP(TBLKEBABAYAMMINI[NAMA BAHAN],[2]!TBLREKAPBAHAN[[NAMA BAHAN]:[MODAL SATUAN]],4,FALSE)</f>
        <v>50</v>
      </c>
      <c r="G29" s="12">
        <f>VLOOKUP(TBLKEBABAYAMMINI[NAMA BAHAN],[2]!TBLREKAPBAHAN[[NAMA BAHAN]:[MODAL SATUAN]],4,FALSE)</f>
        <v>50</v>
      </c>
      <c r="H29" s="77">
        <v>10</v>
      </c>
      <c r="I29" s="78">
        <f t="shared" si="4"/>
        <v>500</v>
      </c>
      <c r="J29" s="77">
        <v>10</v>
      </c>
      <c r="K29" s="78">
        <f t="shared" si="5"/>
        <v>500</v>
      </c>
      <c r="L29" s="70">
        <v>10</v>
      </c>
      <c r="M29" s="71">
        <f t="shared" si="6"/>
        <v>500</v>
      </c>
      <c r="N29" s="70">
        <v>10</v>
      </c>
      <c r="O29" s="71">
        <f t="shared" si="7"/>
        <v>500</v>
      </c>
    </row>
    <row r="30" spans="1:15" x14ac:dyDescent="0.25">
      <c r="A30" s="127">
        <v>5</v>
      </c>
      <c r="B30" s="10" t="s">
        <v>71</v>
      </c>
      <c r="C30" s="11">
        <f>VLOOKUP(TBLKEBABAYAMMINI[NAMA BAHAN],[2]!TBLREKAPBAHAN[[NAMA BAHAN]:[MODAL SATUAN]],2,FALSE)</f>
        <v>12000</v>
      </c>
      <c r="D30" s="11">
        <f>VLOOKUP(TBLKEBABAYAMMINI[NAMA BAHAN],[2]!TBLREKAPBAHAN[[NAMA BAHAN]:[MODAL SATUAN]],3,FALSE)</f>
        <v>250</v>
      </c>
      <c r="E30" s="42" t="s">
        <v>36</v>
      </c>
      <c r="F30" s="12">
        <f>VLOOKUP(TBLKEBABAYAMMINI[NAMA BAHAN],[2]!TBLREKAPBAHAN[[NAMA BAHAN]:[MODAL SATUAN]],4,FALSE)</f>
        <v>48</v>
      </c>
      <c r="G30" s="12">
        <f>VLOOKUP(TBLKEBABAYAMMINI[NAMA BAHAN],[2]!TBLREKAPBAHAN[[NAMA BAHAN]:[MODAL SATUAN]],4,FALSE)</f>
        <v>48</v>
      </c>
      <c r="H30" s="77">
        <v>5</v>
      </c>
      <c r="I30" s="78">
        <f t="shared" si="4"/>
        <v>240</v>
      </c>
      <c r="J30" s="77">
        <v>5</v>
      </c>
      <c r="K30" s="78">
        <f t="shared" si="5"/>
        <v>240</v>
      </c>
      <c r="L30" s="70">
        <v>5</v>
      </c>
      <c r="M30" s="71">
        <f t="shared" si="6"/>
        <v>240</v>
      </c>
      <c r="N30" s="70">
        <v>5</v>
      </c>
      <c r="O30" s="71">
        <f t="shared" si="7"/>
        <v>240</v>
      </c>
    </row>
    <row r="31" spans="1:15" x14ac:dyDescent="0.25">
      <c r="A31" s="127">
        <v>6</v>
      </c>
      <c r="B31" s="10" t="s">
        <v>58</v>
      </c>
      <c r="C31" s="11">
        <f>VLOOKUP(TBLKEBABAYAMMINI[NAMA BAHAN],[2]!TBLREKAPBAHAN[[NAMA BAHAN]:[MODAL SATUAN]],2,FALSE)</f>
        <v>45000</v>
      </c>
      <c r="D31" s="11">
        <f>VLOOKUP(TBLKEBABAYAMMINI[NAMA BAHAN],[2]!TBLREKAPBAHAN[[NAMA BAHAN]:[MODAL SATUAN]],3,FALSE)</f>
        <v>400</v>
      </c>
      <c r="E31" s="42" t="s">
        <v>36</v>
      </c>
      <c r="F31" s="12">
        <f>VLOOKUP(TBLKEBABAYAMMINI[NAMA BAHAN],[2]!TBLREKAPBAHAN[[NAMA BAHAN]:[MODAL SATUAN]],4,FALSE)</f>
        <v>112.5</v>
      </c>
      <c r="G31" s="12">
        <f>VLOOKUP(TBLKEBABAYAMMINI[NAMA BAHAN],[2]!TBLREKAPBAHAN[[NAMA BAHAN]:[MODAL SATUAN]],4,FALSE)</f>
        <v>112.5</v>
      </c>
      <c r="H31" s="77">
        <v>20</v>
      </c>
      <c r="I31" s="78">
        <f t="shared" si="4"/>
        <v>2250</v>
      </c>
      <c r="J31" s="77">
        <v>20</v>
      </c>
      <c r="K31" s="78">
        <f t="shared" si="5"/>
        <v>2250</v>
      </c>
      <c r="L31" s="70">
        <v>25</v>
      </c>
      <c r="M31" s="71">
        <f t="shared" si="6"/>
        <v>2812.5</v>
      </c>
      <c r="N31" s="70">
        <v>25</v>
      </c>
      <c r="O31" s="71">
        <f t="shared" si="7"/>
        <v>2812.5</v>
      </c>
    </row>
    <row r="32" spans="1:15" x14ac:dyDescent="0.25">
      <c r="A32" s="127">
        <v>7</v>
      </c>
      <c r="B32" s="2" t="s">
        <v>189</v>
      </c>
      <c r="C32" s="11">
        <f>VLOOKUP(TBLKEBABAYAMMINI[NAMA BAHAN],[2]!TBLREKAPBAHAN[[NAMA BAHAN]:[MODAL SATUAN]],2,FALSE)</f>
        <v>27000</v>
      </c>
      <c r="D32" s="11">
        <f>VLOOKUP(TBLKEBABAYAMMINI[NAMA BAHAN],[2]!TBLREKAPBAHAN[[NAMA BAHAN]:[MODAL SATUAN]],3,FALSE)</f>
        <v>20</v>
      </c>
      <c r="E32" s="42" t="s">
        <v>26</v>
      </c>
      <c r="F32" s="12">
        <f>VLOOKUP(TBLKEBABAYAMMINI[NAMA BAHAN],[2]!TBLREKAPBAHAN[[NAMA BAHAN]:[MODAL SATUAN]],4,FALSE)</f>
        <v>1350</v>
      </c>
      <c r="G32" s="12">
        <f>VLOOKUP(TBLKEBABAYAMMINI[NAMA BAHAN],[2]!TBLREKAPBAHAN[[NAMA BAHAN]:[MODAL SATUAN]],4,FALSE)</f>
        <v>1350</v>
      </c>
      <c r="H32" s="77">
        <v>1</v>
      </c>
      <c r="I32" s="78">
        <f t="shared" si="4"/>
        <v>1350</v>
      </c>
      <c r="J32" s="77">
        <v>1</v>
      </c>
      <c r="K32" s="78">
        <f t="shared" si="5"/>
        <v>1350</v>
      </c>
      <c r="L32" s="70">
        <v>1</v>
      </c>
      <c r="M32" s="71">
        <f t="shared" si="6"/>
        <v>1350</v>
      </c>
      <c r="N32" s="70">
        <v>1</v>
      </c>
      <c r="O32" s="71">
        <f t="shared" si="7"/>
        <v>1350</v>
      </c>
    </row>
    <row r="33" spans="1:15" x14ac:dyDescent="0.25">
      <c r="A33" s="127">
        <v>8</v>
      </c>
      <c r="B33" s="10" t="s">
        <v>59</v>
      </c>
      <c r="C33" s="11">
        <f>VLOOKUP(TBLKEBABAYAMMINI[NAMA BAHAN],[2]!TBLREKAPBAHAN[[NAMA BAHAN]:[MODAL SATUAN]],2,FALSE)</f>
        <v>60000</v>
      </c>
      <c r="D33" s="11">
        <f>VLOOKUP(TBLKEBABAYAMMINI[NAMA BAHAN],[2]!TBLREKAPBAHAN[[NAMA BAHAN]:[MODAL SATUAN]],3,FALSE)</f>
        <v>50</v>
      </c>
      <c r="E33" s="42" t="s">
        <v>23</v>
      </c>
      <c r="F33" s="12">
        <f>VLOOKUP(TBLKEBABAYAMMINI[NAMA BAHAN],[2]!TBLREKAPBAHAN[[NAMA BAHAN]:[MODAL SATUAN]],4,FALSE)</f>
        <v>1200</v>
      </c>
      <c r="G33" s="12">
        <f>VLOOKUP(TBLKEBABAYAMMINI[NAMA BAHAN],[2]!TBLREKAPBAHAN[[NAMA BAHAN]:[MODAL SATUAN]],4,FALSE)</f>
        <v>1200</v>
      </c>
      <c r="H33" s="77">
        <v>1</v>
      </c>
      <c r="I33" s="78">
        <f t="shared" si="4"/>
        <v>1200</v>
      </c>
      <c r="J33" s="77">
        <v>1</v>
      </c>
      <c r="K33" s="78">
        <f t="shared" si="5"/>
        <v>1200</v>
      </c>
      <c r="L33" s="70">
        <v>0</v>
      </c>
      <c r="M33" s="71">
        <f t="shared" si="6"/>
        <v>0</v>
      </c>
      <c r="N33" s="70">
        <v>0</v>
      </c>
      <c r="O33" s="71">
        <f t="shared" si="7"/>
        <v>0</v>
      </c>
    </row>
    <row r="34" spans="1:15" x14ac:dyDescent="0.25">
      <c r="A34" s="127">
        <v>9</v>
      </c>
      <c r="B34" s="10" t="s">
        <v>54</v>
      </c>
      <c r="C34" s="11">
        <f>VLOOKUP(TBLKEBABAYAMMINI[NAMA BAHAN],[2]!TBLREKAPBAHAN[[NAMA BAHAN]:[MODAL SATUAN]],2,FALSE)</f>
        <v>35000</v>
      </c>
      <c r="D34" s="11">
        <f>VLOOKUP(TBLKEBABAYAMMINI[NAMA BAHAN],[2]!TBLREKAPBAHAN[[NAMA BAHAN]:[MODAL SATUAN]],3,FALSE)</f>
        <v>1000</v>
      </c>
      <c r="E34" s="42" t="s">
        <v>36</v>
      </c>
      <c r="F34" s="12">
        <f>VLOOKUP(TBLKEBABAYAMMINI[NAMA BAHAN],[2]!TBLREKAPBAHAN[[NAMA BAHAN]:[MODAL SATUAN]],4,FALSE)</f>
        <v>35</v>
      </c>
      <c r="G34" s="12">
        <f>VLOOKUP(TBLKEBABAYAMMINI[NAMA BAHAN],[2]!TBLREKAPBAHAN[[NAMA BAHAN]:[MODAL SATUAN]],4,FALSE)</f>
        <v>35</v>
      </c>
      <c r="H34" s="77">
        <v>10</v>
      </c>
      <c r="I34" s="78">
        <f t="shared" si="4"/>
        <v>350</v>
      </c>
      <c r="J34" s="77">
        <v>10</v>
      </c>
      <c r="K34" s="78">
        <f t="shared" si="5"/>
        <v>350</v>
      </c>
      <c r="L34" s="70">
        <v>10</v>
      </c>
      <c r="M34" s="71">
        <f t="shared" si="6"/>
        <v>350</v>
      </c>
      <c r="N34" s="70">
        <v>10</v>
      </c>
      <c r="O34" s="71">
        <f t="shared" si="7"/>
        <v>350</v>
      </c>
    </row>
    <row r="35" spans="1:15" x14ac:dyDescent="0.25">
      <c r="A35" s="127">
        <v>10</v>
      </c>
      <c r="B35" s="10" t="s">
        <v>55</v>
      </c>
      <c r="C35" s="11">
        <f>VLOOKUP(TBLKEBABAYAMMINI[NAMA BAHAN],[2]!TBLREKAPBAHAN[[NAMA BAHAN]:[MODAL SATUAN]],2,FALSE)</f>
        <v>23000</v>
      </c>
      <c r="D35" s="11">
        <f>VLOOKUP(TBLKEBABAYAMMINI[NAMA BAHAN],[2]!TBLREKAPBAHAN[[NAMA BAHAN]:[MODAL SATUAN]],3,FALSE)</f>
        <v>3000</v>
      </c>
      <c r="E35" s="42" t="s">
        <v>36</v>
      </c>
      <c r="F35" s="12">
        <f>VLOOKUP(TBLKEBABAYAMMINI[NAMA BAHAN],[2]!TBLREKAPBAHAN[[NAMA BAHAN]:[MODAL SATUAN]],4,FALSE)</f>
        <v>7.666666666666667</v>
      </c>
      <c r="G35" s="12">
        <f>VLOOKUP(TBLKEBABAYAMMINI[NAMA BAHAN],[2]!TBLREKAPBAHAN[[NAMA BAHAN]:[MODAL SATUAN]],4,FALSE)</f>
        <v>7.666666666666667</v>
      </c>
      <c r="H35" s="77">
        <v>10</v>
      </c>
      <c r="I35" s="78">
        <f t="shared" si="4"/>
        <v>76.666666666666671</v>
      </c>
      <c r="J35" s="77">
        <v>10</v>
      </c>
      <c r="K35" s="78">
        <f t="shared" si="5"/>
        <v>76.666666666666671</v>
      </c>
      <c r="L35" s="70">
        <v>10</v>
      </c>
      <c r="M35" s="71">
        <f t="shared" si="6"/>
        <v>76.666666666666671</v>
      </c>
      <c r="N35" s="70">
        <v>10</v>
      </c>
      <c r="O35" s="71">
        <f t="shared" si="7"/>
        <v>76.666666666666671</v>
      </c>
    </row>
    <row r="36" spans="1:15" x14ac:dyDescent="0.25">
      <c r="A36" s="135">
        <v>11</v>
      </c>
      <c r="B36" s="10" t="s">
        <v>73</v>
      </c>
      <c r="C36" s="11">
        <f>VLOOKUP(TBLKEBABAYAMMINI[NAMA BAHAN],[2]!TBLREKAPBAHAN[[NAMA BAHAN]:[MODAL SATUAN]],2,FALSE)</f>
        <v>25000</v>
      </c>
      <c r="D36" s="11">
        <f>VLOOKUP(TBLKEBABAYAMMINI[NAMA BAHAN],[2]!TBLREKAPBAHAN[[NAMA BAHAN]:[MODAL SATUAN]],3,FALSE)</f>
        <v>100</v>
      </c>
      <c r="E36" s="42" t="s">
        <v>30</v>
      </c>
      <c r="F36" s="12">
        <f>VLOOKUP(TBLKEBABAYAMMINI[NAMA BAHAN],[2]!TBLREKAPBAHAN[[NAMA BAHAN]:[MODAL SATUAN]],4,FALSE)</f>
        <v>250</v>
      </c>
      <c r="G36" s="12">
        <f>VLOOKUP(TBLKEBABAYAMMINI[NAMA BAHAN],[2]!TBLREKAPBAHAN[[NAMA BAHAN]:[MODAL SATUAN]],4,FALSE)</f>
        <v>250</v>
      </c>
      <c r="H36" s="77">
        <v>1</v>
      </c>
      <c r="I36" s="78">
        <f t="shared" si="4"/>
        <v>250</v>
      </c>
      <c r="J36" s="77">
        <v>1</v>
      </c>
      <c r="K36" s="78">
        <f t="shared" si="5"/>
        <v>250</v>
      </c>
      <c r="L36" s="70">
        <v>1</v>
      </c>
      <c r="M36" s="71">
        <f t="shared" si="6"/>
        <v>250</v>
      </c>
      <c r="N36" s="70">
        <v>1</v>
      </c>
      <c r="O36" s="71">
        <f t="shared" si="7"/>
        <v>250</v>
      </c>
    </row>
    <row r="37" spans="1:15" x14ac:dyDescent="0.25">
      <c r="A37" s="135">
        <v>12</v>
      </c>
      <c r="B37" s="10" t="s">
        <v>52</v>
      </c>
      <c r="C37" s="11">
        <f>VLOOKUP(TBLKEBABAYAMMINI[NAMA BAHAN],[2]!TBLREKAPBAHAN[[NAMA BAHAN]:[MODAL SATUAN]],2,FALSE)</f>
        <v>5500</v>
      </c>
      <c r="D37" s="11">
        <f>VLOOKUP(TBLKEBABAYAMMINI[NAMA BAHAN],[2]!TBLREKAPBAHAN[[NAMA BAHAN]:[MODAL SATUAN]],3,FALSE)</f>
        <v>100</v>
      </c>
      <c r="E37" s="42" t="s">
        <v>30</v>
      </c>
      <c r="F37" s="12">
        <f>VLOOKUP(TBLKEBABAYAMMINI[NAMA BAHAN],[2]!TBLREKAPBAHAN[[NAMA BAHAN]:[MODAL SATUAN]],4,FALSE)</f>
        <v>55</v>
      </c>
      <c r="G37" s="12">
        <f>VLOOKUP(TBLKEBABAYAMMINI[NAMA BAHAN],[2]!TBLREKAPBAHAN[[NAMA BAHAN]:[MODAL SATUAN]],4,FALSE)</f>
        <v>55</v>
      </c>
      <c r="H37" s="77">
        <v>1</v>
      </c>
      <c r="I37" s="78">
        <f t="shared" si="4"/>
        <v>55</v>
      </c>
      <c r="J37" s="77">
        <v>1</v>
      </c>
      <c r="K37" s="78">
        <f t="shared" si="5"/>
        <v>55</v>
      </c>
      <c r="L37" s="70">
        <v>1</v>
      </c>
      <c r="M37" s="71">
        <f t="shared" si="6"/>
        <v>55</v>
      </c>
      <c r="N37" s="70">
        <v>1</v>
      </c>
      <c r="O37" s="71">
        <f t="shared" si="7"/>
        <v>55</v>
      </c>
    </row>
    <row r="38" spans="1:15" x14ac:dyDescent="0.25">
      <c r="A38" s="126"/>
      <c r="B38" s="147" t="s">
        <v>20</v>
      </c>
      <c r="C38" s="147"/>
      <c r="D38" s="147"/>
      <c r="E38" s="147"/>
      <c r="F38" s="147"/>
      <c r="G38" s="147"/>
      <c r="H38" s="79"/>
      <c r="I38" s="80">
        <f>SUM(I26:I37)</f>
        <v>6711.666666666667</v>
      </c>
      <c r="J38" s="79"/>
      <c r="K38" s="80">
        <f>SUM(K26:K37)</f>
        <v>7057.666666666667</v>
      </c>
      <c r="L38" s="73"/>
      <c r="M38" s="74">
        <f>SUM(M26:M37)</f>
        <v>6074.166666666667</v>
      </c>
      <c r="N38" s="73"/>
      <c r="O38" s="74">
        <f>SUM(O26:O37)</f>
        <v>6420.166666666667</v>
      </c>
    </row>
  </sheetData>
  <mergeCells count="2">
    <mergeCell ref="B14:G14"/>
    <mergeCell ref="B38:G38"/>
  </mergeCells>
  <pageMargins left="0.70866141732283472" right="0.70866141732283472" top="0.74803149606299213" bottom="0.74803149606299213" header="0.31496062992125984" footer="0.31496062992125984"/>
  <pageSetup paperSize="5" scale="60" fitToWidth="0" fitToHeight="0" orientation="landscape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zoomScale="80" zoomScaleNormal="80" workbookViewId="0">
      <selection activeCell="G3" sqref="G3"/>
    </sheetView>
  </sheetViews>
  <sheetFormatPr defaultRowHeight="15" x14ac:dyDescent="0.25"/>
  <cols>
    <col min="1" max="1" width="15.5703125" style="34" customWidth="1"/>
    <col min="2" max="2" width="29.28515625" style="9" customWidth="1"/>
    <col min="3" max="3" width="16.42578125" style="1" customWidth="1"/>
    <col min="4" max="4" width="12.42578125" style="1" customWidth="1"/>
    <col min="5" max="5" width="12" style="47" customWidth="1"/>
    <col min="6" max="6" width="24.42578125" style="1" customWidth="1"/>
    <col min="7" max="7" width="18" style="1" customWidth="1"/>
    <col min="8" max="8" width="7.7109375" style="18" customWidth="1"/>
    <col min="9" max="9" width="22.5703125" style="1" customWidth="1"/>
    <col min="10" max="10" width="8.42578125" style="18" customWidth="1"/>
    <col min="11" max="11" width="30.42578125" style="9" customWidth="1"/>
    <col min="12" max="12" width="8.42578125" style="18" customWidth="1"/>
    <col min="13" max="13" width="50.5703125" style="1" customWidth="1"/>
    <col min="14" max="14" width="8.42578125" style="18" customWidth="1"/>
    <col min="15" max="15" width="50.42578125" style="9" customWidth="1"/>
    <col min="16" max="16384" width="9.140625" style="9"/>
  </cols>
  <sheetData>
    <row r="1" spans="1:15" ht="69.75" customHeight="1" x14ac:dyDescent="0.25">
      <c r="A1" s="34" t="s">
        <v>90</v>
      </c>
      <c r="B1" s="34" t="s">
        <v>0</v>
      </c>
      <c r="C1" s="62" t="s">
        <v>4</v>
      </c>
      <c r="D1" s="62" t="s">
        <v>3</v>
      </c>
      <c r="E1" s="62" t="s">
        <v>19</v>
      </c>
      <c r="F1" s="62" t="s">
        <v>1</v>
      </c>
      <c r="G1" s="62" t="s">
        <v>2</v>
      </c>
      <c r="H1" s="75" t="s">
        <v>5</v>
      </c>
      <c r="I1" s="76" t="s">
        <v>93</v>
      </c>
      <c r="J1" s="75" t="s">
        <v>146</v>
      </c>
      <c r="K1" s="76" t="s">
        <v>94</v>
      </c>
      <c r="L1" s="65" t="s">
        <v>147</v>
      </c>
      <c r="M1" s="66" t="s">
        <v>95</v>
      </c>
      <c r="N1" s="65" t="s">
        <v>148</v>
      </c>
      <c r="O1" s="66" t="s">
        <v>96</v>
      </c>
    </row>
    <row r="2" spans="1:15" x14ac:dyDescent="0.25">
      <c r="A2" s="34">
        <v>1</v>
      </c>
      <c r="B2" s="10" t="s">
        <v>37</v>
      </c>
      <c r="C2" s="11">
        <f>VLOOKUP(TBLKEBABSOSYAMKECIL[NAMA BAHAN],[2]!TBLREKAPBAHAN[[NAMA BAHAN]:[MODAL SATUAN]],2,FALSE)</f>
        <v>20000</v>
      </c>
      <c r="D2" s="11">
        <f>VLOOKUP(TBLKEBABSOSYAMKECIL[NAMA BAHAN],[2]!TBLREKAPBAHAN[[NAMA BAHAN]:[MODAL SATUAN]],3,FALSE)</f>
        <v>1000</v>
      </c>
      <c r="E2" s="42" t="s">
        <v>36</v>
      </c>
      <c r="F2" s="12">
        <f>VLOOKUP(TBLKEBABSOSYAMKECIL[NAMA BAHAN],[2]!TBLREKAPBAHAN[[NAMA BAHAN]:[MODAL SATUAN]],4,FALSE)</f>
        <v>20</v>
      </c>
      <c r="G2" s="12">
        <f>VLOOKUP(TBLKEBABSOSYAMKECIL[NAMA BAHAN],[2]!TBLREKAPBAHAN[[NAMA BAHAN]:[MODAL SATUAN]],4,FALSE)</f>
        <v>20</v>
      </c>
      <c r="H2" s="77">
        <v>10</v>
      </c>
      <c r="I2" s="78">
        <f t="shared" ref="I2:I14" si="0">G2*H2</f>
        <v>200</v>
      </c>
      <c r="J2" s="77">
        <v>0</v>
      </c>
      <c r="K2" s="78">
        <f t="shared" ref="K2:K9" si="1">G2*J2</f>
        <v>0</v>
      </c>
      <c r="L2" s="70">
        <v>10</v>
      </c>
      <c r="M2" s="71">
        <f>G2*L2</f>
        <v>200</v>
      </c>
      <c r="N2" s="70">
        <v>10</v>
      </c>
      <c r="O2" s="71">
        <f t="shared" ref="O2:O7" si="2">G2*N2</f>
        <v>200</v>
      </c>
    </row>
    <row r="3" spans="1:15" x14ac:dyDescent="0.25">
      <c r="A3" s="34">
        <v>2</v>
      </c>
      <c r="B3" s="10" t="s">
        <v>62</v>
      </c>
      <c r="C3" s="11">
        <f>VLOOKUP(TBLKEBABSOSYAMKECIL[NAMA BAHAN],[2]!TBLREKAPBAHAN[[NAMA BAHAN]:[MODAL SATUAN]],2,FALSE)</f>
        <v>18000</v>
      </c>
      <c r="D3" s="11">
        <f>VLOOKUP(TBLKEBABSOSYAMKECIL[NAMA BAHAN],[2]!TBLREKAPBAHAN[[NAMA BAHAN]:[MODAL SATUAN]],3,FALSE)</f>
        <v>1000</v>
      </c>
      <c r="E3" s="42" t="s">
        <v>36</v>
      </c>
      <c r="F3" s="12">
        <f>VLOOKUP(TBLKEBABSOSYAMKECIL[NAMA BAHAN],[2]!TBLREKAPBAHAN[[NAMA BAHAN]:[MODAL SATUAN]],4,FALSE)</f>
        <v>18</v>
      </c>
      <c r="G3" s="12">
        <f>VLOOKUP(TBLKEBABSOSYAMKECIL[NAMA BAHAN],[2]!TBLREKAPBAHAN[[NAMA BAHAN]:[MODAL SATUAN]],4,FALSE)</f>
        <v>18</v>
      </c>
      <c r="H3" s="77">
        <v>0</v>
      </c>
      <c r="I3" s="78">
        <f t="shared" si="0"/>
        <v>0</v>
      </c>
      <c r="J3" s="77">
        <v>15</v>
      </c>
      <c r="K3" s="78">
        <f t="shared" si="1"/>
        <v>270</v>
      </c>
      <c r="L3" s="70">
        <v>0</v>
      </c>
      <c r="M3" s="71">
        <f>G3*L3</f>
        <v>0</v>
      </c>
      <c r="N3" s="70">
        <v>0</v>
      </c>
      <c r="O3" s="71">
        <f t="shared" si="2"/>
        <v>0</v>
      </c>
    </row>
    <row r="4" spans="1:15" x14ac:dyDescent="0.25">
      <c r="A4" s="135">
        <v>3</v>
      </c>
      <c r="B4" s="10" t="s">
        <v>63</v>
      </c>
      <c r="C4" s="11">
        <f>VLOOKUP(TBLKEBABSOSYAMKECIL[NAMA BAHAN],[2]!TBLREKAPBAHAN[[NAMA BAHAN]:[MODAL SATUAN]],2,FALSE)</f>
        <v>12000</v>
      </c>
      <c r="D4" s="11">
        <f>VLOOKUP(TBLKEBABSOSYAMKECIL[NAMA BAHAN],[2]!TBLREKAPBAHAN[[NAMA BAHAN]:[MODAL SATUAN]],3,FALSE)</f>
        <v>250</v>
      </c>
      <c r="E4" s="42" t="s">
        <v>36</v>
      </c>
      <c r="F4" s="12">
        <f>VLOOKUP(TBLKEBABSOSYAMKECIL[NAMA BAHAN],[2]!TBLREKAPBAHAN[[NAMA BAHAN]:[MODAL SATUAN]],4,FALSE)</f>
        <v>48</v>
      </c>
      <c r="G4" s="12">
        <f>VLOOKUP(TBLKEBABSOSYAMKECIL[NAMA BAHAN],[2]!TBLREKAPBAHAN[[NAMA BAHAN]:[MODAL SATUAN]],4,FALSE)</f>
        <v>48</v>
      </c>
      <c r="H4" s="77">
        <v>5</v>
      </c>
      <c r="I4" s="78">
        <f t="shared" si="0"/>
        <v>240</v>
      </c>
      <c r="J4" s="77">
        <v>5</v>
      </c>
      <c r="K4" s="78">
        <f t="shared" si="1"/>
        <v>240</v>
      </c>
      <c r="L4" s="70">
        <v>5</v>
      </c>
      <c r="M4" s="71">
        <f t="shared" ref="M4:M14" si="3">G4*L4</f>
        <v>240</v>
      </c>
      <c r="N4" s="70">
        <v>5</v>
      </c>
      <c r="O4" s="71">
        <f t="shared" si="2"/>
        <v>240</v>
      </c>
    </row>
    <row r="5" spans="1:15" x14ac:dyDescent="0.25">
      <c r="A5" s="135">
        <v>4</v>
      </c>
      <c r="B5" s="10" t="s">
        <v>64</v>
      </c>
      <c r="C5" s="11">
        <f>VLOOKUP(TBLKEBABSOSYAMKECIL[NAMA BAHAN],[2]!TBLREKAPBAHAN[[NAMA BAHAN]:[MODAL SATUAN]],2,FALSE)</f>
        <v>50000</v>
      </c>
      <c r="D5" s="11">
        <f>VLOOKUP(TBLKEBABSOSYAMKECIL[NAMA BAHAN],[2]!TBLREKAPBAHAN[[NAMA BAHAN]:[MODAL SATUAN]],3,FALSE)</f>
        <v>1000</v>
      </c>
      <c r="E5" s="42" t="s">
        <v>36</v>
      </c>
      <c r="F5" s="12">
        <f>VLOOKUP(TBLKEBABSOSYAMKECIL[NAMA BAHAN],[2]!TBLREKAPBAHAN[[NAMA BAHAN]:[MODAL SATUAN]],4,FALSE)</f>
        <v>50</v>
      </c>
      <c r="G5" s="12">
        <f>VLOOKUP(TBLKEBABSOSYAMKECIL[NAMA BAHAN],[2]!TBLREKAPBAHAN[[NAMA BAHAN]:[MODAL SATUAN]],4,FALSE)</f>
        <v>50</v>
      </c>
      <c r="H5" s="77">
        <v>7</v>
      </c>
      <c r="I5" s="78">
        <f t="shared" si="0"/>
        <v>350</v>
      </c>
      <c r="J5" s="77">
        <v>7</v>
      </c>
      <c r="K5" s="78">
        <f t="shared" si="1"/>
        <v>350</v>
      </c>
      <c r="L5" s="70">
        <v>10</v>
      </c>
      <c r="M5" s="71">
        <f t="shared" si="3"/>
        <v>500</v>
      </c>
      <c r="N5" s="70">
        <v>10</v>
      </c>
      <c r="O5" s="71">
        <f t="shared" si="2"/>
        <v>500</v>
      </c>
    </row>
    <row r="6" spans="1:15" x14ac:dyDescent="0.25">
      <c r="A6" s="135">
        <v>5</v>
      </c>
      <c r="B6" s="10" t="s">
        <v>71</v>
      </c>
      <c r="C6" s="11">
        <f>VLOOKUP(TBLKEBABSOSYAMKECIL[NAMA BAHAN],[2]!TBLREKAPBAHAN[[NAMA BAHAN]:[MODAL SATUAN]],2,FALSE)</f>
        <v>12000</v>
      </c>
      <c r="D6" s="11">
        <f>VLOOKUP(TBLKEBABSOSYAMKECIL[NAMA BAHAN],[2]!TBLREKAPBAHAN[[NAMA BAHAN]:[MODAL SATUAN]],3,FALSE)</f>
        <v>250</v>
      </c>
      <c r="E6" s="42" t="s">
        <v>36</v>
      </c>
      <c r="F6" s="12">
        <f>VLOOKUP(TBLKEBABSOSYAMKECIL[NAMA BAHAN],[2]!TBLREKAPBAHAN[[NAMA BAHAN]:[MODAL SATUAN]],4,FALSE)</f>
        <v>48</v>
      </c>
      <c r="G6" s="12">
        <f>VLOOKUP(TBLKEBABSOSYAMKECIL[NAMA BAHAN],[2]!TBLREKAPBAHAN[[NAMA BAHAN]:[MODAL SATUAN]],4,FALSE)</f>
        <v>48</v>
      </c>
      <c r="H6" s="77">
        <v>5</v>
      </c>
      <c r="I6" s="78">
        <f t="shared" si="0"/>
        <v>240</v>
      </c>
      <c r="J6" s="77">
        <v>5</v>
      </c>
      <c r="K6" s="78">
        <f t="shared" si="1"/>
        <v>240</v>
      </c>
      <c r="L6" s="70">
        <v>5</v>
      </c>
      <c r="M6" s="71">
        <f t="shared" si="3"/>
        <v>240</v>
      </c>
      <c r="N6" s="70">
        <v>5</v>
      </c>
      <c r="O6" s="71">
        <f t="shared" si="2"/>
        <v>240</v>
      </c>
    </row>
    <row r="7" spans="1:15" x14ac:dyDescent="0.25">
      <c r="A7" s="135">
        <v>6</v>
      </c>
      <c r="B7" s="10" t="s">
        <v>57</v>
      </c>
      <c r="C7" s="11">
        <f>VLOOKUP(TBLKEBABSOSYAMKECIL[NAMA BAHAN],[2]!TBLREKAPBAHAN[[NAMA BAHAN]:[MODAL SATUAN]],2,FALSE)</f>
        <v>35000</v>
      </c>
      <c r="D7" s="11">
        <f>VLOOKUP(TBLKEBABSOSYAMKECIL[NAMA BAHAN],[2]!TBLREKAPBAHAN[[NAMA BAHAN]:[MODAL SATUAN]],3,FALSE)</f>
        <v>38</v>
      </c>
      <c r="E7" s="42" t="s">
        <v>27</v>
      </c>
      <c r="F7" s="12">
        <f>VLOOKUP(TBLKEBABSOSYAMKECIL[NAMA BAHAN],[2]!TBLREKAPBAHAN[[NAMA BAHAN]:[MODAL SATUAN]],4,FALSE)</f>
        <v>921.0526315789474</v>
      </c>
      <c r="G7" s="12">
        <f>VLOOKUP(TBLKEBABSOSYAMKECIL[NAMA BAHAN],[2]!TBLREKAPBAHAN[[NAMA BAHAN]:[MODAL SATUAN]],4,FALSE)</f>
        <v>921.0526315789474</v>
      </c>
      <c r="H7" s="77">
        <v>0.5</v>
      </c>
      <c r="I7" s="78">
        <f t="shared" si="0"/>
        <v>460.5263157894737</v>
      </c>
      <c r="J7" s="77">
        <v>0.5</v>
      </c>
      <c r="K7" s="78">
        <f t="shared" si="1"/>
        <v>460.5263157894737</v>
      </c>
      <c r="L7" s="70">
        <v>0.5</v>
      </c>
      <c r="M7" s="71">
        <f t="shared" si="3"/>
        <v>460.5263157894737</v>
      </c>
      <c r="N7" s="70">
        <v>1</v>
      </c>
      <c r="O7" s="71">
        <f t="shared" si="2"/>
        <v>921.0526315789474</v>
      </c>
    </row>
    <row r="8" spans="1:15" x14ac:dyDescent="0.25">
      <c r="A8" s="135">
        <v>7</v>
      </c>
      <c r="B8" s="10" t="s">
        <v>58</v>
      </c>
      <c r="C8" s="11">
        <f>VLOOKUP(TBLKEBABSOSYAMKECIL[NAMA BAHAN],[2]!TBLREKAPBAHAN[[NAMA BAHAN]:[MODAL SATUAN]],2,FALSE)</f>
        <v>45000</v>
      </c>
      <c r="D8" s="11">
        <f>VLOOKUP(TBLKEBABSOSYAMKECIL[NAMA BAHAN],[2]!TBLREKAPBAHAN[[NAMA BAHAN]:[MODAL SATUAN]],3,FALSE)</f>
        <v>400</v>
      </c>
      <c r="E8" s="42" t="s">
        <v>36</v>
      </c>
      <c r="F8" s="12">
        <f>VLOOKUP(TBLKEBABSOSYAMKECIL[NAMA BAHAN],[2]!TBLREKAPBAHAN[[NAMA BAHAN]:[MODAL SATUAN]],4,FALSE)</f>
        <v>112.5</v>
      </c>
      <c r="G8" s="12">
        <f>VLOOKUP(TBLKEBABSOSYAMKECIL[NAMA BAHAN],[2]!TBLREKAPBAHAN[[NAMA BAHAN]:[MODAL SATUAN]],4,FALSE)</f>
        <v>112.5</v>
      </c>
      <c r="H8" s="77">
        <v>12</v>
      </c>
      <c r="I8" s="78">
        <f t="shared" si="0"/>
        <v>1350</v>
      </c>
      <c r="J8" s="77">
        <v>12</v>
      </c>
      <c r="K8" s="78">
        <f t="shared" si="1"/>
        <v>1350</v>
      </c>
      <c r="L8" s="70">
        <v>20</v>
      </c>
      <c r="M8" s="71">
        <f t="shared" si="3"/>
        <v>2250</v>
      </c>
      <c r="N8" s="70">
        <v>15</v>
      </c>
      <c r="O8" s="71">
        <f t="shared" ref="O8:O14" si="4">G8*N8</f>
        <v>1687.5</v>
      </c>
    </row>
    <row r="9" spans="1:15" x14ac:dyDescent="0.25">
      <c r="A9" s="135">
        <v>8</v>
      </c>
      <c r="B9" s="10" t="s">
        <v>189</v>
      </c>
      <c r="C9" s="11">
        <f>VLOOKUP(TBLKEBABSOSYAMKECIL[NAMA BAHAN],[2]!TBLREKAPBAHAN[[NAMA BAHAN]:[MODAL SATUAN]],2,FALSE)</f>
        <v>27000</v>
      </c>
      <c r="D9" s="11">
        <f>VLOOKUP(TBLKEBABSOSYAMKECIL[NAMA BAHAN],[2]!TBLREKAPBAHAN[[NAMA BAHAN]:[MODAL SATUAN]],3,FALSE)</f>
        <v>20</v>
      </c>
      <c r="E9" s="42" t="s">
        <v>26</v>
      </c>
      <c r="F9" s="12">
        <f>VLOOKUP(TBLKEBABSOSYAMKECIL[NAMA BAHAN],[2]!TBLREKAPBAHAN[[NAMA BAHAN]:[MODAL SATUAN]],4,FALSE)</f>
        <v>1350</v>
      </c>
      <c r="G9" s="12">
        <f>VLOOKUP(TBLKEBABSOSYAMKECIL[NAMA BAHAN],[2]!TBLREKAPBAHAN[[NAMA BAHAN]:[MODAL SATUAN]],4,FALSE)</f>
        <v>1350</v>
      </c>
      <c r="H9" s="77">
        <v>1</v>
      </c>
      <c r="I9" s="78">
        <f t="shared" si="0"/>
        <v>1350</v>
      </c>
      <c r="J9" s="77">
        <v>1</v>
      </c>
      <c r="K9" s="78">
        <f t="shared" si="1"/>
        <v>1350</v>
      </c>
      <c r="L9" s="70">
        <v>1</v>
      </c>
      <c r="M9" s="71">
        <f t="shared" si="3"/>
        <v>1350</v>
      </c>
      <c r="N9" s="70">
        <v>1</v>
      </c>
      <c r="O9" s="71">
        <f t="shared" si="4"/>
        <v>1350</v>
      </c>
    </row>
    <row r="10" spans="1:15" x14ac:dyDescent="0.25">
      <c r="A10" s="135">
        <v>9</v>
      </c>
      <c r="B10" s="10" t="s">
        <v>59</v>
      </c>
      <c r="C10" s="11">
        <f>VLOOKUP(TBLKEBABSOSYAMKECIL[NAMA BAHAN],[2]!TBLREKAPBAHAN[[NAMA BAHAN]:[MODAL SATUAN]],2,FALSE)</f>
        <v>60000</v>
      </c>
      <c r="D10" s="11">
        <f>VLOOKUP(TBLKEBABSOSYAMKECIL[NAMA BAHAN],[2]!TBLREKAPBAHAN[[NAMA BAHAN]:[MODAL SATUAN]],3,FALSE)</f>
        <v>50</v>
      </c>
      <c r="E10" s="42" t="s">
        <v>23</v>
      </c>
      <c r="F10" s="12">
        <f>VLOOKUP(TBLKEBABSOSYAMKECIL[NAMA BAHAN],[2]!TBLREKAPBAHAN[[NAMA BAHAN]:[MODAL SATUAN]],4,FALSE)</f>
        <v>1200</v>
      </c>
      <c r="G10" s="12">
        <f>VLOOKUP(TBLKEBABSOSYAMKECIL[NAMA BAHAN],[2]!TBLREKAPBAHAN[[NAMA BAHAN]:[MODAL SATUAN]],4,FALSE)</f>
        <v>1200</v>
      </c>
      <c r="H10" s="77">
        <v>1</v>
      </c>
      <c r="I10" s="78">
        <f t="shared" si="0"/>
        <v>1200</v>
      </c>
      <c r="J10" s="77">
        <v>1</v>
      </c>
      <c r="K10" s="78">
        <f t="shared" ref="K10:K14" si="5">G10*J10</f>
        <v>1200</v>
      </c>
      <c r="L10" s="70">
        <v>0</v>
      </c>
      <c r="M10" s="71">
        <f t="shared" si="3"/>
        <v>0</v>
      </c>
      <c r="N10" s="70">
        <v>0</v>
      </c>
      <c r="O10" s="71">
        <f t="shared" si="4"/>
        <v>0</v>
      </c>
    </row>
    <row r="11" spans="1:15" x14ac:dyDescent="0.25">
      <c r="A11" s="135">
        <v>10</v>
      </c>
      <c r="B11" s="10" t="s">
        <v>54</v>
      </c>
      <c r="C11" s="11">
        <f>VLOOKUP(TBLKEBABSOSYAMKECIL[NAMA BAHAN],[2]!TBLREKAPBAHAN[[NAMA BAHAN]:[MODAL SATUAN]],2,FALSE)</f>
        <v>35000</v>
      </c>
      <c r="D11" s="11">
        <f>VLOOKUP(TBLKEBABSOSYAMKECIL[NAMA BAHAN],[2]!TBLREKAPBAHAN[[NAMA BAHAN]:[MODAL SATUAN]],3,FALSE)</f>
        <v>1000</v>
      </c>
      <c r="E11" s="42" t="s">
        <v>36</v>
      </c>
      <c r="F11" s="12">
        <f>VLOOKUP(TBLKEBABSOSYAMKECIL[NAMA BAHAN],[2]!TBLREKAPBAHAN[[NAMA BAHAN]:[MODAL SATUAN]],4,FALSE)</f>
        <v>35</v>
      </c>
      <c r="G11" s="12">
        <f>VLOOKUP(TBLKEBABSOSYAMKECIL[NAMA BAHAN],[2]!TBLREKAPBAHAN[[NAMA BAHAN]:[MODAL SATUAN]],4,FALSE)</f>
        <v>35</v>
      </c>
      <c r="H11" s="77">
        <v>10</v>
      </c>
      <c r="I11" s="78">
        <f t="shared" si="0"/>
        <v>350</v>
      </c>
      <c r="J11" s="77">
        <v>10</v>
      </c>
      <c r="K11" s="78">
        <f t="shared" si="5"/>
        <v>350</v>
      </c>
      <c r="L11" s="70">
        <v>10</v>
      </c>
      <c r="M11" s="71">
        <f t="shared" si="3"/>
        <v>350</v>
      </c>
      <c r="N11" s="70">
        <v>10</v>
      </c>
      <c r="O11" s="71">
        <f t="shared" si="4"/>
        <v>350</v>
      </c>
    </row>
    <row r="12" spans="1:15" x14ac:dyDescent="0.25">
      <c r="A12" s="135">
        <v>11</v>
      </c>
      <c r="B12" s="10" t="s">
        <v>55</v>
      </c>
      <c r="C12" s="11">
        <f>VLOOKUP(TBLKEBABSOSYAMKECIL[NAMA BAHAN],[2]!TBLREKAPBAHAN[[NAMA BAHAN]:[MODAL SATUAN]],2,FALSE)</f>
        <v>23000</v>
      </c>
      <c r="D12" s="11">
        <f>VLOOKUP(TBLKEBABSOSYAMKECIL[NAMA BAHAN],[2]!TBLREKAPBAHAN[[NAMA BAHAN]:[MODAL SATUAN]],3,FALSE)</f>
        <v>3000</v>
      </c>
      <c r="E12" s="42" t="s">
        <v>36</v>
      </c>
      <c r="F12" s="12">
        <f>VLOOKUP(TBLKEBABSOSYAMKECIL[NAMA BAHAN],[2]!TBLREKAPBAHAN[[NAMA BAHAN]:[MODAL SATUAN]],4,FALSE)</f>
        <v>7.666666666666667</v>
      </c>
      <c r="G12" s="12">
        <f>VLOOKUP(TBLKEBABSOSYAMKECIL[NAMA BAHAN],[2]!TBLREKAPBAHAN[[NAMA BAHAN]:[MODAL SATUAN]],4,FALSE)</f>
        <v>7.666666666666667</v>
      </c>
      <c r="H12" s="77">
        <v>10</v>
      </c>
      <c r="I12" s="78">
        <f t="shared" si="0"/>
        <v>76.666666666666671</v>
      </c>
      <c r="J12" s="77">
        <v>10</v>
      </c>
      <c r="K12" s="78">
        <f t="shared" si="5"/>
        <v>76.666666666666671</v>
      </c>
      <c r="L12" s="70">
        <v>10</v>
      </c>
      <c r="M12" s="71">
        <f t="shared" si="3"/>
        <v>76.666666666666671</v>
      </c>
      <c r="N12" s="70">
        <v>10</v>
      </c>
      <c r="O12" s="71">
        <f t="shared" si="4"/>
        <v>76.666666666666671</v>
      </c>
    </row>
    <row r="13" spans="1:15" x14ac:dyDescent="0.25">
      <c r="A13" s="135">
        <v>12</v>
      </c>
      <c r="B13" s="10" t="s">
        <v>73</v>
      </c>
      <c r="C13" s="11">
        <f>VLOOKUP(TBLKEBABSOSYAMKECIL[NAMA BAHAN],[2]!TBLREKAPBAHAN[[NAMA BAHAN]:[MODAL SATUAN]],2,FALSE)</f>
        <v>25000</v>
      </c>
      <c r="D13" s="11">
        <f>VLOOKUP(TBLKEBABSOSYAMKECIL[NAMA BAHAN],[2]!TBLREKAPBAHAN[[NAMA BAHAN]:[MODAL SATUAN]],3,FALSE)</f>
        <v>100</v>
      </c>
      <c r="E13" s="42" t="s">
        <v>30</v>
      </c>
      <c r="F13" s="12">
        <f>VLOOKUP(TBLKEBABSOSYAMKECIL[NAMA BAHAN],[2]!TBLREKAPBAHAN[[NAMA BAHAN]:[MODAL SATUAN]],4,FALSE)</f>
        <v>250</v>
      </c>
      <c r="G13" s="12">
        <f>VLOOKUP(TBLKEBABSOSYAMKECIL[NAMA BAHAN],[2]!TBLREKAPBAHAN[[NAMA BAHAN]:[MODAL SATUAN]],4,FALSE)</f>
        <v>250</v>
      </c>
      <c r="H13" s="77">
        <v>1</v>
      </c>
      <c r="I13" s="78">
        <f t="shared" si="0"/>
        <v>250</v>
      </c>
      <c r="J13" s="77">
        <v>1</v>
      </c>
      <c r="K13" s="78">
        <f t="shared" si="5"/>
        <v>250</v>
      </c>
      <c r="L13" s="70">
        <v>1</v>
      </c>
      <c r="M13" s="71">
        <f t="shared" si="3"/>
        <v>250</v>
      </c>
      <c r="N13" s="70">
        <v>1</v>
      </c>
      <c r="O13" s="71">
        <f t="shared" si="4"/>
        <v>250</v>
      </c>
    </row>
    <row r="14" spans="1:15" x14ac:dyDescent="0.25">
      <c r="A14" s="135">
        <v>13</v>
      </c>
      <c r="B14" s="10" t="s">
        <v>52</v>
      </c>
      <c r="C14" s="11">
        <f>VLOOKUP(TBLKEBABSOSYAMKECIL[NAMA BAHAN],[2]!TBLREKAPBAHAN[[NAMA BAHAN]:[MODAL SATUAN]],2,FALSE)</f>
        <v>5500</v>
      </c>
      <c r="D14" s="11">
        <f>VLOOKUP(TBLKEBABSOSYAMKECIL[NAMA BAHAN],[2]!TBLREKAPBAHAN[[NAMA BAHAN]:[MODAL SATUAN]],3,FALSE)</f>
        <v>100</v>
      </c>
      <c r="E14" s="42" t="s">
        <v>30</v>
      </c>
      <c r="F14" s="12">
        <f>VLOOKUP(TBLKEBABSOSYAMKECIL[NAMA BAHAN],[2]!TBLREKAPBAHAN[[NAMA BAHAN]:[MODAL SATUAN]],4,FALSE)</f>
        <v>55</v>
      </c>
      <c r="G14" s="12">
        <f>VLOOKUP(TBLKEBABSOSYAMKECIL[NAMA BAHAN],[2]!TBLREKAPBAHAN[[NAMA BAHAN]:[MODAL SATUAN]],4,FALSE)</f>
        <v>55</v>
      </c>
      <c r="H14" s="77">
        <v>1</v>
      </c>
      <c r="I14" s="78">
        <f t="shared" si="0"/>
        <v>55</v>
      </c>
      <c r="J14" s="77">
        <v>1</v>
      </c>
      <c r="K14" s="78">
        <f t="shared" si="5"/>
        <v>55</v>
      </c>
      <c r="L14" s="70">
        <v>1</v>
      </c>
      <c r="M14" s="71">
        <f t="shared" si="3"/>
        <v>55</v>
      </c>
      <c r="N14" s="70">
        <v>1</v>
      </c>
      <c r="O14" s="71">
        <f t="shared" si="4"/>
        <v>55</v>
      </c>
    </row>
    <row r="15" spans="1:15" s="17" customFormat="1" ht="15.75" customHeight="1" x14ac:dyDescent="0.25">
      <c r="A15" s="44"/>
      <c r="B15" s="147" t="s">
        <v>20</v>
      </c>
      <c r="C15" s="147"/>
      <c r="D15" s="147"/>
      <c r="E15" s="147"/>
      <c r="F15" s="147"/>
      <c r="G15" s="147"/>
      <c r="H15" s="79"/>
      <c r="I15" s="80">
        <f>SUM(I2:I14)</f>
        <v>6122.1929824561403</v>
      </c>
      <c r="J15" s="79"/>
      <c r="K15" s="80">
        <f>SUM(K2:K14)</f>
        <v>6192.1929824561403</v>
      </c>
      <c r="L15" s="73"/>
      <c r="M15" s="74">
        <f>SUM(M2:M14)</f>
        <v>5972.1929824561403</v>
      </c>
      <c r="N15" s="73"/>
      <c r="O15" s="74">
        <f>SUM(O2:O14)</f>
        <v>5870.2192982456145</v>
      </c>
    </row>
    <row r="18" ht="15" customHeight="1" x14ac:dyDescent="0.25"/>
  </sheetData>
  <mergeCells count="1">
    <mergeCell ref="B15:G15"/>
  </mergeCells>
  <pageMargins left="0.70866141732283472" right="0.70866141732283472" top="0.74803149606299213" bottom="0.74803149606299213" header="0.31496062992125984" footer="0.31496062992125984"/>
  <pageSetup paperSize="5" scale="70" fitToWidth="0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zoomScale="70" zoomScaleNormal="70" workbookViewId="0">
      <selection activeCell="L2" sqref="L2"/>
    </sheetView>
  </sheetViews>
  <sheetFormatPr defaultRowHeight="15" x14ac:dyDescent="0.25"/>
  <cols>
    <col min="1" max="1" width="11" style="34" customWidth="1"/>
    <col min="2" max="2" width="25.85546875" style="9" customWidth="1"/>
    <col min="3" max="3" width="15.7109375" style="1" customWidth="1"/>
    <col min="4" max="4" width="12.42578125" style="1" customWidth="1"/>
    <col min="5" max="5" width="12" style="47" customWidth="1"/>
    <col min="6" max="6" width="11.140625" style="1" customWidth="1"/>
    <col min="7" max="7" width="10.42578125" style="1" customWidth="1"/>
    <col min="8" max="8" width="7.7109375" style="18" customWidth="1"/>
    <col min="9" max="9" width="15" style="1" customWidth="1"/>
    <col min="10" max="10" width="8.140625" style="18" customWidth="1"/>
    <col min="11" max="11" width="14.85546875" style="9" customWidth="1"/>
    <col min="12" max="12" width="8.140625" style="18" customWidth="1"/>
    <col min="13" max="13" width="15.7109375" style="1" customWidth="1"/>
    <col min="14" max="14" width="8.140625" style="18" customWidth="1"/>
    <col min="15" max="15" width="15.7109375" style="9" customWidth="1"/>
    <col min="16" max="17" width="9.140625" style="9"/>
    <col min="18" max="18" width="13.140625" style="9" bestFit="1" customWidth="1"/>
    <col min="19" max="16384" width="9.140625" style="9"/>
  </cols>
  <sheetData>
    <row r="1" spans="1:18" ht="69.75" customHeight="1" x14ac:dyDescent="0.25">
      <c r="A1" s="34" t="s">
        <v>90</v>
      </c>
      <c r="B1" s="34" t="s">
        <v>0</v>
      </c>
      <c r="C1" s="62" t="s">
        <v>4</v>
      </c>
      <c r="D1" s="62" t="s">
        <v>3</v>
      </c>
      <c r="E1" s="62" t="s">
        <v>19</v>
      </c>
      <c r="F1" s="62" t="s">
        <v>1</v>
      </c>
      <c r="G1" s="62" t="s">
        <v>2</v>
      </c>
      <c r="H1" s="75" t="s">
        <v>5</v>
      </c>
      <c r="I1" s="76" t="s">
        <v>93</v>
      </c>
      <c r="J1" s="75" t="s">
        <v>146</v>
      </c>
      <c r="K1" s="76" t="s">
        <v>94</v>
      </c>
      <c r="L1" s="65" t="s">
        <v>149</v>
      </c>
      <c r="M1" s="66" t="s">
        <v>95</v>
      </c>
      <c r="N1" s="65" t="s">
        <v>150</v>
      </c>
      <c r="O1" s="66" t="s">
        <v>96</v>
      </c>
    </row>
    <row r="2" spans="1:18" x14ac:dyDescent="0.25">
      <c r="A2" s="34">
        <v>1</v>
      </c>
      <c r="B2" s="10" t="s">
        <v>37</v>
      </c>
      <c r="C2" s="11">
        <f>VLOOKUP(TBLKEBABSOSYAMMEDIUM[NAMA BAHAN],[2]!TBLREKAPBAHAN[[NAMA BAHAN]:[MODAL SATUAN]],2,FALSE)</f>
        <v>20000</v>
      </c>
      <c r="D2" s="11">
        <f>VLOOKUP(TBLKEBABSOSYAMMEDIUM[NAMA BAHAN],[2]!TBLREKAPBAHAN[[NAMA BAHAN]:[MODAL SATUAN]],3,FALSE)</f>
        <v>1000</v>
      </c>
      <c r="E2" s="42" t="s">
        <v>36</v>
      </c>
      <c r="F2" s="12">
        <f>VLOOKUP(TBLKEBABSOSYAMMEDIUM[NAMA BAHAN],[2]!TBLREKAPBAHAN[[NAMA BAHAN]:[MODAL SATUAN]],4,FALSE)</f>
        <v>20</v>
      </c>
      <c r="G2" s="12">
        <f>VLOOKUP(TBLKEBABSOSYAMMEDIUM[NAMA BAHAN],[2]!TBLREKAPBAHAN[[NAMA BAHAN]:[MODAL SATUAN]],4,FALSE)</f>
        <v>20</v>
      </c>
      <c r="H2" s="77">
        <v>15</v>
      </c>
      <c r="I2" s="78">
        <f t="shared" ref="I2:I14" si="0">G2*H2</f>
        <v>300</v>
      </c>
      <c r="J2" s="77">
        <v>0</v>
      </c>
      <c r="K2" s="78">
        <f t="shared" ref="K2:K14" si="1">G2*J2</f>
        <v>0</v>
      </c>
      <c r="L2" s="70">
        <v>15</v>
      </c>
      <c r="M2" s="71">
        <f t="shared" ref="M2:M14" si="2">G2*L2</f>
        <v>300</v>
      </c>
      <c r="N2" s="70">
        <v>15</v>
      </c>
      <c r="O2" s="71">
        <f t="shared" ref="O2:O14" si="3">G2*N2</f>
        <v>300</v>
      </c>
      <c r="Q2" s="9">
        <v>15</v>
      </c>
      <c r="R2" s="143">
        <f>TBLKEBABSOSYAMMEDIUM[[#This Row],[MODAL SATUAN]]*Q2</f>
        <v>300</v>
      </c>
    </row>
    <row r="3" spans="1:18" x14ac:dyDescent="0.25">
      <c r="A3" s="34">
        <v>2</v>
      </c>
      <c r="B3" s="10" t="s">
        <v>62</v>
      </c>
      <c r="C3" s="11">
        <f>VLOOKUP(TBLKEBABSOSYAMMEDIUM[NAMA BAHAN],[2]!TBLREKAPBAHAN[[NAMA BAHAN]:[MODAL SATUAN]],2,FALSE)</f>
        <v>18000</v>
      </c>
      <c r="D3" s="11">
        <f>VLOOKUP(TBLKEBABSOSYAMMEDIUM[NAMA BAHAN],[2]!TBLREKAPBAHAN[[NAMA BAHAN]:[MODAL SATUAN]],3,FALSE)</f>
        <v>1000</v>
      </c>
      <c r="E3" s="42" t="s">
        <v>36</v>
      </c>
      <c r="F3" s="12">
        <f>VLOOKUP(TBLKEBABSOSYAMMEDIUM[NAMA BAHAN],[2]!TBLREKAPBAHAN[[NAMA BAHAN]:[MODAL SATUAN]],4,FALSE)</f>
        <v>18</v>
      </c>
      <c r="G3" s="12">
        <f>VLOOKUP(TBLKEBABSOSYAMMEDIUM[NAMA BAHAN],[2]!TBLREKAPBAHAN[[NAMA BAHAN]:[MODAL SATUAN]],4,FALSE)</f>
        <v>18</v>
      </c>
      <c r="H3" s="77">
        <v>0</v>
      </c>
      <c r="I3" s="78">
        <f t="shared" si="0"/>
        <v>0</v>
      </c>
      <c r="J3" s="77">
        <v>25</v>
      </c>
      <c r="K3" s="78">
        <f t="shared" si="1"/>
        <v>450</v>
      </c>
      <c r="L3" s="70">
        <v>0</v>
      </c>
      <c r="M3" s="71">
        <f t="shared" si="2"/>
        <v>0</v>
      </c>
      <c r="N3" s="70">
        <v>0</v>
      </c>
      <c r="O3" s="71">
        <f t="shared" si="3"/>
        <v>0</v>
      </c>
      <c r="Q3" s="9">
        <v>0</v>
      </c>
      <c r="R3" s="143">
        <f>TBLKEBABSOSYAMMEDIUM[[#This Row],[MODAL SATUAN]]*Q3</f>
        <v>0</v>
      </c>
    </row>
    <row r="4" spans="1:18" x14ac:dyDescent="0.25">
      <c r="A4" s="135">
        <v>3</v>
      </c>
      <c r="B4" s="10" t="s">
        <v>63</v>
      </c>
      <c r="C4" s="11">
        <f>VLOOKUP(TBLKEBABSOSYAMMEDIUM[NAMA BAHAN],[2]!TBLREKAPBAHAN[[NAMA BAHAN]:[MODAL SATUAN]],2,FALSE)</f>
        <v>12000</v>
      </c>
      <c r="D4" s="11">
        <f>VLOOKUP(TBLKEBABSOSYAMMEDIUM[NAMA BAHAN],[2]!TBLREKAPBAHAN[[NAMA BAHAN]:[MODAL SATUAN]],3,FALSE)</f>
        <v>250</v>
      </c>
      <c r="E4" s="42" t="s">
        <v>36</v>
      </c>
      <c r="F4" s="12">
        <f>VLOOKUP(TBLKEBABSOSYAMMEDIUM[NAMA BAHAN],[2]!TBLREKAPBAHAN[[NAMA BAHAN]:[MODAL SATUAN]],4,FALSE)</f>
        <v>48</v>
      </c>
      <c r="G4" s="12">
        <f>VLOOKUP(TBLKEBABSOSYAMMEDIUM[NAMA BAHAN],[2]!TBLREKAPBAHAN[[NAMA BAHAN]:[MODAL SATUAN]],4,FALSE)</f>
        <v>48</v>
      </c>
      <c r="H4" s="77">
        <v>7</v>
      </c>
      <c r="I4" s="78">
        <f t="shared" si="0"/>
        <v>336</v>
      </c>
      <c r="J4" s="77">
        <v>7</v>
      </c>
      <c r="K4" s="78">
        <f t="shared" si="1"/>
        <v>336</v>
      </c>
      <c r="L4" s="70">
        <v>7</v>
      </c>
      <c r="M4" s="71">
        <f t="shared" si="2"/>
        <v>336</v>
      </c>
      <c r="N4" s="70">
        <v>7</v>
      </c>
      <c r="O4" s="71">
        <f t="shared" si="3"/>
        <v>336</v>
      </c>
      <c r="Q4" s="9">
        <v>7</v>
      </c>
      <c r="R4" s="143">
        <f>TBLKEBABSOSYAMMEDIUM[[#This Row],[MODAL SATUAN]]*Q4</f>
        <v>336</v>
      </c>
    </row>
    <row r="5" spans="1:18" x14ac:dyDescent="0.25">
      <c r="A5" s="135">
        <v>4</v>
      </c>
      <c r="B5" s="10" t="s">
        <v>64</v>
      </c>
      <c r="C5" s="11">
        <f>VLOOKUP(TBLKEBABSOSYAMMEDIUM[NAMA BAHAN],[2]!TBLREKAPBAHAN[[NAMA BAHAN]:[MODAL SATUAN]],2,FALSE)</f>
        <v>50000</v>
      </c>
      <c r="D5" s="11">
        <f>VLOOKUP(TBLKEBABSOSYAMMEDIUM[NAMA BAHAN],[2]!TBLREKAPBAHAN[[NAMA BAHAN]:[MODAL SATUAN]],3,FALSE)</f>
        <v>1000</v>
      </c>
      <c r="E5" s="42" t="s">
        <v>36</v>
      </c>
      <c r="F5" s="12">
        <f>VLOOKUP(TBLKEBABSOSYAMMEDIUM[NAMA BAHAN],[2]!TBLREKAPBAHAN[[NAMA BAHAN]:[MODAL SATUAN]],4,FALSE)</f>
        <v>50</v>
      </c>
      <c r="G5" s="12">
        <f>VLOOKUP(TBLKEBABSOSYAMMEDIUM[NAMA BAHAN],[2]!TBLREKAPBAHAN[[NAMA BAHAN]:[MODAL SATUAN]],4,FALSE)</f>
        <v>50</v>
      </c>
      <c r="H5" s="77">
        <v>15</v>
      </c>
      <c r="I5" s="78">
        <f t="shared" si="0"/>
        <v>750</v>
      </c>
      <c r="J5" s="77">
        <v>10</v>
      </c>
      <c r="K5" s="78">
        <f t="shared" si="1"/>
        <v>500</v>
      </c>
      <c r="L5" s="70">
        <v>15</v>
      </c>
      <c r="M5" s="71">
        <f t="shared" si="2"/>
        <v>750</v>
      </c>
      <c r="N5" s="70">
        <v>15</v>
      </c>
      <c r="O5" s="71">
        <f t="shared" si="3"/>
        <v>750</v>
      </c>
      <c r="Q5" s="142">
        <v>15</v>
      </c>
      <c r="R5" s="143">
        <f>TBLKEBABSOSYAMMEDIUM[[#This Row],[MODAL SATUAN]]*Q5</f>
        <v>750</v>
      </c>
    </row>
    <row r="6" spans="1:18" x14ac:dyDescent="0.25">
      <c r="A6" s="135">
        <v>5</v>
      </c>
      <c r="B6" s="10" t="s">
        <v>71</v>
      </c>
      <c r="C6" s="11">
        <f>VLOOKUP(TBLKEBABSOSYAMMEDIUM[NAMA BAHAN],[2]!TBLREKAPBAHAN[[NAMA BAHAN]:[MODAL SATUAN]],2,FALSE)</f>
        <v>12000</v>
      </c>
      <c r="D6" s="11">
        <f>VLOOKUP(TBLKEBABSOSYAMMEDIUM[NAMA BAHAN],[2]!TBLREKAPBAHAN[[NAMA BAHAN]:[MODAL SATUAN]],3,FALSE)</f>
        <v>250</v>
      </c>
      <c r="E6" s="42" t="s">
        <v>36</v>
      </c>
      <c r="F6" s="12">
        <f>VLOOKUP(TBLKEBABSOSYAMMEDIUM[NAMA BAHAN],[2]!TBLREKAPBAHAN[[NAMA BAHAN]:[MODAL SATUAN]],4,FALSE)</f>
        <v>48</v>
      </c>
      <c r="G6" s="12">
        <f>VLOOKUP(TBLKEBABSOSYAMMEDIUM[NAMA BAHAN],[2]!TBLREKAPBAHAN[[NAMA BAHAN]:[MODAL SATUAN]],4,FALSE)</f>
        <v>48</v>
      </c>
      <c r="H6" s="77">
        <v>7</v>
      </c>
      <c r="I6" s="78">
        <f t="shared" si="0"/>
        <v>336</v>
      </c>
      <c r="J6" s="77">
        <v>7</v>
      </c>
      <c r="K6" s="78">
        <f t="shared" si="1"/>
        <v>336</v>
      </c>
      <c r="L6" s="70">
        <v>7</v>
      </c>
      <c r="M6" s="71">
        <f t="shared" si="2"/>
        <v>336</v>
      </c>
      <c r="N6" s="70">
        <v>7</v>
      </c>
      <c r="O6" s="71">
        <f t="shared" si="3"/>
        <v>336</v>
      </c>
      <c r="Q6" s="142">
        <v>7</v>
      </c>
      <c r="R6" s="143">
        <f>TBLKEBABSOSYAMMEDIUM[[#This Row],[MODAL SATUAN]]*Q6</f>
        <v>336</v>
      </c>
    </row>
    <row r="7" spans="1:18" x14ac:dyDescent="0.25">
      <c r="A7" s="135">
        <v>6</v>
      </c>
      <c r="B7" s="10" t="s">
        <v>57</v>
      </c>
      <c r="C7" s="11">
        <f>VLOOKUP(TBLKEBABSOSYAMMEDIUM[NAMA BAHAN],[2]!TBLREKAPBAHAN[[NAMA BAHAN]:[MODAL SATUAN]],2,FALSE)</f>
        <v>35000</v>
      </c>
      <c r="D7" s="11">
        <f>VLOOKUP(TBLKEBABSOSYAMMEDIUM[NAMA BAHAN],[2]!TBLREKAPBAHAN[[NAMA BAHAN]:[MODAL SATUAN]],3,FALSE)</f>
        <v>38</v>
      </c>
      <c r="E7" s="42" t="s">
        <v>27</v>
      </c>
      <c r="F7" s="12">
        <f>VLOOKUP(TBLKEBABSOSYAMMEDIUM[NAMA BAHAN],[2]!TBLREKAPBAHAN[[NAMA BAHAN]:[MODAL SATUAN]],4,FALSE)</f>
        <v>921.0526315789474</v>
      </c>
      <c r="G7" s="12">
        <f>VLOOKUP(TBLKEBABSOSYAMMEDIUM[NAMA BAHAN],[2]!TBLREKAPBAHAN[[NAMA BAHAN]:[MODAL SATUAN]],4,FALSE)</f>
        <v>921.0526315789474</v>
      </c>
      <c r="H7" s="77">
        <v>1</v>
      </c>
      <c r="I7" s="78">
        <f t="shared" si="0"/>
        <v>921.0526315789474</v>
      </c>
      <c r="J7" s="77">
        <v>1</v>
      </c>
      <c r="K7" s="78">
        <f t="shared" si="1"/>
        <v>921.0526315789474</v>
      </c>
      <c r="L7" s="70">
        <v>1</v>
      </c>
      <c r="M7" s="71">
        <f t="shared" si="2"/>
        <v>921.0526315789474</v>
      </c>
      <c r="N7" s="70">
        <v>2</v>
      </c>
      <c r="O7" s="71">
        <f t="shared" si="3"/>
        <v>1842.1052631578948</v>
      </c>
      <c r="Q7" s="142">
        <v>4</v>
      </c>
      <c r="R7" s="143">
        <f>TBLKEBABSOSYAMMEDIUM[[#This Row],[MODAL SATUAN]]*Q7</f>
        <v>3684.2105263157896</v>
      </c>
    </row>
    <row r="8" spans="1:18" x14ac:dyDescent="0.25">
      <c r="A8" s="135">
        <v>7</v>
      </c>
      <c r="B8" s="10" t="s">
        <v>58</v>
      </c>
      <c r="C8" s="11">
        <f>VLOOKUP(TBLKEBABSOSYAMMEDIUM[NAMA BAHAN],[2]!TBLREKAPBAHAN[[NAMA BAHAN]:[MODAL SATUAN]],2,FALSE)</f>
        <v>45000</v>
      </c>
      <c r="D8" s="11">
        <f>VLOOKUP(TBLKEBABSOSYAMMEDIUM[NAMA BAHAN],[2]!TBLREKAPBAHAN[[NAMA BAHAN]:[MODAL SATUAN]],3,FALSE)</f>
        <v>400</v>
      </c>
      <c r="E8" s="42" t="s">
        <v>36</v>
      </c>
      <c r="F8" s="12">
        <f>VLOOKUP(TBLKEBABSOSYAMMEDIUM[NAMA BAHAN],[2]!TBLREKAPBAHAN[[NAMA BAHAN]:[MODAL SATUAN]],4,FALSE)</f>
        <v>112.5</v>
      </c>
      <c r="G8" s="12">
        <f>VLOOKUP(TBLKEBABSOSYAMMEDIUM[NAMA BAHAN],[2]!TBLREKAPBAHAN[[NAMA BAHAN]:[MODAL SATUAN]],4,FALSE)</f>
        <v>112.5</v>
      </c>
      <c r="H8" s="77">
        <v>20</v>
      </c>
      <c r="I8" s="78">
        <f t="shared" si="0"/>
        <v>2250</v>
      </c>
      <c r="J8" s="77">
        <v>20</v>
      </c>
      <c r="K8" s="78">
        <f t="shared" si="1"/>
        <v>2250</v>
      </c>
      <c r="L8" s="70">
        <v>35</v>
      </c>
      <c r="M8" s="71">
        <f t="shared" si="2"/>
        <v>3937.5</v>
      </c>
      <c r="N8" s="70">
        <v>25</v>
      </c>
      <c r="O8" s="71">
        <f t="shared" si="3"/>
        <v>2812.5</v>
      </c>
      <c r="Q8" s="142">
        <v>0</v>
      </c>
      <c r="R8" s="143">
        <f>TBLKEBABSOSYAMMEDIUM[[#This Row],[MODAL SATUAN]]*Q8</f>
        <v>0</v>
      </c>
    </row>
    <row r="9" spans="1:18" x14ac:dyDescent="0.25">
      <c r="A9" s="135">
        <v>8</v>
      </c>
      <c r="B9" s="10" t="s">
        <v>72</v>
      </c>
      <c r="C9" s="11">
        <f>VLOOKUP(TBLKEBABSOSYAMMEDIUM[NAMA BAHAN],[2]!TBLREKAPBAHAN[[NAMA BAHAN]:[MODAL SATUAN]],2,FALSE)</f>
        <v>29000</v>
      </c>
      <c r="D9" s="11">
        <f>VLOOKUP(TBLKEBABSOSYAMMEDIUM[NAMA BAHAN],[2]!TBLREKAPBAHAN[[NAMA BAHAN]:[MODAL SATUAN]],3,FALSE)</f>
        <v>20</v>
      </c>
      <c r="E9" s="42" t="s">
        <v>26</v>
      </c>
      <c r="F9" s="12">
        <f>VLOOKUP(TBLKEBABSOSYAMMEDIUM[NAMA BAHAN],[2]!TBLREKAPBAHAN[[NAMA BAHAN]:[MODAL SATUAN]],4,FALSE)</f>
        <v>1450</v>
      </c>
      <c r="G9" s="12">
        <f>VLOOKUP(TBLKEBABSOSYAMMEDIUM[NAMA BAHAN],[2]!TBLREKAPBAHAN[[NAMA BAHAN]:[MODAL SATUAN]],4,FALSE)</f>
        <v>1450</v>
      </c>
      <c r="H9" s="77">
        <v>1</v>
      </c>
      <c r="I9" s="78">
        <f t="shared" si="0"/>
        <v>1450</v>
      </c>
      <c r="J9" s="77">
        <v>1</v>
      </c>
      <c r="K9" s="78">
        <f t="shared" si="1"/>
        <v>1450</v>
      </c>
      <c r="L9" s="70">
        <v>1</v>
      </c>
      <c r="M9" s="71">
        <f t="shared" si="2"/>
        <v>1450</v>
      </c>
      <c r="N9" s="70">
        <v>1</v>
      </c>
      <c r="O9" s="71">
        <f t="shared" si="3"/>
        <v>1450</v>
      </c>
      <c r="Q9" s="142">
        <v>1</v>
      </c>
      <c r="R9" s="143">
        <f>TBLKEBABSOSYAMMEDIUM[[#This Row],[MODAL SATUAN]]*Q9</f>
        <v>1450</v>
      </c>
    </row>
    <row r="10" spans="1:18" x14ac:dyDescent="0.25">
      <c r="A10" s="135">
        <v>9</v>
      </c>
      <c r="B10" s="10" t="s">
        <v>59</v>
      </c>
      <c r="C10" s="11">
        <f>VLOOKUP(TBLKEBABSOSYAMMEDIUM[NAMA BAHAN],[2]!TBLREKAPBAHAN[[NAMA BAHAN]:[MODAL SATUAN]],2,FALSE)</f>
        <v>60000</v>
      </c>
      <c r="D10" s="11">
        <f>VLOOKUP(TBLKEBABSOSYAMMEDIUM[NAMA BAHAN],[2]!TBLREKAPBAHAN[[NAMA BAHAN]:[MODAL SATUAN]],3,FALSE)</f>
        <v>50</v>
      </c>
      <c r="E10" s="42" t="s">
        <v>23</v>
      </c>
      <c r="F10" s="12">
        <f>VLOOKUP(TBLKEBABSOSYAMMEDIUM[NAMA BAHAN],[2]!TBLREKAPBAHAN[[NAMA BAHAN]:[MODAL SATUAN]],4,FALSE)</f>
        <v>1200</v>
      </c>
      <c r="G10" s="12">
        <f>VLOOKUP(TBLKEBABSOSYAMMEDIUM[NAMA BAHAN],[2]!TBLREKAPBAHAN[[NAMA BAHAN]:[MODAL SATUAN]],4,FALSE)</f>
        <v>1200</v>
      </c>
      <c r="H10" s="77">
        <v>1</v>
      </c>
      <c r="I10" s="78">
        <f t="shared" si="0"/>
        <v>1200</v>
      </c>
      <c r="J10" s="77">
        <v>1</v>
      </c>
      <c r="K10" s="78">
        <f t="shared" si="1"/>
        <v>1200</v>
      </c>
      <c r="L10" s="70">
        <v>0</v>
      </c>
      <c r="M10" s="71">
        <f t="shared" si="2"/>
        <v>0</v>
      </c>
      <c r="N10" s="70">
        <v>0</v>
      </c>
      <c r="O10" s="71">
        <f t="shared" si="3"/>
        <v>0</v>
      </c>
      <c r="Q10" s="142">
        <v>1</v>
      </c>
      <c r="R10" s="143">
        <f>TBLKEBABSOSYAMMEDIUM[[#This Row],[MODAL SATUAN]]*Q10</f>
        <v>1200</v>
      </c>
    </row>
    <row r="11" spans="1:18" x14ac:dyDescent="0.25">
      <c r="A11" s="135">
        <v>10</v>
      </c>
      <c r="B11" s="10" t="s">
        <v>54</v>
      </c>
      <c r="C11" s="11">
        <f>VLOOKUP(TBLKEBABSOSYAMMEDIUM[NAMA BAHAN],[2]!TBLREKAPBAHAN[[NAMA BAHAN]:[MODAL SATUAN]],2,FALSE)</f>
        <v>35000</v>
      </c>
      <c r="D11" s="11">
        <f>VLOOKUP(TBLKEBABSOSYAMMEDIUM[NAMA BAHAN],[2]!TBLREKAPBAHAN[[NAMA BAHAN]:[MODAL SATUAN]],3,FALSE)</f>
        <v>1000</v>
      </c>
      <c r="E11" s="42" t="s">
        <v>36</v>
      </c>
      <c r="F11" s="12">
        <f>VLOOKUP(TBLKEBABSOSYAMMEDIUM[NAMA BAHAN],[2]!TBLREKAPBAHAN[[NAMA BAHAN]:[MODAL SATUAN]],4,FALSE)</f>
        <v>35</v>
      </c>
      <c r="G11" s="12">
        <f>VLOOKUP(TBLKEBABSOSYAMMEDIUM[NAMA BAHAN],[2]!TBLREKAPBAHAN[[NAMA BAHAN]:[MODAL SATUAN]],4,FALSE)</f>
        <v>35</v>
      </c>
      <c r="H11" s="77">
        <v>10</v>
      </c>
      <c r="I11" s="78">
        <f t="shared" si="0"/>
        <v>350</v>
      </c>
      <c r="J11" s="77">
        <v>10</v>
      </c>
      <c r="K11" s="78">
        <f t="shared" si="1"/>
        <v>350</v>
      </c>
      <c r="L11" s="70">
        <v>10</v>
      </c>
      <c r="M11" s="71">
        <f t="shared" si="2"/>
        <v>350</v>
      </c>
      <c r="N11" s="70">
        <v>10</v>
      </c>
      <c r="O11" s="71">
        <f t="shared" si="3"/>
        <v>350</v>
      </c>
      <c r="Q11" s="142">
        <v>10</v>
      </c>
      <c r="R11" s="143">
        <f>TBLKEBABSOSYAMMEDIUM[[#This Row],[MODAL SATUAN]]*Q11</f>
        <v>350</v>
      </c>
    </row>
    <row r="12" spans="1:18" x14ac:dyDescent="0.25">
      <c r="A12" s="135">
        <v>11</v>
      </c>
      <c r="B12" s="10" t="s">
        <v>55</v>
      </c>
      <c r="C12" s="11">
        <f>VLOOKUP(TBLKEBABSOSYAMMEDIUM[NAMA BAHAN],[2]!TBLREKAPBAHAN[[NAMA BAHAN]:[MODAL SATUAN]],2,FALSE)</f>
        <v>23000</v>
      </c>
      <c r="D12" s="11">
        <f>VLOOKUP(TBLKEBABSOSYAMMEDIUM[NAMA BAHAN],[2]!TBLREKAPBAHAN[[NAMA BAHAN]:[MODAL SATUAN]],3,FALSE)</f>
        <v>3000</v>
      </c>
      <c r="E12" s="42" t="s">
        <v>36</v>
      </c>
      <c r="F12" s="12">
        <f>VLOOKUP(TBLKEBABSOSYAMMEDIUM[NAMA BAHAN],[2]!TBLREKAPBAHAN[[NAMA BAHAN]:[MODAL SATUAN]],4,FALSE)</f>
        <v>7.666666666666667</v>
      </c>
      <c r="G12" s="12">
        <f>VLOOKUP(TBLKEBABSOSYAMMEDIUM[NAMA BAHAN],[2]!TBLREKAPBAHAN[[NAMA BAHAN]:[MODAL SATUAN]],4,FALSE)</f>
        <v>7.666666666666667</v>
      </c>
      <c r="H12" s="77">
        <v>10</v>
      </c>
      <c r="I12" s="78">
        <f t="shared" si="0"/>
        <v>76.666666666666671</v>
      </c>
      <c r="J12" s="77">
        <v>10</v>
      </c>
      <c r="K12" s="78">
        <f t="shared" si="1"/>
        <v>76.666666666666671</v>
      </c>
      <c r="L12" s="70">
        <v>10</v>
      </c>
      <c r="M12" s="71">
        <f t="shared" si="2"/>
        <v>76.666666666666671</v>
      </c>
      <c r="N12" s="70">
        <v>10</v>
      </c>
      <c r="O12" s="71">
        <f t="shared" si="3"/>
        <v>76.666666666666671</v>
      </c>
      <c r="Q12" s="142">
        <v>10</v>
      </c>
      <c r="R12" s="143">
        <f>TBLKEBABSOSYAMMEDIUM[[#This Row],[MODAL SATUAN]]*Q12</f>
        <v>76.666666666666671</v>
      </c>
    </row>
    <row r="13" spans="1:18" x14ac:dyDescent="0.25">
      <c r="A13" s="135">
        <v>12</v>
      </c>
      <c r="B13" s="10" t="s">
        <v>73</v>
      </c>
      <c r="C13" s="11">
        <f>VLOOKUP(TBLKEBABSOSYAMMEDIUM[NAMA BAHAN],[2]!TBLREKAPBAHAN[[NAMA BAHAN]:[MODAL SATUAN]],2,FALSE)</f>
        <v>25000</v>
      </c>
      <c r="D13" s="11">
        <f>VLOOKUP(TBLKEBABSOSYAMMEDIUM[NAMA BAHAN],[2]!TBLREKAPBAHAN[[NAMA BAHAN]:[MODAL SATUAN]],3,FALSE)</f>
        <v>100</v>
      </c>
      <c r="E13" s="42" t="s">
        <v>30</v>
      </c>
      <c r="F13" s="12">
        <f>VLOOKUP(TBLKEBABSOSYAMMEDIUM[NAMA BAHAN],[2]!TBLREKAPBAHAN[[NAMA BAHAN]:[MODAL SATUAN]],4,FALSE)</f>
        <v>250</v>
      </c>
      <c r="G13" s="12">
        <f>VLOOKUP(TBLKEBABSOSYAMMEDIUM[NAMA BAHAN],[2]!TBLREKAPBAHAN[[NAMA BAHAN]:[MODAL SATUAN]],4,FALSE)</f>
        <v>250</v>
      </c>
      <c r="H13" s="77">
        <v>1</v>
      </c>
      <c r="I13" s="78">
        <f t="shared" si="0"/>
        <v>250</v>
      </c>
      <c r="J13" s="77">
        <v>1</v>
      </c>
      <c r="K13" s="78">
        <f t="shared" si="1"/>
        <v>250</v>
      </c>
      <c r="L13" s="70">
        <v>1</v>
      </c>
      <c r="M13" s="71">
        <f t="shared" si="2"/>
        <v>250</v>
      </c>
      <c r="N13" s="70">
        <v>1</v>
      </c>
      <c r="O13" s="71">
        <f t="shared" si="3"/>
        <v>250</v>
      </c>
      <c r="Q13" s="142">
        <v>1</v>
      </c>
      <c r="R13" s="143">
        <f>TBLKEBABSOSYAMMEDIUM[[#This Row],[MODAL SATUAN]]*Q13</f>
        <v>250</v>
      </c>
    </row>
    <row r="14" spans="1:18" x14ac:dyDescent="0.25">
      <c r="A14" s="135">
        <v>13</v>
      </c>
      <c r="B14" s="10" t="s">
        <v>52</v>
      </c>
      <c r="C14" s="11">
        <f>VLOOKUP(TBLKEBABSOSYAMMEDIUM[NAMA BAHAN],[2]!TBLREKAPBAHAN[[NAMA BAHAN]:[MODAL SATUAN]],2,FALSE)</f>
        <v>5500</v>
      </c>
      <c r="D14" s="11">
        <f>VLOOKUP(TBLKEBABSOSYAMMEDIUM[NAMA BAHAN],[2]!TBLREKAPBAHAN[[NAMA BAHAN]:[MODAL SATUAN]],3,FALSE)</f>
        <v>100</v>
      </c>
      <c r="E14" s="42" t="s">
        <v>30</v>
      </c>
      <c r="F14" s="12">
        <f>VLOOKUP(TBLKEBABSOSYAMMEDIUM[NAMA BAHAN],[2]!TBLREKAPBAHAN[[NAMA BAHAN]:[MODAL SATUAN]],4,FALSE)</f>
        <v>55</v>
      </c>
      <c r="G14" s="12">
        <f>VLOOKUP(TBLKEBABSOSYAMMEDIUM[NAMA BAHAN],[2]!TBLREKAPBAHAN[[NAMA BAHAN]:[MODAL SATUAN]],4,FALSE)</f>
        <v>55</v>
      </c>
      <c r="H14" s="77">
        <v>1</v>
      </c>
      <c r="I14" s="78">
        <f t="shared" si="0"/>
        <v>55</v>
      </c>
      <c r="J14" s="77">
        <v>1</v>
      </c>
      <c r="K14" s="78">
        <f t="shared" si="1"/>
        <v>55</v>
      </c>
      <c r="L14" s="70">
        <v>1</v>
      </c>
      <c r="M14" s="71">
        <f t="shared" si="2"/>
        <v>55</v>
      </c>
      <c r="N14" s="70">
        <v>1</v>
      </c>
      <c r="O14" s="71">
        <f t="shared" si="3"/>
        <v>55</v>
      </c>
      <c r="Q14" s="142">
        <v>1</v>
      </c>
      <c r="R14" s="143">
        <f>TBLKEBABSOSYAMMEDIUM[[#This Row],[MODAL SATUAN]]*Q14</f>
        <v>55</v>
      </c>
    </row>
    <row r="15" spans="1:18" s="17" customFormat="1" ht="15.75" customHeight="1" x14ac:dyDescent="0.25">
      <c r="A15" s="44"/>
      <c r="B15" s="147" t="s">
        <v>20</v>
      </c>
      <c r="C15" s="147"/>
      <c r="D15" s="147"/>
      <c r="E15" s="147"/>
      <c r="F15" s="147"/>
      <c r="G15" s="147"/>
      <c r="H15" s="79"/>
      <c r="I15" s="80">
        <f>SUM(I2:I14)</f>
        <v>8274.7192982456145</v>
      </c>
      <c r="J15" s="79"/>
      <c r="K15" s="80">
        <f>SUM(K2:K14)</f>
        <v>8174.7192982456145</v>
      </c>
      <c r="L15" s="73"/>
      <c r="M15" s="74">
        <f>SUM(M2:M14)</f>
        <v>8762.2192982456127</v>
      </c>
      <c r="N15" s="73"/>
      <c r="O15" s="74">
        <f>SUM(O2:O14)</f>
        <v>8558.2719298245611</v>
      </c>
      <c r="R15" s="17">
        <f>SUM(R2:R14)</f>
        <v>8787.8771929824561</v>
      </c>
    </row>
    <row r="18" ht="15" customHeight="1" x14ac:dyDescent="0.25"/>
  </sheetData>
  <mergeCells count="1">
    <mergeCell ref="B15:G15"/>
  </mergeCells>
  <pageMargins left="0" right="0" top="0" bottom="0" header="0" footer="0"/>
  <pageSetup paperSize="9" scale="75" fitToWidth="0" fitToHeight="0" orientation="landscape" horizontalDpi="4294967293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zoomScale="80" zoomScaleNormal="80" workbookViewId="0">
      <pane xSplit="6" ySplit="1" topLeftCell="Q7" activePane="bottomRight" state="frozen"/>
      <selection activeCell="K27" sqref="K27"/>
      <selection pane="topRight" activeCell="K27" sqref="K27"/>
      <selection pane="bottomLeft" activeCell="K27" sqref="K27"/>
      <selection pane="bottomRight" activeCell="M7" sqref="M7"/>
    </sheetView>
  </sheetViews>
  <sheetFormatPr defaultRowHeight="15" x14ac:dyDescent="0.25"/>
  <cols>
    <col min="1" max="2" width="35" style="9" customWidth="1"/>
    <col min="3" max="3" width="15.7109375" style="1" customWidth="1"/>
    <col min="4" max="4" width="12.42578125" style="1" customWidth="1"/>
    <col min="5" max="5" width="23" style="1" customWidth="1"/>
    <col min="6" max="6" width="17.5703125" style="1" customWidth="1"/>
    <col min="7" max="7" width="9.28515625" style="18" customWidth="1"/>
    <col min="8" max="8" width="23.42578125" style="1" customWidth="1"/>
    <col min="9" max="9" width="9.28515625" style="18" customWidth="1"/>
    <col min="10" max="10" width="23.42578125" style="1" customWidth="1"/>
    <col min="11" max="11" width="9.28515625" style="18" customWidth="1"/>
    <col min="12" max="12" width="23.42578125" style="1" customWidth="1"/>
    <col min="13" max="13" width="9.28515625" style="18" customWidth="1"/>
    <col min="14" max="14" width="23.42578125" style="1" customWidth="1"/>
    <col min="15" max="15" width="9.28515625" style="18" customWidth="1"/>
    <col min="16" max="16" width="23.42578125" style="1" customWidth="1"/>
    <col min="17" max="17" width="9.28515625" style="18" customWidth="1"/>
    <col min="18" max="18" width="23.42578125" style="9" customWidth="1"/>
    <col min="19" max="21" width="9.140625" style="9"/>
    <col min="22" max="22" width="17.42578125" style="9" customWidth="1"/>
    <col min="23" max="16384" width="9.140625" style="9"/>
  </cols>
  <sheetData>
    <row r="1" spans="1:20" s="108" customFormat="1" ht="72" customHeight="1" x14ac:dyDescent="0.25">
      <c r="A1" s="53" t="s">
        <v>90</v>
      </c>
      <c r="B1" s="54" t="s">
        <v>0</v>
      </c>
      <c r="C1" s="53" t="s">
        <v>4</v>
      </c>
      <c r="D1" s="53" t="s">
        <v>3</v>
      </c>
      <c r="E1" s="53" t="s">
        <v>1</v>
      </c>
      <c r="F1" s="53" t="s">
        <v>2</v>
      </c>
      <c r="G1" s="106" t="s">
        <v>5</v>
      </c>
      <c r="H1" s="107" t="s">
        <v>17</v>
      </c>
      <c r="I1" s="106" t="s">
        <v>146</v>
      </c>
      <c r="J1" s="107" t="s">
        <v>9</v>
      </c>
      <c r="K1" s="106" t="s">
        <v>147</v>
      </c>
      <c r="L1" s="107" t="s">
        <v>163</v>
      </c>
      <c r="M1" s="106" t="s">
        <v>148</v>
      </c>
      <c r="N1" s="107" t="s">
        <v>10</v>
      </c>
      <c r="O1" s="106" t="s">
        <v>149</v>
      </c>
      <c r="P1" s="107" t="s">
        <v>117</v>
      </c>
      <c r="Q1" s="106" t="s">
        <v>150</v>
      </c>
      <c r="R1" s="107" t="s">
        <v>157</v>
      </c>
      <c r="T1" s="128" t="s">
        <v>184</v>
      </c>
    </row>
    <row r="2" spans="1:20" x14ac:dyDescent="0.25">
      <c r="A2" s="104">
        <v>1</v>
      </c>
      <c r="B2" s="10" t="s">
        <v>71</v>
      </c>
      <c r="C2" s="11">
        <f>VLOOKUP(TBLPIZZAYES[NAMA BAHAN],[2]!TBLREKAPBAHAN[[NAMA BAHAN]:[MODAL SATUAN]],2,FALSE)</f>
        <v>12000</v>
      </c>
      <c r="D2" s="11">
        <f>VLOOKUP(TBLPIZZAYES[NAMA BAHAN],[2]!TBLREKAPBAHAN[[NAMA BAHAN]:[MODAL SATUAN]],3,FALSE)</f>
        <v>250</v>
      </c>
      <c r="E2" s="12">
        <f>VLOOKUP(TBLPIZZAYES[NAMA BAHAN],[2]!TBLREKAPBAHAN[[NAMA BAHAN]:[MODAL SATUAN]],4,FALSE)</f>
        <v>48</v>
      </c>
      <c r="F2" s="12">
        <f>VLOOKUP(TBLPIZZAYES[NAMA BAHAN],[2]!TBLREKAPBAHAN[[NAMA BAHAN]:[MODAL SATUAN]],4,FALSE)</f>
        <v>48</v>
      </c>
      <c r="G2" s="70">
        <v>50</v>
      </c>
      <c r="H2" s="71">
        <f>F2*G2</f>
        <v>2400</v>
      </c>
      <c r="I2" s="70">
        <v>50</v>
      </c>
      <c r="J2" s="71">
        <f t="shared" ref="J2:J29" si="0">F2*I2</f>
        <v>2400</v>
      </c>
      <c r="K2" s="70">
        <v>30</v>
      </c>
      <c r="L2" s="71">
        <f t="shared" ref="L2:L29" si="1">F2*K2</f>
        <v>1440</v>
      </c>
      <c r="M2" s="70">
        <v>30</v>
      </c>
      <c r="N2" s="71">
        <f t="shared" ref="N2:N29" si="2">F2*M2</f>
        <v>1440</v>
      </c>
      <c r="O2" s="70">
        <v>50</v>
      </c>
      <c r="P2" s="71">
        <f>F2*O2</f>
        <v>2400</v>
      </c>
      <c r="Q2" s="70">
        <v>35</v>
      </c>
      <c r="R2" s="71">
        <f t="shared" ref="R2:R29" si="3">F2*Q2</f>
        <v>1680</v>
      </c>
      <c r="S2" s="138">
        <v>50</v>
      </c>
      <c r="T2" s="140">
        <f>TBLPIZZAYES[[#This Row],[MODAL SATUAN]]*S2</f>
        <v>2400</v>
      </c>
    </row>
    <row r="3" spans="1:20" x14ac:dyDescent="0.25">
      <c r="A3" s="104">
        <v>2</v>
      </c>
      <c r="B3" s="10" t="s">
        <v>74</v>
      </c>
      <c r="C3" s="11">
        <f>VLOOKUP(TBLPIZZAYES[NAMA BAHAN],[2]!TBLREKAPBAHAN[[NAMA BAHAN]:[MODAL SATUAN]],2,FALSE)</f>
        <v>7000</v>
      </c>
      <c r="D3" s="11">
        <f>VLOOKUP(TBLPIZZAYES[NAMA BAHAN],[2]!TBLREKAPBAHAN[[NAMA BAHAN]:[MODAL SATUAN]],3,FALSE)</f>
        <v>24</v>
      </c>
      <c r="E3" s="12">
        <f>VLOOKUP(TBLPIZZAYES[NAMA BAHAN],[2]!TBLREKAPBAHAN[[NAMA BAHAN]:[MODAL SATUAN]],4,FALSE)</f>
        <v>291.66666666666669</v>
      </c>
      <c r="F3" s="12">
        <f>VLOOKUP(TBLPIZZAYES[NAMA BAHAN],[2]!TBLREKAPBAHAN[[NAMA BAHAN]:[MODAL SATUAN]],4,FALSE)</f>
        <v>291.66666666666669</v>
      </c>
      <c r="G3" s="70">
        <v>2</v>
      </c>
      <c r="H3" s="71">
        <f>F3*G3</f>
        <v>583.33333333333337</v>
      </c>
      <c r="I3" s="70">
        <v>2</v>
      </c>
      <c r="J3" s="71">
        <f>F3*I3</f>
        <v>583.33333333333337</v>
      </c>
      <c r="K3" s="70">
        <v>2</v>
      </c>
      <c r="L3" s="71">
        <f>F3*K3</f>
        <v>583.33333333333337</v>
      </c>
      <c r="M3" s="70">
        <v>2</v>
      </c>
      <c r="N3" s="71">
        <f>F3*M3</f>
        <v>583.33333333333337</v>
      </c>
      <c r="O3" s="70">
        <v>2</v>
      </c>
      <c r="P3" s="71">
        <f>F3*O3</f>
        <v>583.33333333333337</v>
      </c>
      <c r="Q3" s="70">
        <v>2</v>
      </c>
      <c r="R3" s="71">
        <f t="shared" si="3"/>
        <v>583.33333333333337</v>
      </c>
      <c r="S3" s="138">
        <v>2</v>
      </c>
      <c r="T3" s="140">
        <f>TBLPIZZAYES[[#This Row],[MODAL SATUAN]]*S3</f>
        <v>583.33333333333337</v>
      </c>
    </row>
    <row r="4" spans="1:20" x14ac:dyDescent="0.25">
      <c r="A4" s="104">
        <v>3</v>
      </c>
      <c r="B4" s="10" t="s">
        <v>28</v>
      </c>
      <c r="C4" s="11">
        <f>VLOOKUP(TBLPIZZAYES[NAMA BAHAN],[2]!TBLREKAPBAHAN[[NAMA BAHAN]:[MODAL SATUAN]],2,FALSE)</f>
        <v>8000</v>
      </c>
      <c r="D4" s="11">
        <f>VLOOKUP(TBLPIZZAYES[NAMA BAHAN],[2]!TBLREKAPBAHAN[[NAMA BAHAN]:[MODAL SATUAN]],3,FALSE)</f>
        <v>24</v>
      </c>
      <c r="E4" s="14">
        <f>VLOOKUP(TBLPIZZAYES[NAMA BAHAN],[2]!TBLREKAPBAHAN[[NAMA BAHAN]:[MODAL SATUAN]],4,FALSE)</f>
        <v>333.33333333333331</v>
      </c>
      <c r="F4" s="12">
        <f>VLOOKUP(TBLPIZZAYES[NAMA BAHAN],[2]!TBLREKAPBAHAN[[NAMA BAHAN]:[MODAL SATUAN]],4,FALSE)</f>
        <v>333.33333333333331</v>
      </c>
      <c r="G4" s="70">
        <v>2</v>
      </c>
      <c r="H4" s="71">
        <f t="shared" ref="H4:H28" si="4">F4*G4</f>
        <v>666.66666666666663</v>
      </c>
      <c r="I4" s="70">
        <v>2</v>
      </c>
      <c r="J4" s="71">
        <f>F4*I4</f>
        <v>666.66666666666663</v>
      </c>
      <c r="K4" s="70">
        <v>2</v>
      </c>
      <c r="L4" s="71">
        <f>F4*K4</f>
        <v>666.66666666666663</v>
      </c>
      <c r="M4" s="70">
        <v>2</v>
      </c>
      <c r="N4" s="81">
        <f>F4*M4</f>
        <v>666.66666666666663</v>
      </c>
      <c r="O4" s="70">
        <v>2</v>
      </c>
      <c r="P4" s="71">
        <f t="shared" ref="P4:P29" si="5">F4*O4</f>
        <v>666.66666666666663</v>
      </c>
      <c r="Q4" s="70">
        <v>2</v>
      </c>
      <c r="R4" s="71">
        <f t="shared" si="3"/>
        <v>666.66666666666663</v>
      </c>
      <c r="S4" s="138">
        <v>2</v>
      </c>
      <c r="T4" s="140">
        <f>TBLPIZZAYES[[#This Row],[MODAL SATUAN]]*S4</f>
        <v>666.66666666666663</v>
      </c>
    </row>
    <row r="5" spans="1:20" x14ac:dyDescent="0.25">
      <c r="A5" s="104">
        <v>4</v>
      </c>
      <c r="B5" s="10" t="s">
        <v>190</v>
      </c>
      <c r="C5" s="11">
        <f>VLOOKUP(TBLPIZZAYES[NAMA BAHAN],[2]!TBLREKAPBAHAN[[NAMA BAHAN]:[MODAL SATUAN]],2,FALSE)</f>
        <v>90000</v>
      </c>
      <c r="D5" s="11">
        <f>VLOOKUP(TBLPIZZAYES[NAMA BAHAN],[2]!TBLREKAPBAHAN[[NAMA BAHAN]:[MODAL SATUAN]],3,FALSE)</f>
        <v>500</v>
      </c>
      <c r="E5" s="12">
        <f>VLOOKUP(TBLPIZZAYES[NAMA BAHAN],[2]!TBLREKAPBAHAN[[NAMA BAHAN]:[MODAL SATUAN]],4,FALSE)</f>
        <v>180</v>
      </c>
      <c r="F5" s="12">
        <f>VLOOKUP(TBLPIZZAYES[NAMA BAHAN],[2]!TBLREKAPBAHAN[[NAMA BAHAN]:[MODAL SATUAN]],4,FALSE)</f>
        <v>180</v>
      </c>
      <c r="G5" s="70">
        <v>64</v>
      </c>
      <c r="H5" s="71">
        <f t="shared" si="4"/>
        <v>11520</v>
      </c>
      <c r="I5" s="70">
        <v>64</v>
      </c>
      <c r="J5" s="71">
        <f t="shared" si="0"/>
        <v>11520</v>
      </c>
      <c r="K5" s="70">
        <v>64</v>
      </c>
      <c r="L5" s="71">
        <f t="shared" si="1"/>
        <v>11520</v>
      </c>
      <c r="M5" s="70">
        <v>64</v>
      </c>
      <c r="N5" s="71">
        <f t="shared" si="2"/>
        <v>11520</v>
      </c>
      <c r="O5" s="70">
        <v>64</v>
      </c>
      <c r="P5" s="71">
        <f t="shared" si="5"/>
        <v>11520</v>
      </c>
      <c r="Q5" s="70">
        <v>64</v>
      </c>
      <c r="R5" s="71">
        <f t="shared" si="3"/>
        <v>11520</v>
      </c>
      <c r="S5" s="138">
        <v>64</v>
      </c>
      <c r="T5" s="140">
        <f>TBLPIZZAYES[[#This Row],[MODAL SATUAN]]*S5</f>
        <v>11520</v>
      </c>
    </row>
    <row r="6" spans="1:20" x14ac:dyDescent="0.25">
      <c r="A6" s="104">
        <v>5</v>
      </c>
      <c r="B6" s="10" t="s">
        <v>57</v>
      </c>
      <c r="C6" s="11">
        <f>VLOOKUP(TBLPIZZAYES[NAMA BAHAN],[2]!TBLREKAPBAHAN[[NAMA BAHAN]:[MODAL SATUAN]],2,FALSE)</f>
        <v>35000</v>
      </c>
      <c r="D6" s="11">
        <f>VLOOKUP(TBLPIZZAYES[NAMA BAHAN],[2]!TBLREKAPBAHAN[[NAMA BAHAN]:[MODAL SATUAN]],3,FALSE)</f>
        <v>38</v>
      </c>
      <c r="E6" s="12">
        <f>VLOOKUP(TBLPIZZAYES[NAMA BAHAN],[2]!TBLREKAPBAHAN[[NAMA BAHAN]:[MODAL SATUAN]],4,FALSE)</f>
        <v>921.0526315789474</v>
      </c>
      <c r="F6" s="12">
        <f>VLOOKUP(TBLPIZZAYES[NAMA BAHAN],[2]!TBLREKAPBAHAN[[NAMA BAHAN]:[MODAL SATUAN]],4,FALSE)</f>
        <v>921.0526315789474</v>
      </c>
      <c r="G6" s="70">
        <v>4</v>
      </c>
      <c r="H6" s="71">
        <f t="shared" si="4"/>
        <v>3684.2105263157896</v>
      </c>
      <c r="I6" s="70">
        <v>3</v>
      </c>
      <c r="J6" s="71">
        <f t="shared" si="0"/>
        <v>2763.1578947368421</v>
      </c>
      <c r="K6" s="70">
        <v>2</v>
      </c>
      <c r="L6" s="71">
        <f t="shared" si="1"/>
        <v>1842.1052631578948</v>
      </c>
      <c r="M6" s="70">
        <v>1</v>
      </c>
      <c r="N6" s="71">
        <f t="shared" si="2"/>
        <v>921.0526315789474</v>
      </c>
      <c r="O6" s="70">
        <v>1</v>
      </c>
      <c r="P6" s="71">
        <f t="shared" si="5"/>
        <v>921.0526315789474</v>
      </c>
      <c r="Q6" s="70">
        <v>0</v>
      </c>
      <c r="R6" s="71">
        <f t="shared" si="3"/>
        <v>0</v>
      </c>
      <c r="S6" s="138">
        <v>0</v>
      </c>
      <c r="T6" s="140">
        <f>TBLPIZZAYES[[#This Row],[MODAL SATUAN]]*S6</f>
        <v>0</v>
      </c>
    </row>
    <row r="7" spans="1:20" x14ac:dyDescent="0.25">
      <c r="A7" s="104">
        <v>6</v>
      </c>
      <c r="B7" s="10" t="s">
        <v>58</v>
      </c>
      <c r="C7" s="11">
        <f>VLOOKUP(TBLPIZZAYES[NAMA BAHAN],[2]!TBLREKAPBAHAN[[NAMA BAHAN]:[MODAL SATUAN]],2,FALSE)</f>
        <v>45000</v>
      </c>
      <c r="D7" s="11">
        <f>VLOOKUP(TBLPIZZAYES[NAMA BAHAN],[2]!TBLREKAPBAHAN[[NAMA BAHAN]:[MODAL SATUAN]],3,FALSE)</f>
        <v>400</v>
      </c>
      <c r="E7" s="12">
        <f>VLOOKUP(TBLPIZZAYES[NAMA BAHAN],[2]!TBLREKAPBAHAN[[NAMA BAHAN]:[MODAL SATUAN]],4,FALSE)</f>
        <v>112.5</v>
      </c>
      <c r="F7" s="12">
        <f>VLOOKUP(TBLPIZZAYES[NAMA BAHAN],[2]!TBLREKAPBAHAN[[NAMA BAHAN]:[MODAL SATUAN]],4,FALSE)</f>
        <v>112.5</v>
      </c>
      <c r="G7" s="70">
        <v>0</v>
      </c>
      <c r="H7" s="71">
        <f t="shared" si="4"/>
        <v>0</v>
      </c>
      <c r="I7" s="70">
        <v>30</v>
      </c>
      <c r="J7" s="71">
        <f t="shared" si="0"/>
        <v>3375</v>
      </c>
      <c r="K7" s="70">
        <v>0</v>
      </c>
      <c r="L7" s="71">
        <f t="shared" si="1"/>
        <v>0</v>
      </c>
      <c r="M7" s="70">
        <v>30</v>
      </c>
      <c r="N7" s="71">
        <f t="shared" si="2"/>
        <v>3375</v>
      </c>
      <c r="O7" s="70">
        <v>30</v>
      </c>
      <c r="P7" s="71">
        <f t="shared" si="5"/>
        <v>3375</v>
      </c>
      <c r="Q7" s="70">
        <v>0</v>
      </c>
      <c r="R7" s="71">
        <f t="shared" si="3"/>
        <v>0</v>
      </c>
      <c r="S7" s="138">
        <v>28</v>
      </c>
      <c r="T7" s="140">
        <f>TBLPIZZAYES[[#This Row],[MODAL SATUAN]]*S7</f>
        <v>3150</v>
      </c>
    </row>
    <row r="8" spans="1:20" x14ac:dyDescent="0.25">
      <c r="A8" s="104">
        <v>7</v>
      </c>
      <c r="B8" s="10" t="s">
        <v>143</v>
      </c>
      <c r="C8" s="11">
        <f>VLOOKUP(TBLPIZZAYES[NAMA BAHAN],[2]!TBLREKAPBAHAN[[NAMA BAHAN]:[MODAL SATUAN]],2,FALSE)</f>
        <v>85000</v>
      </c>
      <c r="D8" s="11">
        <f>VLOOKUP(TBLPIZZAYES[NAMA BAHAN],[2]!TBLREKAPBAHAN[[NAMA BAHAN]:[MODAL SATUAN]],3,FALSE)</f>
        <v>1000</v>
      </c>
      <c r="E8" s="12">
        <f>VLOOKUP(TBLPIZZAYES[NAMA BAHAN],[2]!TBLREKAPBAHAN[[NAMA BAHAN]:[MODAL SATUAN]],4,FALSE)</f>
        <v>85</v>
      </c>
      <c r="F8" s="12">
        <f>VLOOKUP(TBLPIZZAYES[NAMA BAHAN],[2]!TBLREKAPBAHAN[[NAMA BAHAN]:[MODAL SATUAN]],4,FALSE)</f>
        <v>85</v>
      </c>
      <c r="G8" s="70">
        <v>0</v>
      </c>
      <c r="H8" s="71">
        <f t="shared" si="4"/>
        <v>0</v>
      </c>
      <c r="I8" s="70">
        <v>0</v>
      </c>
      <c r="J8" s="71">
        <f t="shared" si="0"/>
        <v>0</v>
      </c>
      <c r="K8" s="70">
        <v>0</v>
      </c>
      <c r="L8" s="71">
        <f t="shared" si="1"/>
        <v>0</v>
      </c>
      <c r="M8" s="70">
        <v>0</v>
      </c>
      <c r="N8" s="71">
        <f t="shared" si="2"/>
        <v>0</v>
      </c>
      <c r="O8" s="70">
        <v>0</v>
      </c>
      <c r="P8" s="71">
        <f t="shared" si="5"/>
        <v>0</v>
      </c>
      <c r="Q8" s="70">
        <v>50</v>
      </c>
      <c r="R8" s="71">
        <f t="shared" si="3"/>
        <v>4250</v>
      </c>
      <c r="S8" s="138">
        <v>35</v>
      </c>
      <c r="T8" s="140">
        <f>TBLPIZZAYES[[#This Row],[MODAL SATUAN]]*S8</f>
        <v>2975</v>
      </c>
    </row>
    <row r="9" spans="1:20" x14ac:dyDescent="0.25">
      <c r="A9" s="104">
        <v>8</v>
      </c>
      <c r="B9" s="10" t="s">
        <v>54</v>
      </c>
      <c r="C9" s="11">
        <f>VLOOKUP(TBLPIZZAYES[NAMA BAHAN],[2]!TBLREKAPBAHAN[[NAMA BAHAN]:[MODAL SATUAN]],2,FALSE)</f>
        <v>35000</v>
      </c>
      <c r="D9" s="11">
        <f>VLOOKUP(TBLPIZZAYES[NAMA BAHAN],[2]!TBLREKAPBAHAN[[NAMA BAHAN]:[MODAL SATUAN]],3,FALSE)</f>
        <v>1000</v>
      </c>
      <c r="E9" s="12">
        <f>VLOOKUP(TBLPIZZAYES[NAMA BAHAN],[2]!TBLREKAPBAHAN[[NAMA BAHAN]:[MODAL SATUAN]],4,FALSE)</f>
        <v>35</v>
      </c>
      <c r="F9" s="12">
        <f>VLOOKUP(TBLPIZZAYES[NAMA BAHAN],[2]!TBLREKAPBAHAN[[NAMA BAHAN]:[MODAL SATUAN]],4,FALSE)</f>
        <v>35</v>
      </c>
      <c r="G9" s="70">
        <v>18</v>
      </c>
      <c r="H9" s="71">
        <f t="shared" si="4"/>
        <v>630</v>
      </c>
      <c r="I9" s="70">
        <v>18</v>
      </c>
      <c r="J9" s="71">
        <f>F9*I9</f>
        <v>630</v>
      </c>
      <c r="K9" s="70">
        <v>18</v>
      </c>
      <c r="L9" s="71">
        <f>F9*K9</f>
        <v>630</v>
      </c>
      <c r="M9" s="70">
        <v>18</v>
      </c>
      <c r="N9" s="71">
        <f>F9*M9</f>
        <v>630</v>
      </c>
      <c r="O9" s="70">
        <v>18</v>
      </c>
      <c r="P9" s="71">
        <f t="shared" si="5"/>
        <v>630</v>
      </c>
      <c r="Q9" s="70">
        <v>18</v>
      </c>
      <c r="R9" s="71">
        <f t="shared" si="3"/>
        <v>630</v>
      </c>
      <c r="S9" s="138">
        <v>18</v>
      </c>
      <c r="T9" s="140">
        <f>TBLPIZZAYES[[#This Row],[MODAL SATUAN]]*S9</f>
        <v>630</v>
      </c>
    </row>
    <row r="10" spans="1:20" x14ac:dyDescent="0.25">
      <c r="A10" s="104">
        <v>9</v>
      </c>
      <c r="B10" s="10" t="s">
        <v>75</v>
      </c>
      <c r="C10" s="11">
        <f>VLOOKUP(TBLPIZZAYES[NAMA BAHAN],[2]!TBLREKAPBAHAN[[NAMA BAHAN]:[MODAL SATUAN]],2,FALSE)</f>
        <v>18000</v>
      </c>
      <c r="D10" s="11">
        <f>VLOOKUP(TBLPIZZAYES[NAMA BAHAN],[2]!TBLREKAPBAHAN[[NAMA BAHAN]:[MODAL SATUAN]],3,FALSE)</f>
        <v>1000</v>
      </c>
      <c r="E10" s="12">
        <f>VLOOKUP(TBLPIZZAYES[NAMA BAHAN],[2]!TBLREKAPBAHAN[[NAMA BAHAN]:[MODAL SATUAN]],4,FALSE)</f>
        <v>18</v>
      </c>
      <c r="F10" s="12">
        <f>VLOOKUP(TBLPIZZAYES[NAMA BAHAN],[2]!TBLREKAPBAHAN[[NAMA BAHAN]:[MODAL SATUAN]],4,FALSE)</f>
        <v>18</v>
      </c>
      <c r="G10" s="70">
        <v>13.5</v>
      </c>
      <c r="H10" s="71">
        <f t="shared" si="4"/>
        <v>243</v>
      </c>
      <c r="I10" s="70">
        <v>13.5</v>
      </c>
      <c r="J10" s="71">
        <f t="shared" si="0"/>
        <v>243</v>
      </c>
      <c r="K10" s="70">
        <v>13.5</v>
      </c>
      <c r="L10" s="71">
        <f t="shared" si="1"/>
        <v>243</v>
      </c>
      <c r="M10" s="70">
        <v>13.5</v>
      </c>
      <c r="N10" s="71">
        <f t="shared" si="2"/>
        <v>243</v>
      </c>
      <c r="O10" s="70">
        <v>13.5</v>
      </c>
      <c r="P10" s="71">
        <f t="shared" si="5"/>
        <v>243</v>
      </c>
      <c r="Q10" s="70">
        <v>13.5</v>
      </c>
      <c r="R10" s="71">
        <f t="shared" si="3"/>
        <v>243</v>
      </c>
      <c r="S10" s="138">
        <v>13.5</v>
      </c>
      <c r="T10" s="140">
        <f>TBLPIZZAYES[[#This Row],[MODAL SATUAN]]*S10</f>
        <v>243</v>
      </c>
    </row>
    <row r="11" spans="1:20" x14ac:dyDescent="0.25">
      <c r="A11" s="104">
        <v>10</v>
      </c>
      <c r="B11" s="10" t="s">
        <v>76</v>
      </c>
      <c r="C11" s="11">
        <f>VLOOKUP(TBLPIZZAYES[NAMA BAHAN],[2]!TBLREKAPBAHAN[[NAMA BAHAN]:[MODAL SATUAN]],2,FALSE)</f>
        <v>4000</v>
      </c>
      <c r="D11" s="11">
        <f>VLOOKUP(TBLPIZZAYES[NAMA BAHAN],[2]!TBLREKAPBAHAN[[NAMA BAHAN]:[MODAL SATUAN]],3,FALSE)</f>
        <v>250</v>
      </c>
      <c r="E11" s="12">
        <f>VLOOKUP(TBLPIZZAYES[NAMA BAHAN],[2]!TBLREKAPBAHAN[[NAMA BAHAN]:[MODAL SATUAN]],4,FALSE)</f>
        <v>16</v>
      </c>
      <c r="F11" s="12">
        <f>VLOOKUP(TBLPIZZAYES[NAMA BAHAN],[2]!TBLREKAPBAHAN[[NAMA BAHAN]:[MODAL SATUAN]],4,FALSE)</f>
        <v>16</v>
      </c>
      <c r="G11" s="70">
        <v>3</v>
      </c>
      <c r="H11" s="71">
        <f t="shared" si="4"/>
        <v>48</v>
      </c>
      <c r="I11" s="70">
        <v>3</v>
      </c>
      <c r="J11" s="71">
        <f t="shared" si="0"/>
        <v>48</v>
      </c>
      <c r="K11" s="70">
        <v>3</v>
      </c>
      <c r="L11" s="71">
        <f t="shared" si="1"/>
        <v>48</v>
      </c>
      <c r="M11" s="70">
        <v>3</v>
      </c>
      <c r="N11" s="71">
        <f t="shared" si="2"/>
        <v>48</v>
      </c>
      <c r="O11" s="70">
        <v>3</v>
      </c>
      <c r="P11" s="71">
        <f t="shared" si="5"/>
        <v>48</v>
      </c>
      <c r="Q11" s="70">
        <v>3</v>
      </c>
      <c r="R11" s="71">
        <f t="shared" si="3"/>
        <v>48</v>
      </c>
      <c r="S11" s="138">
        <v>3</v>
      </c>
      <c r="T11" s="140">
        <f>TBLPIZZAYES[[#This Row],[MODAL SATUAN]]*S11</f>
        <v>48</v>
      </c>
    </row>
    <row r="12" spans="1:20" x14ac:dyDescent="0.25">
      <c r="A12" s="104">
        <v>11</v>
      </c>
      <c r="B12" s="10" t="s">
        <v>77</v>
      </c>
      <c r="C12" s="11">
        <f>VLOOKUP(TBLPIZZAYES[NAMA BAHAN],[2]!TBLREKAPBAHAN[[NAMA BAHAN]:[MODAL SATUAN]],2,FALSE)</f>
        <v>7000</v>
      </c>
      <c r="D12" s="11">
        <f>VLOOKUP(TBLPIZZAYES[NAMA BAHAN],[2]!TBLREKAPBAHAN[[NAMA BAHAN]:[MODAL SATUAN]],3,FALSE)</f>
        <v>11</v>
      </c>
      <c r="E12" s="12">
        <f>VLOOKUP(TBLPIZZAYES[NAMA BAHAN],[2]!TBLREKAPBAHAN[[NAMA BAHAN]:[MODAL SATUAN]],4,FALSE)</f>
        <v>636.36363636363637</v>
      </c>
      <c r="F12" s="12">
        <f>VLOOKUP(TBLPIZZAYES[NAMA BAHAN],[2]!TBLREKAPBAHAN[[NAMA BAHAN]:[MODAL SATUAN]],4,FALSE)</f>
        <v>636.36363636363637</v>
      </c>
      <c r="G12" s="70">
        <v>5</v>
      </c>
      <c r="H12" s="71">
        <f t="shared" si="4"/>
        <v>3181.818181818182</v>
      </c>
      <c r="I12" s="70">
        <v>5</v>
      </c>
      <c r="J12" s="71">
        <f t="shared" si="0"/>
        <v>3181.818181818182</v>
      </c>
      <c r="K12" s="70">
        <v>2</v>
      </c>
      <c r="L12" s="71">
        <f t="shared" si="1"/>
        <v>1272.7272727272727</v>
      </c>
      <c r="M12" s="70">
        <v>2</v>
      </c>
      <c r="N12" s="71">
        <f t="shared" si="2"/>
        <v>1272.7272727272727</v>
      </c>
      <c r="O12" s="70">
        <v>2</v>
      </c>
      <c r="P12" s="71">
        <f t="shared" si="5"/>
        <v>1272.7272727272727</v>
      </c>
      <c r="Q12" s="70">
        <v>2</v>
      </c>
      <c r="R12" s="71">
        <f t="shared" si="3"/>
        <v>1272.7272727272727</v>
      </c>
      <c r="S12" s="138">
        <v>5</v>
      </c>
      <c r="T12" s="140">
        <f>TBLPIZZAYES[[#This Row],[MODAL SATUAN]]*S12</f>
        <v>3181.818181818182</v>
      </c>
    </row>
    <row r="13" spans="1:20" x14ac:dyDescent="0.25">
      <c r="A13" s="104">
        <v>12</v>
      </c>
      <c r="B13" s="10" t="s">
        <v>78</v>
      </c>
      <c r="C13" s="11">
        <f>VLOOKUP(TBLPIZZAYES[NAMA BAHAN],[2]!TBLREKAPBAHAN[[NAMA BAHAN]:[MODAL SATUAN]],2,FALSE)</f>
        <v>18000</v>
      </c>
      <c r="D13" s="11">
        <f>VLOOKUP(TBLPIZZAYES[NAMA BAHAN],[2]!TBLREKAPBAHAN[[NAMA BAHAN]:[MODAL SATUAN]],3,FALSE)</f>
        <v>250</v>
      </c>
      <c r="E13" s="12">
        <f>VLOOKUP(TBLPIZZAYES[NAMA BAHAN],[2]!TBLREKAPBAHAN[[NAMA BAHAN]:[MODAL SATUAN]],4,FALSE)</f>
        <v>72</v>
      </c>
      <c r="F13" s="12">
        <f>VLOOKUP(TBLPIZZAYES[NAMA BAHAN],[2]!TBLREKAPBAHAN[[NAMA BAHAN]:[MODAL SATUAN]],4,FALSE)</f>
        <v>72</v>
      </c>
      <c r="G13" s="70">
        <v>15</v>
      </c>
      <c r="H13" s="71">
        <f t="shared" si="4"/>
        <v>1080</v>
      </c>
      <c r="I13" s="70">
        <v>15</v>
      </c>
      <c r="J13" s="71">
        <f t="shared" si="0"/>
        <v>1080</v>
      </c>
      <c r="K13" s="70">
        <v>15</v>
      </c>
      <c r="L13" s="71">
        <f t="shared" si="1"/>
        <v>1080</v>
      </c>
      <c r="M13" s="70">
        <v>15</v>
      </c>
      <c r="N13" s="71">
        <f t="shared" si="2"/>
        <v>1080</v>
      </c>
      <c r="O13" s="70">
        <v>15</v>
      </c>
      <c r="P13" s="71">
        <f t="shared" si="5"/>
        <v>1080</v>
      </c>
      <c r="Q13" s="70">
        <v>15</v>
      </c>
      <c r="R13" s="71">
        <f t="shared" si="3"/>
        <v>1080</v>
      </c>
      <c r="S13" s="138">
        <v>15</v>
      </c>
      <c r="T13" s="140">
        <f>TBLPIZZAYES[[#This Row],[MODAL SATUAN]]*S13</f>
        <v>1080</v>
      </c>
    </row>
    <row r="14" spans="1:20" x14ac:dyDescent="0.25">
      <c r="A14" s="104">
        <v>13</v>
      </c>
      <c r="B14" s="10" t="s">
        <v>79</v>
      </c>
      <c r="C14" s="11">
        <f>VLOOKUP(TBLPIZZAYES[NAMA BAHAN],[2]!TBLREKAPBAHAN[[NAMA BAHAN]:[MODAL SATUAN]],2,FALSE)</f>
        <v>14000</v>
      </c>
      <c r="D14" s="11">
        <f>VLOOKUP(TBLPIZZAYES[NAMA BAHAN],[2]!TBLREKAPBAHAN[[NAMA BAHAN]:[MODAL SATUAN]],3,FALSE)</f>
        <v>1000</v>
      </c>
      <c r="E14" s="12">
        <f>VLOOKUP(TBLPIZZAYES[NAMA BAHAN],[2]!TBLREKAPBAHAN[[NAMA BAHAN]:[MODAL SATUAN]],4,FALSE)</f>
        <v>14</v>
      </c>
      <c r="F14" s="12">
        <f>VLOOKUP(TBLPIZZAYES[NAMA BAHAN],[2]!TBLREKAPBAHAN[[NAMA BAHAN]:[MODAL SATUAN]],4,FALSE)</f>
        <v>14</v>
      </c>
      <c r="G14" s="70">
        <v>30</v>
      </c>
      <c r="H14" s="71">
        <f t="shared" si="4"/>
        <v>420</v>
      </c>
      <c r="I14" s="70">
        <v>30</v>
      </c>
      <c r="J14" s="71">
        <f t="shared" si="0"/>
        <v>420</v>
      </c>
      <c r="K14" s="70">
        <v>30</v>
      </c>
      <c r="L14" s="71">
        <f t="shared" si="1"/>
        <v>420</v>
      </c>
      <c r="M14" s="70">
        <v>30</v>
      </c>
      <c r="N14" s="71">
        <f t="shared" si="2"/>
        <v>420</v>
      </c>
      <c r="O14" s="70">
        <v>30</v>
      </c>
      <c r="P14" s="71">
        <f t="shared" si="5"/>
        <v>420</v>
      </c>
      <c r="Q14" s="70">
        <v>30</v>
      </c>
      <c r="R14" s="71">
        <f t="shared" si="3"/>
        <v>420</v>
      </c>
      <c r="S14" s="138">
        <v>30</v>
      </c>
      <c r="T14" s="140">
        <f>TBLPIZZAYES[[#This Row],[MODAL SATUAN]]*S14</f>
        <v>420</v>
      </c>
    </row>
    <row r="15" spans="1:20" x14ac:dyDescent="0.25">
      <c r="A15" s="104">
        <v>14</v>
      </c>
      <c r="B15" s="10" t="s">
        <v>80</v>
      </c>
      <c r="C15" s="11">
        <f>VLOOKUP(TBLPIZZAYES[NAMA BAHAN],[2]!TBLREKAPBAHAN[[NAMA BAHAN]:[MODAL SATUAN]],2,FALSE)</f>
        <v>14000</v>
      </c>
      <c r="D15" s="11">
        <f>VLOOKUP(TBLPIZZAYES[NAMA BAHAN],[2]!TBLREKAPBAHAN[[NAMA BAHAN]:[MODAL SATUAN]],3,FALSE)</f>
        <v>1000</v>
      </c>
      <c r="E15" s="12">
        <f>VLOOKUP(TBLPIZZAYES[NAMA BAHAN],[2]!TBLREKAPBAHAN[[NAMA BAHAN]:[MODAL SATUAN]],4,FALSE)</f>
        <v>14</v>
      </c>
      <c r="F15" s="12">
        <f>VLOOKUP(TBLPIZZAYES[NAMA BAHAN],[2]!TBLREKAPBAHAN[[NAMA BAHAN]:[MODAL SATUAN]],4,FALSE)</f>
        <v>14</v>
      </c>
      <c r="G15" s="70">
        <v>50</v>
      </c>
      <c r="H15" s="71">
        <f t="shared" si="4"/>
        <v>700</v>
      </c>
      <c r="I15" s="70">
        <v>50</v>
      </c>
      <c r="J15" s="71">
        <f t="shared" si="0"/>
        <v>700</v>
      </c>
      <c r="K15" s="70">
        <v>50</v>
      </c>
      <c r="L15" s="71">
        <f t="shared" si="1"/>
        <v>700</v>
      </c>
      <c r="M15" s="70">
        <v>50</v>
      </c>
      <c r="N15" s="71">
        <f t="shared" si="2"/>
        <v>700</v>
      </c>
      <c r="O15" s="70">
        <v>50</v>
      </c>
      <c r="P15" s="71">
        <f t="shared" si="5"/>
        <v>700</v>
      </c>
      <c r="Q15" s="70">
        <v>50</v>
      </c>
      <c r="R15" s="71">
        <f t="shared" si="3"/>
        <v>700</v>
      </c>
      <c r="S15" s="138">
        <v>50</v>
      </c>
      <c r="T15" s="140">
        <f>TBLPIZZAYES[[#This Row],[MODAL SATUAN]]*S15</f>
        <v>700</v>
      </c>
    </row>
    <row r="16" spans="1:20" x14ac:dyDescent="0.25">
      <c r="A16" s="104">
        <v>15</v>
      </c>
      <c r="B16" s="10" t="s">
        <v>81</v>
      </c>
      <c r="C16" s="11">
        <f>VLOOKUP(TBLPIZZAYES[NAMA BAHAN],[2]!TBLREKAPBAHAN[[NAMA BAHAN]:[MODAL SATUAN]],2,FALSE)</f>
        <v>30000</v>
      </c>
      <c r="D16" s="11">
        <f>VLOOKUP(TBLPIZZAYES[NAMA BAHAN],[2]!TBLREKAPBAHAN[[NAMA BAHAN]:[MODAL SATUAN]],3,FALSE)</f>
        <v>30</v>
      </c>
      <c r="E16" s="12">
        <f>VLOOKUP(TBLPIZZAYES[NAMA BAHAN],[2]!TBLREKAPBAHAN[[NAMA BAHAN]:[MODAL SATUAN]],4,FALSE)</f>
        <v>1000</v>
      </c>
      <c r="F16" s="12">
        <f>VLOOKUP(TBLPIZZAYES[NAMA BAHAN],[2]!TBLREKAPBAHAN[[NAMA BAHAN]:[MODAL SATUAN]],4,FALSE)</f>
        <v>1000</v>
      </c>
      <c r="G16" s="70">
        <v>1</v>
      </c>
      <c r="H16" s="71">
        <f t="shared" si="4"/>
        <v>1000</v>
      </c>
      <c r="I16" s="70">
        <v>1</v>
      </c>
      <c r="J16" s="71">
        <f t="shared" si="0"/>
        <v>1000</v>
      </c>
      <c r="K16" s="70">
        <v>1</v>
      </c>
      <c r="L16" s="71">
        <f t="shared" si="1"/>
        <v>1000</v>
      </c>
      <c r="M16" s="70">
        <v>1</v>
      </c>
      <c r="N16" s="71">
        <f t="shared" si="2"/>
        <v>1000</v>
      </c>
      <c r="O16" s="70">
        <v>1</v>
      </c>
      <c r="P16" s="71">
        <f t="shared" si="5"/>
        <v>1000</v>
      </c>
      <c r="Q16" s="70">
        <v>1</v>
      </c>
      <c r="R16" s="71">
        <f t="shared" si="3"/>
        <v>1000</v>
      </c>
      <c r="S16" s="138">
        <v>1</v>
      </c>
      <c r="T16" s="140">
        <f>TBLPIZZAYES[[#This Row],[MODAL SATUAN]]*S16</f>
        <v>1000</v>
      </c>
    </row>
    <row r="17" spans="1:20" x14ac:dyDescent="0.25">
      <c r="A17" s="104">
        <v>16</v>
      </c>
      <c r="B17" s="10" t="s">
        <v>82</v>
      </c>
      <c r="C17" s="11">
        <f>VLOOKUP(TBLPIZZAYES[NAMA BAHAN],[2]!TBLREKAPBAHAN[[NAMA BAHAN]:[MODAL SATUAN]],2,FALSE)</f>
        <v>15000</v>
      </c>
      <c r="D17" s="11">
        <f>VLOOKUP(TBLPIZZAYES[NAMA BAHAN],[2]!TBLREKAPBAHAN[[NAMA BAHAN]:[MODAL SATUAN]],3,FALSE)</f>
        <v>80</v>
      </c>
      <c r="E17" s="12">
        <f>VLOOKUP(TBLPIZZAYES[NAMA BAHAN],[2]!TBLREKAPBAHAN[[NAMA BAHAN]:[MODAL SATUAN]],4,FALSE)</f>
        <v>187.5</v>
      </c>
      <c r="F17" s="12">
        <f>VLOOKUP(TBLPIZZAYES[NAMA BAHAN],[2]!TBLREKAPBAHAN[[NAMA BAHAN]:[MODAL SATUAN]],4,FALSE)</f>
        <v>187.5</v>
      </c>
      <c r="G17" s="70">
        <v>3</v>
      </c>
      <c r="H17" s="71">
        <f t="shared" si="4"/>
        <v>562.5</v>
      </c>
      <c r="I17" s="70">
        <v>0</v>
      </c>
      <c r="J17" s="71">
        <f t="shared" si="0"/>
        <v>0</v>
      </c>
      <c r="K17" s="70">
        <v>0</v>
      </c>
      <c r="L17" s="71">
        <f t="shared" si="1"/>
        <v>0</v>
      </c>
      <c r="M17" s="70">
        <v>0</v>
      </c>
      <c r="N17" s="71">
        <f t="shared" si="2"/>
        <v>0</v>
      </c>
      <c r="O17" s="70">
        <v>3</v>
      </c>
      <c r="P17" s="71">
        <f t="shared" si="5"/>
        <v>562.5</v>
      </c>
      <c r="Q17" s="70">
        <v>3</v>
      </c>
      <c r="R17" s="71">
        <f t="shared" si="3"/>
        <v>562.5</v>
      </c>
      <c r="S17" s="138">
        <v>0</v>
      </c>
      <c r="T17" s="140">
        <f>TBLPIZZAYES[[#This Row],[MODAL SATUAN]]*S17</f>
        <v>0</v>
      </c>
    </row>
    <row r="18" spans="1:20" x14ac:dyDescent="0.25">
      <c r="A18" s="104">
        <v>17</v>
      </c>
      <c r="B18" s="10" t="s">
        <v>83</v>
      </c>
      <c r="C18" s="11">
        <f>VLOOKUP(TBLPIZZAYES[NAMA BAHAN],[2]!TBLREKAPBAHAN[[NAMA BAHAN]:[MODAL SATUAN]],2,FALSE)</f>
        <v>5000</v>
      </c>
      <c r="D18" s="11">
        <f>VLOOKUP(TBLPIZZAYES[NAMA BAHAN],[2]!TBLREKAPBAHAN[[NAMA BAHAN]:[MODAL SATUAN]],3,FALSE)</f>
        <v>8</v>
      </c>
      <c r="E18" s="12">
        <f>VLOOKUP(TBLPIZZAYES[NAMA BAHAN],[2]!TBLREKAPBAHAN[[NAMA BAHAN]:[MODAL SATUAN]],4,FALSE)</f>
        <v>625</v>
      </c>
      <c r="F18" s="12">
        <f>VLOOKUP(TBLPIZZAYES[NAMA BAHAN],[2]!TBLREKAPBAHAN[[NAMA BAHAN]:[MODAL SATUAN]],4,FALSE)</f>
        <v>625</v>
      </c>
      <c r="G18" s="70">
        <v>2</v>
      </c>
      <c r="H18" s="71">
        <f t="shared" si="4"/>
        <v>1250</v>
      </c>
      <c r="I18" s="70">
        <v>2</v>
      </c>
      <c r="J18" s="71">
        <f t="shared" si="0"/>
        <v>1250</v>
      </c>
      <c r="K18" s="70">
        <v>2</v>
      </c>
      <c r="L18" s="71">
        <f t="shared" si="1"/>
        <v>1250</v>
      </c>
      <c r="M18" s="70">
        <v>2</v>
      </c>
      <c r="N18" s="71">
        <f t="shared" si="2"/>
        <v>1250</v>
      </c>
      <c r="O18" s="70">
        <v>2</v>
      </c>
      <c r="P18" s="71">
        <f t="shared" si="5"/>
        <v>1250</v>
      </c>
      <c r="Q18" s="70">
        <v>2</v>
      </c>
      <c r="R18" s="71">
        <f t="shared" si="3"/>
        <v>1250</v>
      </c>
      <c r="S18" s="138">
        <v>2</v>
      </c>
      <c r="T18" s="140">
        <f>TBLPIZZAYES[[#This Row],[MODAL SATUAN]]*S18</f>
        <v>1250</v>
      </c>
    </row>
    <row r="19" spans="1:20" x14ac:dyDescent="0.25">
      <c r="A19" s="104">
        <v>18</v>
      </c>
      <c r="B19" s="10" t="s">
        <v>15</v>
      </c>
      <c r="C19" s="11">
        <f>VLOOKUP(TBLPIZZAYES[NAMA BAHAN],[2]!TBLREKAPBAHAN[[NAMA BAHAN]:[MODAL SATUAN]],2,FALSE)</f>
        <v>25000</v>
      </c>
      <c r="D19" s="11">
        <f>VLOOKUP(TBLPIZZAYES[NAMA BAHAN],[2]!TBLREKAPBAHAN[[NAMA BAHAN]:[MODAL SATUAN]],3,FALSE)</f>
        <v>100</v>
      </c>
      <c r="E19" s="12">
        <f>VLOOKUP(TBLPIZZAYES[NAMA BAHAN],[2]!TBLREKAPBAHAN[[NAMA BAHAN]:[MODAL SATUAN]],4,FALSE)</f>
        <v>250</v>
      </c>
      <c r="F19" s="12">
        <f>VLOOKUP(TBLPIZZAYES[NAMA BAHAN],[2]!TBLREKAPBAHAN[[NAMA BAHAN]:[MODAL SATUAN]],4,FALSE)</f>
        <v>250</v>
      </c>
      <c r="G19" s="70">
        <v>0</v>
      </c>
      <c r="H19" s="71">
        <f t="shared" si="4"/>
        <v>0</v>
      </c>
      <c r="I19" s="70">
        <v>0</v>
      </c>
      <c r="J19" s="71">
        <f t="shared" si="0"/>
        <v>0</v>
      </c>
      <c r="K19" s="70">
        <v>25</v>
      </c>
      <c r="L19" s="71">
        <f t="shared" si="1"/>
        <v>6250</v>
      </c>
      <c r="M19" s="70">
        <v>0</v>
      </c>
      <c r="N19" s="71">
        <f t="shared" si="2"/>
        <v>0</v>
      </c>
      <c r="O19" s="70">
        <v>0</v>
      </c>
      <c r="P19" s="71">
        <f t="shared" si="5"/>
        <v>0</v>
      </c>
      <c r="Q19" s="70">
        <v>0</v>
      </c>
      <c r="R19" s="71">
        <f t="shared" si="3"/>
        <v>0</v>
      </c>
      <c r="S19" s="138">
        <v>0</v>
      </c>
      <c r="T19" s="140">
        <f>TBLPIZZAYES[[#This Row],[MODAL SATUAN]]*S19</f>
        <v>0</v>
      </c>
    </row>
    <row r="20" spans="1:20" x14ac:dyDescent="0.25">
      <c r="A20" s="104">
        <v>19</v>
      </c>
      <c r="B20" s="10" t="s">
        <v>13</v>
      </c>
      <c r="C20" s="11">
        <f>VLOOKUP(TBLPIZZAYES[NAMA BAHAN],[2]!TBLREKAPBAHAN[[NAMA BAHAN]:[MODAL SATUAN]],2,FALSE)</f>
        <v>2000</v>
      </c>
      <c r="D20" s="11">
        <f>VLOOKUP(TBLPIZZAYES[NAMA BAHAN],[2]!TBLREKAPBAHAN[[NAMA BAHAN]:[MODAL SATUAN]],3,FALSE)</f>
        <v>10</v>
      </c>
      <c r="E20" s="12">
        <f>VLOOKUP(TBLPIZZAYES[NAMA BAHAN],[2]!TBLREKAPBAHAN[[NAMA BAHAN]:[MODAL SATUAN]],4,FALSE)</f>
        <v>200</v>
      </c>
      <c r="F20" s="12">
        <f>VLOOKUP(TBLPIZZAYES[NAMA BAHAN],[2]!TBLREKAPBAHAN[[NAMA BAHAN]:[MODAL SATUAN]],4,FALSE)</f>
        <v>200</v>
      </c>
      <c r="G20" s="70">
        <v>0</v>
      </c>
      <c r="H20" s="71">
        <f t="shared" si="4"/>
        <v>0</v>
      </c>
      <c r="I20" s="70">
        <v>0</v>
      </c>
      <c r="J20" s="71">
        <f t="shared" si="0"/>
        <v>0</v>
      </c>
      <c r="K20" s="70">
        <v>0</v>
      </c>
      <c r="L20" s="71">
        <f t="shared" si="1"/>
        <v>0</v>
      </c>
      <c r="M20" s="70">
        <v>0</v>
      </c>
      <c r="N20" s="71">
        <f t="shared" si="2"/>
        <v>0</v>
      </c>
      <c r="O20" s="70">
        <v>3</v>
      </c>
      <c r="P20" s="71">
        <f t="shared" si="5"/>
        <v>600</v>
      </c>
      <c r="Q20" s="70">
        <v>0</v>
      </c>
      <c r="R20" s="71">
        <f t="shared" si="3"/>
        <v>0</v>
      </c>
      <c r="S20" s="138">
        <v>0</v>
      </c>
      <c r="T20" s="140">
        <f>TBLPIZZAYES[[#This Row],[MODAL SATUAN]]*S20</f>
        <v>0</v>
      </c>
    </row>
    <row r="21" spans="1:20" x14ac:dyDescent="0.25">
      <c r="A21" s="104">
        <v>20</v>
      </c>
      <c r="B21" s="10" t="s">
        <v>16</v>
      </c>
      <c r="C21" s="11">
        <f>VLOOKUP(TBLPIZZAYES[NAMA BAHAN],[2]!TBLREKAPBAHAN[[NAMA BAHAN]:[MODAL SATUAN]],2,FALSE)</f>
        <v>3000</v>
      </c>
      <c r="D21" s="11">
        <f>VLOOKUP(TBLPIZZAYES[NAMA BAHAN],[2]!TBLREKAPBAHAN[[NAMA BAHAN]:[MODAL SATUAN]],3,FALSE)</f>
        <v>2</v>
      </c>
      <c r="E21" s="12">
        <f>VLOOKUP(TBLPIZZAYES[NAMA BAHAN],[2]!TBLREKAPBAHAN[[NAMA BAHAN]:[MODAL SATUAN]],4,FALSE)</f>
        <v>1500</v>
      </c>
      <c r="F21" s="12">
        <f>VLOOKUP(TBLPIZZAYES[NAMA BAHAN],[2]!TBLREKAPBAHAN[[NAMA BAHAN]:[MODAL SATUAN]],4,FALSE)</f>
        <v>1500</v>
      </c>
      <c r="G21" s="70">
        <v>0</v>
      </c>
      <c r="H21" s="71">
        <f t="shared" si="4"/>
        <v>0</v>
      </c>
      <c r="I21" s="70">
        <v>0</v>
      </c>
      <c r="J21" s="71">
        <f t="shared" si="0"/>
        <v>0</v>
      </c>
      <c r="K21" s="70">
        <v>0</v>
      </c>
      <c r="L21" s="71">
        <f t="shared" si="1"/>
        <v>0</v>
      </c>
      <c r="M21" s="70">
        <v>0.5</v>
      </c>
      <c r="N21" s="71">
        <f t="shared" si="2"/>
        <v>750</v>
      </c>
      <c r="O21" s="70">
        <v>0</v>
      </c>
      <c r="P21" s="71">
        <f t="shared" si="5"/>
        <v>0</v>
      </c>
      <c r="Q21" s="70">
        <v>0</v>
      </c>
      <c r="R21" s="71">
        <f t="shared" si="3"/>
        <v>0</v>
      </c>
      <c r="S21" s="138">
        <v>0</v>
      </c>
      <c r="T21" s="140">
        <f>TBLPIZZAYES[[#This Row],[MODAL SATUAN]]*S21</f>
        <v>0</v>
      </c>
    </row>
    <row r="22" spans="1:20" x14ac:dyDescent="0.25">
      <c r="A22" s="104">
        <v>21</v>
      </c>
      <c r="B22" s="10" t="s">
        <v>141</v>
      </c>
      <c r="C22" s="11">
        <f>VLOOKUP(TBLPIZZAYES[NAMA BAHAN],[2]!TBLREKAPBAHAN[[NAMA BAHAN]:[MODAL SATUAN]],2,FALSE)</f>
        <v>10000</v>
      </c>
      <c r="D22" s="11">
        <f>VLOOKUP(TBLPIZZAYES[NAMA BAHAN],[2]!TBLREKAPBAHAN[[NAMA BAHAN]:[MODAL SATUAN]],3,FALSE)</f>
        <v>100</v>
      </c>
      <c r="E22" s="12">
        <f>VLOOKUP(TBLPIZZAYES[NAMA BAHAN],[2]!TBLREKAPBAHAN[[NAMA BAHAN]:[MODAL SATUAN]],4,FALSE)</f>
        <v>100</v>
      </c>
      <c r="F22" s="12">
        <f>VLOOKUP(TBLPIZZAYES[NAMA BAHAN],[2]!TBLREKAPBAHAN[[NAMA BAHAN]:[MODAL SATUAN]],4,FALSE)</f>
        <v>100</v>
      </c>
      <c r="G22" s="70">
        <v>5</v>
      </c>
      <c r="H22" s="71">
        <f t="shared" si="4"/>
        <v>500</v>
      </c>
      <c r="I22" s="70">
        <v>5</v>
      </c>
      <c r="J22" s="71">
        <f t="shared" si="0"/>
        <v>500</v>
      </c>
      <c r="K22" s="70">
        <v>5</v>
      </c>
      <c r="L22" s="71">
        <f t="shared" si="1"/>
        <v>500</v>
      </c>
      <c r="M22" s="70">
        <v>5</v>
      </c>
      <c r="N22" s="71">
        <f t="shared" si="2"/>
        <v>500</v>
      </c>
      <c r="O22" s="70">
        <v>5</v>
      </c>
      <c r="P22" s="71">
        <f t="shared" si="5"/>
        <v>500</v>
      </c>
      <c r="Q22" s="70">
        <v>5</v>
      </c>
      <c r="R22" s="71">
        <f t="shared" si="3"/>
        <v>500</v>
      </c>
      <c r="S22" s="138">
        <v>5</v>
      </c>
      <c r="T22" s="140">
        <f>TBLPIZZAYES[[#This Row],[MODAL SATUAN]]*S22</f>
        <v>500</v>
      </c>
    </row>
    <row r="23" spans="1:20" x14ac:dyDescent="0.25">
      <c r="A23" s="104">
        <v>22</v>
      </c>
      <c r="B23" s="10" t="s">
        <v>42</v>
      </c>
      <c r="C23" s="11">
        <f>VLOOKUP(TBLPIZZAYES[NAMA BAHAN],[2]!TBLREKAPBAHAN[[NAMA BAHAN]:[MODAL SATUAN]],2,FALSE)</f>
        <v>12000</v>
      </c>
      <c r="D23" s="11">
        <f>VLOOKUP(TBLPIZZAYES[NAMA BAHAN],[2]!TBLREKAPBAHAN[[NAMA BAHAN]:[MODAL SATUAN]],3,FALSE)</f>
        <v>10</v>
      </c>
      <c r="E23" s="12">
        <f>VLOOKUP(TBLPIZZAYES[NAMA BAHAN],[2]!TBLREKAPBAHAN[[NAMA BAHAN]:[MODAL SATUAN]],4,FALSE)</f>
        <v>1200</v>
      </c>
      <c r="F23" s="12">
        <f>VLOOKUP(TBLPIZZAYES[NAMA BAHAN],[2]!TBLREKAPBAHAN[[NAMA BAHAN]:[MODAL SATUAN]],4,FALSE)</f>
        <v>1200</v>
      </c>
      <c r="G23" s="70">
        <v>0</v>
      </c>
      <c r="H23" s="71">
        <f t="shared" si="4"/>
        <v>0</v>
      </c>
      <c r="I23" s="70">
        <v>0</v>
      </c>
      <c r="J23" s="71">
        <f t="shared" si="0"/>
        <v>0</v>
      </c>
      <c r="K23" s="70">
        <v>0</v>
      </c>
      <c r="L23" s="71">
        <f t="shared" si="1"/>
        <v>0</v>
      </c>
      <c r="M23" s="70">
        <v>0</v>
      </c>
      <c r="N23" s="71">
        <f t="shared" si="2"/>
        <v>0</v>
      </c>
      <c r="O23" s="70">
        <v>0</v>
      </c>
      <c r="P23" s="71">
        <f t="shared" si="5"/>
        <v>0</v>
      </c>
      <c r="Q23" s="70">
        <v>0</v>
      </c>
      <c r="R23" s="71">
        <f t="shared" si="3"/>
        <v>0</v>
      </c>
      <c r="S23" s="138">
        <v>0</v>
      </c>
      <c r="T23" s="140">
        <f>TBLPIZZAYES[[#This Row],[MODAL SATUAN]]*S23</f>
        <v>0</v>
      </c>
    </row>
    <row r="24" spans="1:20" x14ac:dyDescent="0.25">
      <c r="A24" s="104">
        <v>23</v>
      </c>
      <c r="B24" s="10" t="s">
        <v>155</v>
      </c>
      <c r="C24" s="11">
        <f>VLOOKUP(TBLPIZZAYES[NAMA BAHAN],[2]!TBLREKAPBAHAN[[NAMA BAHAN]:[MODAL SATUAN]],2,FALSE)</f>
        <v>17000</v>
      </c>
      <c r="D24" s="11">
        <f>VLOOKUP(TBLPIZZAYES[NAMA BAHAN],[2]!TBLREKAPBAHAN[[NAMA BAHAN]:[MODAL SATUAN]],3,FALSE)</f>
        <v>19000</v>
      </c>
      <c r="E24" s="12">
        <f>VLOOKUP(TBLPIZZAYES[NAMA BAHAN],[2]!TBLREKAPBAHAN[[NAMA BAHAN]:[MODAL SATUAN]],4,FALSE)</f>
        <v>0.89473684210526316</v>
      </c>
      <c r="F24" s="12">
        <f>VLOOKUP(TBLPIZZAYES[NAMA BAHAN],[2]!TBLREKAPBAHAN[[NAMA BAHAN]:[MODAL SATUAN]],4,FALSE)</f>
        <v>0.89473684210526316</v>
      </c>
      <c r="G24" s="70">
        <v>60</v>
      </c>
      <c r="H24" s="71">
        <f t="shared" si="4"/>
        <v>53.684210526315788</v>
      </c>
      <c r="I24" s="70">
        <v>60</v>
      </c>
      <c r="J24" s="71">
        <f t="shared" si="0"/>
        <v>53.684210526315788</v>
      </c>
      <c r="K24" s="70">
        <v>60</v>
      </c>
      <c r="L24" s="71">
        <f t="shared" si="1"/>
        <v>53.684210526315788</v>
      </c>
      <c r="M24" s="70">
        <v>60</v>
      </c>
      <c r="N24" s="71">
        <f t="shared" si="2"/>
        <v>53.684210526315788</v>
      </c>
      <c r="O24" s="70">
        <v>60</v>
      </c>
      <c r="P24" s="71">
        <f t="shared" si="5"/>
        <v>53.684210526315788</v>
      </c>
      <c r="Q24" s="70">
        <v>60</v>
      </c>
      <c r="R24" s="71">
        <f t="shared" si="3"/>
        <v>53.684210526315788</v>
      </c>
      <c r="S24" s="138">
        <v>60</v>
      </c>
      <c r="T24" s="140">
        <f>TBLPIZZAYES[[#This Row],[MODAL SATUAN]]*S24</f>
        <v>53.684210526315788</v>
      </c>
    </row>
    <row r="25" spans="1:20" x14ac:dyDescent="0.25">
      <c r="A25" s="104">
        <v>24</v>
      </c>
      <c r="B25" s="10" t="s">
        <v>55</v>
      </c>
      <c r="C25" s="11">
        <f>VLOOKUP(TBLPIZZAYES[NAMA BAHAN],[2]!TBLREKAPBAHAN[[NAMA BAHAN]:[MODAL SATUAN]],2,FALSE)</f>
        <v>23000</v>
      </c>
      <c r="D25" s="11">
        <f>VLOOKUP(TBLPIZZAYES[NAMA BAHAN],[2]!TBLREKAPBAHAN[[NAMA BAHAN]:[MODAL SATUAN]],3,FALSE)</f>
        <v>3000</v>
      </c>
      <c r="E25" s="12">
        <f>VLOOKUP(TBLPIZZAYES[NAMA BAHAN],[2]!TBLREKAPBAHAN[[NAMA BAHAN]:[MODAL SATUAN]],4,FALSE)</f>
        <v>7.666666666666667</v>
      </c>
      <c r="F25" s="12">
        <f>VLOOKUP(TBLPIZZAYES[NAMA BAHAN],[2]!TBLREKAPBAHAN[[NAMA BAHAN]:[MODAL SATUAN]],4,FALSE)</f>
        <v>7.666666666666667</v>
      </c>
      <c r="G25" s="70">
        <v>50</v>
      </c>
      <c r="H25" s="71">
        <f t="shared" si="4"/>
        <v>383.33333333333337</v>
      </c>
      <c r="I25" s="70">
        <v>50</v>
      </c>
      <c r="J25" s="71">
        <f t="shared" si="0"/>
        <v>383.33333333333337</v>
      </c>
      <c r="K25" s="70">
        <v>50</v>
      </c>
      <c r="L25" s="71">
        <f t="shared" si="1"/>
        <v>383.33333333333337</v>
      </c>
      <c r="M25" s="70">
        <v>50</v>
      </c>
      <c r="N25" s="71">
        <f t="shared" si="2"/>
        <v>383.33333333333337</v>
      </c>
      <c r="O25" s="70">
        <v>50</v>
      </c>
      <c r="P25" s="71">
        <f t="shared" si="5"/>
        <v>383.33333333333337</v>
      </c>
      <c r="Q25" s="70">
        <v>50</v>
      </c>
      <c r="R25" s="71">
        <f t="shared" si="3"/>
        <v>383.33333333333337</v>
      </c>
      <c r="S25" s="138">
        <v>50</v>
      </c>
      <c r="T25" s="140">
        <f>TBLPIZZAYES[[#This Row],[MODAL SATUAN]]*S25</f>
        <v>383.33333333333337</v>
      </c>
    </row>
    <row r="26" spans="1:20" x14ac:dyDescent="0.25">
      <c r="A26" s="104">
        <v>25</v>
      </c>
      <c r="B26" s="2" t="s">
        <v>183</v>
      </c>
      <c r="C26" s="11">
        <f>VLOOKUP(TBLPIZZAYES[NAMA BAHAN],[2]!TBLREKAPBAHAN[[NAMA BAHAN]:[MODAL SATUAN]],2,FALSE)</f>
        <v>10000</v>
      </c>
      <c r="D26" s="11">
        <f>VLOOKUP(TBLPIZZAYES[NAMA BAHAN],[2]!TBLREKAPBAHAN[[NAMA BAHAN]:[MODAL SATUAN]],3,FALSE)</f>
        <v>50</v>
      </c>
      <c r="E26" s="12">
        <f>VLOOKUP(TBLPIZZAYES[NAMA BAHAN],[2]!TBLREKAPBAHAN[[NAMA BAHAN]:[MODAL SATUAN]],4,FALSE)</f>
        <v>200</v>
      </c>
      <c r="F26" s="12">
        <f>VLOOKUP(TBLPIZZAYES[NAMA BAHAN],[2]!TBLREKAPBAHAN[[NAMA BAHAN]:[MODAL SATUAN]],4,FALSE)</f>
        <v>200</v>
      </c>
      <c r="G26" s="70">
        <v>1</v>
      </c>
      <c r="H26" s="71">
        <f t="shared" si="4"/>
        <v>200</v>
      </c>
      <c r="I26" s="70">
        <v>1</v>
      </c>
      <c r="J26" s="71">
        <f t="shared" si="0"/>
        <v>200</v>
      </c>
      <c r="K26" s="70">
        <v>1</v>
      </c>
      <c r="L26" s="71">
        <f t="shared" si="1"/>
        <v>200</v>
      </c>
      <c r="M26" s="70">
        <v>1</v>
      </c>
      <c r="N26" s="71">
        <f t="shared" si="2"/>
        <v>200</v>
      </c>
      <c r="O26" s="70">
        <v>1</v>
      </c>
      <c r="P26" s="71">
        <f>F26*O26</f>
        <v>200</v>
      </c>
      <c r="Q26" s="70">
        <v>1</v>
      </c>
      <c r="R26" s="71">
        <f t="shared" si="3"/>
        <v>200</v>
      </c>
      <c r="S26" s="138">
        <v>1</v>
      </c>
      <c r="T26" s="140">
        <f>TBLPIZZAYES[[#This Row],[MODAL SATUAN]]*S26</f>
        <v>200</v>
      </c>
    </row>
    <row r="27" spans="1:20" x14ac:dyDescent="0.25">
      <c r="A27" s="104">
        <v>26</v>
      </c>
      <c r="B27" s="10" t="s">
        <v>88</v>
      </c>
      <c r="C27" s="11">
        <f>VLOOKUP(TBLPIZZAYES[NAMA BAHAN],[2]!TBLREKAPBAHAN[[NAMA BAHAN]:[MODAL SATUAN]],2,FALSE)</f>
        <v>2000</v>
      </c>
      <c r="D27" s="11">
        <f>VLOOKUP(TBLPIZZAYES[NAMA BAHAN],[2]!TBLREKAPBAHAN[[NAMA BAHAN]:[MODAL SATUAN]],3,FALSE)</f>
        <v>1</v>
      </c>
      <c r="E27" s="12">
        <f>VLOOKUP(TBLPIZZAYES[NAMA BAHAN],[2]!TBLREKAPBAHAN[[NAMA BAHAN]:[MODAL SATUAN]],4,FALSE)</f>
        <v>2000</v>
      </c>
      <c r="F27" s="12">
        <f>VLOOKUP(TBLPIZZAYES[NAMA BAHAN],[2]!TBLREKAPBAHAN[[NAMA BAHAN]:[MODAL SATUAN]],4,FALSE)</f>
        <v>2000</v>
      </c>
      <c r="G27" s="70">
        <v>1</v>
      </c>
      <c r="H27" s="71">
        <f t="shared" si="4"/>
        <v>2000</v>
      </c>
      <c r="I27" s="70">
        <v>1</v>
      </c>
      <c r="J27" s="71">
        <f t="shared" si="0"/>
        <v>2000</v>
      </c>
      <c r="K27" s="70">
        <v>1</v>
      </c>
      <c r="L27" s="71">
        <f t="shared" si="1"/>
        <v>2000</v>
      </c>
      <c r="M27" s="70">
        <v>1</v>
      </c>
      <c r="N27" s="71">
        <f t="shared" si="2"/>
        <v>2000</v>
      </c>
      <c r="O27" s="70">
        <v>1</v>
      </c>
      <c r="P27" s="71">
        <f t="shared" si="5"/>
        <v>2000</v>
      </c>
      <c r="Q27" s="70">
        <v>1</v>
      </c>
      <c r="R27" s="71">
        <f t="shared" si="3"/>
        <v>2000</v>
      </c>
      <c r="S27" s="138">
        <v>1</v>
      </c>
      <c r="T27" s="140">
        <f>TBLPIZZAYES[[#This Row],[MODAL SATUAN]]*S27</f>
        <v>2000</v>
      </c>
    </row>
    <row r="28" spans="1:20" x14ac:dyDescent="0.25">
      <c r="A28" s="104">
        <v>27</v>
      </c>
      <c r="B28" s="10" t="s">
        <v>85</v>
      </c>
      <c r="C28" s="11">
        <f>VLOOKUP(TBLPIZZAYES[NAMA BAHAN],[2]!TBLREKAPBAHAN[[NAMA BAHAN]:[MODAL SATUAN]],2,FALSE)</f>
        <v>37500</v>
      </c>
      <c r="D28" s="11">
        <f>VLOOKUP(TBLPIZZAYES[NAMA BAHAN],[2]!TBLREKAPBAHAN[[NAMA BAHAN]:[MODAL SATUAN]],3,FALSE)</f>
        <v>300</v>
      </c>
      <c r="E28" s="12">
        <f>VLOOKUP(TBLPIZZAYES[NAMA BAHAN],[2]!TBLREKAPBAHAN[[NAMA BAHAN]:[MODAL SATUAN]],4,FALSE)</f>
        <v>125</v>
      </c>
      <c r="F28" s="12">
        <f>VLOOKUP(TBLPIZZAYES[NAMA BAHAN],[2]!TBLREKAPBAHAN[[NAMA BAHAN]:[MODAL SATUAN]],4,FALSE)</f>
        <v>125</v>
      </c>
      <c r="G28" s="70">
        <v>1</v>
      </c>
      <c r="H28" s="71">
        <f t="shared" si="4"/>
        <v>125</v>
      </c>
      <c r="I28" s="70">
        <v>1</v>
      </c>
      <c r="J28" s="71">
        <f t="shared" si="0"/>
        <v>125</v>
      </c>
      <c r="K28" s="70">
        <v>1</v>
      </c>
      <c r="L28" s="71">
        <f t="shared" si="1"/>
        <v>125</v>
      </c>
      <c r="M28" s="70">
        <v>1</v>
      </c>
      <c r="N28" s="71">
        <f t="shared" si="2"/>
        <v>125</v>
      </c>
      <c r="O28" s="70">
        <v>1</v>
      </c>
      <c r="P28" s="71">
        <f t="shared" si="5"/>
        <v>125</v>
      </c>
      <c r="Q28" s="70">
        <v>1</v>
      </c>
      <c r="R28" s="71">
        <f t="shared" si="3"/>
        <v>125</v>
      </c>
      <c r="S28" s="138">
        <v>1</v>
      </c>
      <c r="T28" s="140">
        <f>TBLPIZZAYES[[#This Row],[MODAL SATUAN]]*S28</f>
        <v>125</v>
      </c>
    </row>
    <row r="29" spans="1:20" ht="15.75" thickBot="1" x14ac:dyDescent="0.3">
      <c r="A29" s="104">
        <v>28</v>
      </c>
      <c r="B29" s="10" t="s">
        <v>87</v>
      </c>
      <c r="C29" s="11">
        <f>VLOOKUP(TBLPIZZAYES[NAMA BAHAN],[2]!TBLREKAPBAHAN[[NAMA BAHAN]:[MODAL SATUAN]],2,FALSE)</f>
        <v>1000</v>
      </c>
      <c r="D29" s="11">
        <f>VLOOKUP(TBLPIZZAYES[NAMA BAHAN],[2]!TBLREKAPBAHAN[[NAMA BAHAN]:[MODAL SATUAN]],3,FALSE)</f>
        <v>2</v>
      </c>
      <c r="E29" s="12">
        <f>VLOOKUP(TBLPIZZAYES[NAMA BAHAN],[2]!TBLREKAPBAHAN[[NAMA BAHAN]:[MODAL SATUAN]],4,FALSE)</f>
        <v>500</v>
      </c>
      <c r="F29" s="12">
        <f>VLOOKUP(TBLPIZZAYES[NAMA BAHAN],[2]!TBLREKAPBAHAN[[NAMA BAHAN]:[MODAL SATUAN]],4,FALSE)</f>
        <v>500</v>
      </c>
      <c r="G29" s="70">
        <v>1</v>
      </c>
      <c r="H29" s="71">
        <f>F29*G29</f>
        <v>500</v>
      </c>
      <c r="I29" s="70">
        <v>1</v>
      </c>
      <c r="J29" s="71">
        <f t="shared" si="0"/>
        <v>500</v>
      </c>
      <c r="K29" s="70">
        <v>1</v>
      </c>
      <c r="L29" s="71">
        <f t="shared" si="1"/>
        <v>500</v>
      </c>
      <c r="M29" s="70">
        <v>1</v>
      </c>
      <c r="N29" s="71">
        <f t="shared" si="2"/>
        <v>500</v>
      </c>
      <c r="O29" s="70">
        <v>1</v>
      </c>
      <c r="P29" s="71">
        <f t="shared" si="5"/>
        <v>500</v>
      </c>
      <c r="Q29" s="70">
        <v>1</v>
      </c>
      <c r="R29" s="71">
        <f t="shared" si="3"/>
        <v>500</v>
      </c>
      <c r="S29" s="139">
        <v>1</v>
      </c>
      <c r="T29" s="140">
        <f>TBLPIZZAYES[[#This Row],[MODAL SATUAN]]*S29</f>
        <v>500</v>
      </c>
    </row>
    <row r="30" spans="1:20" s="17" customFormat="1" x14ac:dyDescent="0.25">
      <c r="A30" s="147" t="s">
        <v>20</v>
      </c>
      <c r="B30" s="147"/>
      <c r="C30" s="147"/>
      <c r="D30" s="147"/>
      <c r="E30" s="147"/>
      <c r="F30" s="147"/>
      <c r="G30" s="15"/>
      <c r="H30" s="16">
        <f>SUM(H2:H29)</f>
        <v>31731.546251993619</v>
      </c>
      <c r="I30" s="15"/>
      <c r="J30" s="16">
        <f>SUM(J2:J29)</f>
        <v>33622.993620414672</v>
      </c>
      <c r="K30" s="15"/>
      <c r="L30" s="16">
        <f>SUM(L2:L29)</f>
        <v>32707.850079744814</v>
      </c>
      <c r="M30" s="15"/>
      <c r="N30" s="16">
        <f>SUM(N2:N29)</f>
        <v>29661.797448165868</v>
      </c>
      <c r="O30" s="15"/>
      <c r="P30" s="16">
        <f>SUM(P2:P29)</f>
        <v>31034.297448165868</v>
      </c>
      <c r="Q30" s="15"/>
      <c r="R30" s="16">
        <f>SUM(R2:R29)</f>
        <v>29668.244816586921</v>
      </c>
      <c r="T30" s="17">
        <f>SUM(T2:T29)</f>
        <v>33609.835725677833</v>
      </c>
    </row>
  </sheetData>
  <mergeCells count="1">
    <mergeCell ref="A30:F30"/>
  </mergeCells>
  <pageMargins left="0" right="0" top="0" bottom="0" header="0" footer="0"/>
  <pageSetup paperSize="9" scale="85" fitToWidth="0" fitToHeight="0" orientation="landscape" horizontalDpi="4294967293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zoomScale="70" zoomScaleNormal="70" workbookViewId="0">
      <pane xSplit="2" ySplit="1" topLeftCell="D5" activePane="bottomRight" state="frozen"/>
      <selection pane="topRight" activeCell="C1" sqref="C1"/>
      <selection pane="bottomLeft" activeCell="A2" sqref="A2"/>
      <selection pane="bottomRight" activeCell="D12" sqref="D12"/>
    </sheetView>
  </sheetViews>
  <sheetFormatPr defaultRowHeight="15.75" x14ac:dyDescent="0.25"/>
  <cols>
    <col min="1" max="1" width="21.140625" style="98" customWidth="1"/>
    <col min="2" max="2" width="28.140625" style="98" customWidth="1"/>
    <col min="3" max="3" width="15.7109375" style="95" customWidth="1"/>
    <col min="4" max="4" width="12.42578125" style="95" customWidth="1"/>
    <col min="5" max="5" width="23" style="95" customWidth="1"/>
    <col min="6" max="6" width="17.5703125" style="95" customWidth="1"/>
    <col min="7" max="7" width="8" style="103" customWidth="1"/>
    <col min="8" max="8" width="37" style="95" customWidth="1"/>
    <col min="9" max="9" width="8.140625" style="103" customWidth="1"/>
    <col min="10" max="10" width="32" style="95" customWidth="1"/>
    <col min="11" max="11" width="8.140625" style="103" customWidth="1"/>
    <col min="12" max="12" width="21.140625" style="95" customWidth="1"/>
    <col min="13" max="13" width="8.140625" style="103" customWidth="1"/>
    <col min="14" max="14" width="22.7109375" style="95" customWidth="1"/>
    <col min="15" max="15" width="8.140625" style="103" customWidth="1"/>
    <col min="16" max="16" width="20.28515625" style="95" customWidth="1"/>
    <col min="17" max="17" width="9.140625" style="112"/>
    <col min="18" max="18" width="17.85546875" style="98" customWidth="1"/>
    <col min="19" max="19" width="9.140625" style="98"/>
    <col min="20" max="20" width="27.7109375" style="98" customWidth="1"/>
    <col min="21" max="16384" width="9.140625" style="98"/>
  </cols>
  <sheetData>
    <row r="1" spans="1:20" s="93" customFormat="1" ht="61.5" customHeight="1" x14ac:dyDescent="0.25">
      <c r="A1" s="91" t="s">
        <v>90</v>
      </c>
      <c r="B1" s="91" t="s">
        <v>0</v>
      </c>
      <c r="C1" s="91" t="s">
        <v>4</v>
      </c>
      <c r="D1" s="91" t="s">
        <v>3</v>
      </c>
      <c r="E1" s="91" t="s">
        <v>1</v>
      </c>
      <c r="F1" s="91" t="s">
        <v>2</v>
      </c>
      <c r="G1" s="92" t="s">
        <v>5</v>
      </c>
      <c r="H1" s="92" t="s">
        <v>18</v>
      </c>
      <c r="I1" s="92" t="s">
        <v>146</v>
      </c>
      <c r="J1" s="92" t="s">
        <v>135</v>
      </c>
      <c r="K1" s="92" t="s">
        <v>147</v>
      </c>
      <c r="L1" s="92" t="s">
        <v>161</v>
      </c>
      <c r="M1" s="92" t="s">
        <v>148</v>
      </c>
      <c r="N1" s="92" t="s">
        <v>12</v>
      </c>
      <c r="O1" s="92" t="s">
        <v>149</v>
      </c>
      <c r="P1" s="92" t="s">
        <v>14</v>
      </c>
      <c r="Q1" s="109" t="s">
        <v>150</v>
      </c>
      <c r="R1" s="92" t="s">
        <v>159</v>
      </c>
      <c r="S1" s="92" t="s">
        <v>146</v>
      </c>
      <c r="T1" s="92" t="s">
        <v>185</v>
      </c>
    </row>
    <row r="2" spans="1:20" x14ac:dyDescent="0.25">
      <c r="A2" s="59">
        <v>1</v>
      </c>
      <c r="B2" s="59" t="s">
        <v>71</v>
      </c>
      <c r="C2" s="94">
        <f>VLOOKUP(TBLPIZZAYUHU[NAMA BAHAN],[2]!TBLREKAPBAHAN[[NAMA BAHAN]:[MODAL SATUAN]],2,FALSE)</f>
        <v>12000</v>
      </c>
      <c r="D2" s="94">
        <f>VLOOKUP(TBLPIZZAYUHU[NAMA BAHAN],[2]!TBLREKAPBAHAN[[NAMA BAHAN]:[MODAL SATUAN]],3,FALSE)</f>
        <v>250</v>
      </c>
      <c r="E2" s="95">
        <f>VLOOKUP(TBLPIZZAYUHU[NAMA BAHAN],[2]!TBLREKAPBAHAN[[NAMA BAHAN]:[MODAL SATUAN]],4,FALSE)</f>
        <v>48</v>
      </c>
      <c r="F2" s="95">
        <f>VLOOKUP(TBLPIZZAYUHU[NAMA BAHAN],[2]!TBLREKAPBAHAN[[NAMA BAHAN]:[MODAL SATUAN]],4,FALSE)</f>
        <v>48</v>
      </c>
      <c r="G2" s="96">
        <v>70</v>
      </c>
      <c r="H2" s="96">
        <f>F2*G2</f>
        <v>3360</v>
      </c>
      <c r="I2" s="96">
        <v>70</v>
      </c>
      <c r="J2" s="96">
        <f t="shared" ref="J2:J30" si="0">F2*I2</f>
        <v>3360</v>
      </c>
      <c r="K2" s="96">
        <v>70</v>
      </c>
      <c r="L2" s="96">
        <f t="shared" ref="L2:L30" si="1">F2*K2</f>
        <v>3360</v>
      </c>
      <c r="M2" s="96">
        <v>70</v>
      </c>
      <c r="N2" s="96">
        <f t="shared" ref="N2:N30" si="2">F2*M2</f>
        <v>3360</v>
      </c>
      <c r="O2" s="96">
        <v>70</v>
      </c>
      <c r="P2" s="96">
        <f t="shared" ref="P2:P30" si="3">F2*O2</f>
        <v>3360</v>
      </c>
      <c r="Q2" s="110">
        <v>70</v>
      </c>
      <c r="R2" s="97">
        <f>TBLPIZZAYUHU[[#This Row],[MODAL SATUAN]]*TBLPIZZAYUHU[[#This Row],[KEB.6]]</f>
        <v>3360</v>
      </c>
      <c r="S2" s="96">
        <v>70</v>
      </c>
      <c r="T2" s="141">
        <f>TBLPIZZAYUHU[[#This Row],[MODAL SATUAN]]*S2</f>
        <v>3360</v>
      </c>
    </row>
    <row r="3" spans="1:20" x14ac:dyDescent="0.25">
      <c r="A3" s="59">
        <v>2</v>
      </c>
      <c r="B3" s="59" t="s">
        <v>74</v>
      </c>
      <c r="C3" s="94">
        <f>VLOOKUP(TBLPIZZAYUHU[NAMA BAHAN],[2]!TBLREKAPBAHAN[[NAMA BAHAN]:[MODAL SATUAN]],2,FALSE)</f>
        <v>7000</v>
      </c>
      <c r="D3" s="94">
        <f>VLOOKUP(TBLPIZZAYUHU[NAMA BAHAN],[2]!TBLREKAPBAHAN[[NAMA BAHAN]:[MODAL SATUAN]],3,FALSE)</f>
        <v>24</v>
      </c>
      <c r="E3" s="99">
        <f>VLOOKUP(TBLPIZZAYUHU[NAMA BAHAN],[2]!TBLREKAPBAHAN[[NAMA BAHAN]:[MODAL SATUAN]],4,FALSE)</f>
        <v>291.66666666666669</v>
      </c>
      <c r="F3" s="95">
        <f>VLOOKUP(TBLPIZZAYUHU[NAMA BAHAN],[2]!TBLREKAPBAHAN[[NAMA BAHAN]:[MODAL SATUAN]],4,FALSE)</f>
        <v>291.66666666666669</v>
      </c>
      <c r="G3" s="96">
        <v>3</v>
      </c>
      <c r="H3" s="96">
        <f>F3*G3</f>
        <v>875</v>
      </c>
      <c r="I3" s="96">
        <v>3</v>
      </c>
      <c r="J3" s="96">
        <f t="shared" si="0"/>
        <v>875</v>
      </c>
      <c r="K3" s="96">
        <v>3</v>
      </c>
      <c r="L3" s="96">
        <f t="shared" si="1"/>
        <v>875</v>
      </c>
      <c r="M3" s="96">
        <v>3</v>
      </c>
      <c r="N3" s="96">
        <f t="shared" si="2"/>
        <v>875</v>
      </c>
      <c r="O3" s="96">
        <v>3</v>
      </c>
      <c r="P3" s="96">
        <f t="shared" si="3"/>
        <v>875</v>
      </c>
      <c r="Q3" s="110">
        <v>3</v>
      </c>
      <c r="R3" s="97">
        <f>TBLPIZZAYUHU[[#This Row],[MODAL SATUAN]]*TBLPIZZAYUHU[[#This Row],[KEB.6]]</f>
        <v>875</v>
      </c>
      <c r="S3" s="96">
        <v>3</v>
      </c>
      <c r="T3" s="141">
        <f>TBLPIZZAYUHU[[#This Row],[MODAL SATUAN]]*S3</f>
        <v>875</v>
      </c>
    </row>
    <row r="4" spans="1:20" x14ac:dyDescent="0.25">
      <c r="A4" s="59">
        <v>3</v>
      </c>
      <c r="B4" s="59" t="s">
        <v>28</v>
      </c>
      <c r="C4" s="94">
        <f>VLOOKUP(TBLPIZZAYUHU[NAMA BAHAN],[2]!TBLREKAPBAHAN[[NAMA BAHAN]:[MODAL SATUAN]],2,FALSE)</f>
        <v>8000</v>
      </c>
      <c r="D4" s="94">
        <f>VLOOKUP(TBLPIZZAYUHU[NAMA BAHAN],[2]!TBLREKAPBAHAN[[NAMA BAHAN]:[MODAL SATUAN]],3,FALSE)</f>
        <v>24</v>
      </c>
      <c r="E4" s="99">
        <f>VLOOKUP(TBLPIZZAYUHU[NAMA BAHAN],[2]!TBLREKAPBAHAN[[NAMA BAHAN]:[MODAL SATUAN]],4,FALSE)</f>
        <v>333.33333333333331</v>
      </c>
      <c r="F4" s="95">
        <f>VLOOKUP(TBLPIZZAYUHU[NAMA BAHAN],[2]!TBLREKAPBAHAN[[NAMA BAHAN]:[MODAL SATUAN]],4,FALSE)</f>
        <v>333.33333333333331</v>
      </c>
      <c r="G4" s="96">
        <v>3</v>
      </c>
      <c r="H4" s="96">
        <f t="shared" ref="H4:H30" si="4">F4*G4</f>
        <v>1000</v>
      </c>
      <c r="I4" s="96">
        <v>3</v>
      </c>
      <c r="J4" s="96">
        <f t="shared" si="0"/>
        <v>1000</v>
      </c>
      <c r="K4" s="96">
        <v>3</v>
      </c>
      <c r="L4" s="96">
        <f t="shared" si="1"/>
        <v>1000</v>
      </c>
      <c r="M4" s="96">
        <v>3</v>
      </c>
      <c r="N4" s="96">
        <f t="shared" si="2"/>
        <v>1000</v>
      </c>
      <c r="O4" s="96">
        <v>3</v>
      </c>
      <c r="P4" s="96">
        <f t="shared" si="3"/>
        <v>1000</v>
      </c>
      <c r="Q4" s="110">
        <v>3</v>
      </c>
      <c r="R4" s="97">
        <f>TBLPIZZAYUHU[[#This Row],[MODAL SATUAN]]*TBLPIZZAYUHU[[#This Row],[KEB.6]]</f>
        <v>1000</v>
      </c>
      <c r="S4" s="96">
        <v>3</v>
      </c>
      <c r="T4" s="141">
        <f>TBLPIZZAYUHU[[#This Row],[MODAL SATUAN]]*S4</f>
        <v>1000</v>
      </c>
    </row>
    <row r="5" spans="1:20" x14ac:dyDescent="0.25">
      <c r="A5" s="59">
        <v>4</v>
      </c>
      <c r="B5" s="59" t="s">
        <v>190</v>
      </c>
      <c r="C5" s="94">
        <f>VLOOKUP(TBLPIZZAYUHU[NAMA BAHAN],[2]!TBLREKAPBAHAN[[NAMA BAHAN]:[MODAL SATUAN]],2,FALSE)</f>
        <v>90000</v>
      </c>
      <c r="D5" s="94">
        <f>VLOOKUP(TBLPIZZAYUHU[NAMA BAHAN],[2]!TBLREKAPBAHAN[[NAMA BAHAN]:[MODAL SATUAN]],3,FALSE)</f>
        <v>500</v>
      </c>
      <c r="E5" s="99">
        <f>VLOOKUP(TBLPIZZAYUHU[NAMA BAHAN],[2]!TBLREKAPBAHAN[[NAMA BAHAN]:[MODAL SATUAN]],4,FALSE)</f>
        <v>180</v>
      </c>
      <c r="F5" s="95">
        <f>VLOOKUP(TBLPIZZAYUHU[NAMA BAHAN],[2]!TBLREKAPBAHAN[[NAMA BAHAN]:[MODAL SATUAN]],4,FALSE)</f>
        <v>180</v>
      </c>
      <c r="G5" s="96">
        <v>112</v>
      </c>
      <c r="H5" s="96">
        <f t="shared" si="4"/>
        <v>20160</v>
      </c>
      <c r="I5" s="96">
        <v>112</v>
      </c>
      <c r="J5" s="96">
        <f t="shared" si="0"/>
        <v>20160</v>
      </c>
      <c r="K5" s="96">
        <v>112</v>
      </c>
      <c r="L5" s="96">
        <f t="shared" si="1"/>
        <v>20160</v>
      </c>
      <c r="M5" s="96">
        <v>112</v>
      </c>
      <c r="N5" s="96">
        <f t="shared" si="2"/>
        <v>20160</v>
      </c>
      <c r="O5" s="96">
        <v>112</v>
      </c>
      <c r="P5" s="96">
        <f t="shared" si="3"/>
        <v>20160</v>
      </c>
      <c r="Q5" s="110">
        <v>112</v>
      </c>
      <c r="R5" s="97">
        <f>TBLPIZZAYUHU[[#This Row],[MODAL SATUAN]]*TBLPIZZAYUHU[[#This Row],[KEB.6]]</f>
        <v>20160</v>
      </c>
      <c r="S5" s="96">
        <v>112</v>
      </c>
      <c r="T5" s="141">
        <f>TBLPIZZAYUHU[[#This Row],[MODAL SATUAN]]*S5</f>
        <v>20160</v>
      </c>
    </row>
    <row r="6" spans="1:20" x14ac:dyDescent="0.25">
      <c r="A6" s="59">
        <v>5</v>
      </c>
      <c r="B6" s="59" t="s">
        <v>57</v>
      </c>
      <c r="C6" s="94">
        <f>VLOOKUP(TBLPIZZAYUHU[NAMA BAHAN],[2]!TBLREKAPBAHAN[[NAMA BAHAN]:[MODAL SATUAN]],2,FALSE)</f>
        <v>35000</v>
      </c>
      <c r="D6" s="94">
        <f>VLOOKUP(TBLPIZZAYUHU[NAMA BAHAN],[2]!TBLREKAPBAHAN[[NAMA BAHAN]:[MODAL SATUAN]],3,FALSE)</f>
        <v>38</v>
      </c>
      <c r="E6" s="99">
        <f>VLOOKUP(TBLPIZZAYUHU[NAMA BAHAN],[2]!TBLREKAPBAHAN[[NAMA BAHAN]:[MODAL SATUAN]],4,FALSE)</f>
        <v>921.0526315789474</v>
      </c>
      <c r="F6" s="95">
        <f>VLOOKUP(TBLPIZZAYUHU[NAMA BAHAN],[2]!TBLREKAPBAHAN[[NAMA BAHAN]:[MODAL SATUAN]],4,FALSE)</f>
        <v>921.0526315789474</v>
      </c>
      <c r="G6" s="96">
        <v>5</v>
      </c>
      <c r="H6" s="96">
        <f t="shared" si="4"/>
        <v>4605.2631578947367</v>
      </c>
      <c r="I6" s="96">
        <v>4</v>
      </c>
      <c r="J6" s="96">
        <f t="shared" si="0"/>
        <v>3684.2105263157896</v>
      </c>
      <c r="K6" s="96">
        <v>3</v>
      </c>
      <c r="L6" s="96">
        <f t="shared" si="1"/>
        <v>2763.1578947368421</v>
      </c>
      <c r="M6" s="96">
        <v>0</v>
      </c>
      <c r="N6" s="96">
        <f t="shared" si="2"/>
        <v>0</v>
      </c>
      <c r="O6" s="96">
        <v>0</v>
      </c>
      <c r="P6" s="96">
        <f t="shared" si="3"/>
        <v>0</v>
      </c>
      <c r="Q6" s="110">
        <v>0</v>
      </c>
      <c r="R6" s="97">
        <f>TBLPIZZAYUHU[[#This Row],[MODAL SATUAN]]*TBLPIZZAYUHU[[#This Row],[KEB.6]]</f>
        <v>0</v>
      </c>
      <c r="S6" s="96">
        <v>0</v>
      </c>
      <c r="T6" s="141">
        <f>TBLPIZZAYUHU[[#This Row],[MODAL SATUAN]]*S6</f>
        <v>0</v>
      </c>
    </row>
    <row r="7" spans="1:20" x14ac:dyDescent="0.25">
      <c r="A7" s="59">
        <v>6</v>
      </c>
      <c r="B7" s="59" t="s">
        <v>58</v>
      </c>
      <c r="C7" s="94">
        <f>VLOOKUP(TBLPIZZAYUHU[NAMA BAHAN],[2]!TBLREKAPBAHAN[[NAMA BAHAN]:[MODAL SATUAN]],2,FALSE)</f>
        <v>45000</v>
      </c>
      <c r="D7" s="94">
        <f>VLOOKUP(TBLPIZZAYUHU[NAMA BAHAN],[2]!TBLREKAPBAHAN[[NAMA BAHAN]:[MODAL SATUAN]],3,FALSE)</f>
        <v>400</v>
      </c>
      <c r="E7" s="99">
        <f>VLOOKUP(TBLPIZZAYUHU[NAMA BAHAN],[2]!TBLREKAPBAHAN[[NAMA BAHAN]:[MODAL SATUAN]],4,FALSE)</f>
        <v>112.5</v>
      </c>
      <c r="F7" s="95">
        <f>VLOOKUP(TBLPIZZAYUHU[NAMA BAHAN],[2]!TBLREKAPBAHAN[[NAMA BAHAN]:[MODAL SATUAN]],4,FALSE)</f>
        <v>112.5</v>
      </c>
      <c r="G7" s="96">
        <v>0</v>
      </c>
      <c r="H7" s="96">
        <f t="shared" si="4"/>
        <v>0</v>
      </c>
      <c r="I7" s="96">
        <v>40</v>
      </c>
      <c r="J7" s="96">
        <f t="shared" si="0"/>
        <v>4500</v>
      </c>
      <c r="K7" s="96">
        <v>0</v>
      </c>
      <c r="L7" s="96">
        <f t="shared" si="1"/>
        <v>0</v>
      </c>
      <c r="M7" s="96">
        <v>50</v>
      </c>
      <c r="N7" s="96">
        <f t="shared" si="2"/>
        <v>5625</v>
      </c>
      <c r="O7" s="96">
        <v>50</v>
      </c>
      <c r="P7" s="96">
        <f t="shared" si="3"/>
        <v>5625</v>
      </c>
      <c r="Q7" s="110">
        <v>0</v>
      </c>
      <c r="R7" s="97">
        <f>TBLPIZZAYUHU[[#This Row],[MODAL SATUAN]]*TBLPIZZAYUHU[[#This Row],[KEB.6]]</f>
        <v>0</v>
      </c>
      <c r="S7" s="96">
        <v>40</v>
      </c>
      <c r="T7" s="141">
        <f>TBLPIZZAYUHU[[#This Row],[MODAL SATUAN]]*S7</f>
        <v>4500</v>
      </c>
    </row>
    <row r="8" spans="1:20" x14ac:dyDescent="0.25">
      <c r="A8" s="59">
        <v>7</v>
      </c>
      <c r="B8" s="59" t="s">
        <v>143</v>
      </c>
      <c r="C8" s="94">
        <f>VLOOKUP(TBLPIZZAYUHU[NAMA BAHAN],[2]!TBLREKAPBAHAN[[NAMA BAHAN]:[MODAL SATUAN]],2,FALSE)</f>
        <v>85000</v>
      </c>
      <c r="D8" s="94">
        <f>VLOOKUP(TBLPIZZAYUHU[NAMA BAHAN],[2]!TBLREKAPBAHAN[[NAMA BAHAN]:[MODAL SATUAN]],3,FALSE)</f>
        <v>1000</v>
      </c>
      <c r="E8" s="99">
        <f>VLOOKUP(TBLPIZZAYUHU[NAMA BAHAN],[2]!TBLREKAPBAHAN[[NAMA BAHAN]:[MODAL SATUAN]],4,FALSE)</f>
        <v>85</v>
      </c>
      <c r="F8" s="95">
        <f>VLOOKUP(TBLPIZZAYUHU[NAMA BAHAN],[2]!TBLREKAPBAHAN[[NAMA BAHAN]:[MODAL SATUAN]],4,FALSE)</f>
        <v>85</v>
      </c>
      <c r="G8" s="96">
        <v>0</v>
      </c>
      <c r="H8" s="96">
        <f>F8*G8</f>
        <v>0</v>
      </c>
      <c r="I8" s="96">
        <v>0</v>
      </c>
      <c r="J8" s="96">
        <f>F8*I8</f>
        <v>0</v>
      </c>
      <c r="K8" s="96">
        <v>0</v>
      </c>
      <c r="L8" s="96">
        <f>F8*K8</f>
        <v>0</v>
      </c>
      <c r="M8" s="96">
        <v>0</v>
      </c>
      <c r="N8" s="96">
        <f>F8*M8</f>
        <v>0</v>
      </c>
      <c r="O8" s="96">
        <v>0</v>
      </c>
      <c r="P8" s="96">
        <f t="shared" si="3"/>
        <v>0</v>
      </c>
      <c r="Q8" s="110">
        <v>80</v>
      </c>
      <c r="R8" s="97">
        <f>TBLPIZZAYUHU[[#This Row],[MODAL SATUAN]]*TBLPIZZAYUHU[[#This Row],[KEB.6]]</f>
        <v>6800</v>
      </c>
      <c r="S8" s="96">
        <v>40</v>
      </c>
      <c r="T8" s="141">
        <f>TBLPIZZAYUHU[[#This Row],[MODAL SATUAN]]*S8</f>
        <v>3400</v>
      </c>
    </row>
    <row r="9" spans="1:20" x14ac:dyDescent="0.25">
      <c r="A9" s="59">
        <v>8</v>
      </c>
      <c r="B9" s="59" t="s">
        <v>54</v>
      </c>
      <c r="C9" s="94">
        <f>VLOOKUP(TBLPIZZAYUHU[NAMA BAHAN],[2]!TBLREKAPBAHAN[[NAMA BAHAN]:[MODAL SATUAN]],2,FALSE)</f>
        <v>35000</v>
      </c>
      <c r="D9" s="94">
        <f>VLOOKUP(TBLPIZZAYUHU[NAMA BAHAN],[2]!TBLREKAPBAHAN[[NAMA BAHAN]:[MODAL SATUAN]],3,FALSE)</f>
        <v>1000</v>
      </c>
      <c r="E9" s="99">
        <f>VLOOKUP(TBLPIZZAYUHU[NAMA BAHAN],[2]!TBLREKAPBAHAN[[NAMA BAHAN]:[MODAL SATUAN]],4,FALSE)</f>
        <v>35</v>
      </c>
      <c r="F9" s="95">
        <f>VLOOKUP(TBLPIZZAYUHU[NAMA BAHAN],[2]!TBLREKAPBAHAN[[NAMA BAHAN]:[MODAL SATUAN]],4,FALSE)</f>
        <v>35</v>
      </c>
      <c r="G9" s="96">
        <v>22</v>
      </c>
      <c r="H9" s="96">
        <f t="shared" si="4"/>
        <v>770</v>
      </c>
      <c r="I9" s="96">
        <v>22</v>
      </c>
      <c r="J9" s="96">
        <f t="shared" si="0"/>
        <v>770</v>
      </c>
      <c r="K9" s="96">
        <v>22</v>
      </c>
      <c r="L9" s="96">
        <f t="shared" si="1"/>
        <v>770</v>
      </c>
      <c r="M9" s="96">
        <v>22</v>
      </c>
      <c r="N9" s="96">
        <f t="shared" si="2"/>
        <v>770</v>
      </c>
      <c r="O9" s="96">
        <v>22</v>
      </c>
      <c r="P9" s="96">
        <f t="shared" si="3"/>
        <v>770</v>
      </c>
      <c r="Q9" s="110">
        <v>22</v>
      </c>
      <c r="R9" s="97">
        <f>TBLPIZZAYUHU[[#This Row],[MODAL SATUAN]]*TBLPIZZAYUHU[[#This Row],[KEB.6]]</f>
        <v>770</v>
      </c>
      <c r="S9" s="96">
        <v>22</v>
      </c>
      <c r="T9" s="141">
        <f>TBLPIZZAYUHU[[#This Row],[MODAL SATUAN]]*S9</f>
        <v>770</v>
      </c>
    </row>
    <row r="10" spans="1:20" x14ac:dyDescent="0.25">
      <c r="A10" s="59">
        <v>9</v>
      </c>
      <c r="B10" s="59" t="s">
        <v>75</v>
      </c>
      <c r="C10" s="94">
        <f>VLOOKUP(TBLPIZZAYUHU[NAMA BAHAN],[2]!TBLREKAPBAHAN[[NAMA BAHAN]:[MODAL SATUAN]],2,FALSE)</f>
        <v>18000</v>
      </c>
      <c r="D10" s="94">
        <f>VLOOKUP(TBLPIZZAYUHU[NAMA BAHAN],[2]!TBLREKAPBAHAN[[NAMA BAHAN]:[MODAL SATUAN]],3,FALSE)</f>
        <v>1000</v>
      </c>
      <c r="E10" s="99">
        <f>VLOOKUP(TBLPIZZAYUHU[NAMA BAHAN],[2]!TBLREKAPBAHAN[[NAMA BAHAN]:[MODAL SATUAN]],4,FALSE)</f>
        <v>18</v>
      </c>
      <c r="F10" s="95">
        <f>VLOOKUP(TBLPIZZAYUHU[NAMA BAHAN],[2]!TBLREKAPBAHAN[[NAMA BAHAN]:[MODAL SATUAN]],4,FALSE)</f>
        <v>18</v>
      </c>
      <c r="G10" s="96">
        <v>18</v>
      </c>
      <c r="H10" s="96">
        <f t="shared" si="4"/>
        <v>324</v>
      </c>
      <c r="I10" s="96">
        <v>18</v>
      </c>
      <c r="J10" s="96">
        <f t="shared" si="0"/>
        <v>324</v>
      </c>
      <c r="K10" s="96">
        <v>18</v>
      </c>
      <c r="L10" s="96">
        <f t="shared" si="1"/>
        <v>324</v>
      </c>
      <c r="M10" s="96">
        <v>18</v>
      </c>
      <c r="N10" s="96">
        <f t="shared" si="2"/>
        <v>324</v>
      </c>
      <c r="O10" s="96">
        <v>18</v>
      </c>
      <c r="P10" s="96">
        <f t="shared" si="3"/>
        <v>324</v>
      </c>
      <c r="Q10" s="110">
        <v>18</v>
      </c>
      <c r="R10" s="97">
        <f>TBLPIZZAYUHU[[#This Row],[MODAL SATUAN]]*TBLPIZZAYUHU[[#This Row],[KEB.6]]</f>
        <v>324</v>
      </c>
      <c r="S10" s="96">
        <v>18</v>
      </c>
      <c r="T10" s="141">
        <f>TBLPIZZAYUHU[[#This Row],[MODAL SATUAN]]*S10</f>
        <v>324</v>
      </c>
    </row>
    <row r="11" spans="1:20" x14ac:dyDescent="0.25">
      <c r="A11" s="59">
        <v>10</v>
      </c>
      <c r="B11" s="59" t="s">
        <v>76</v>
      </c>
      <c r="C11" s="94">
        <f>VLOOKUP(TBLPIZZAYUHU[NAMA BAHAN],[2]!TBLREKAPBAHAN[[NAMA BAHAN]:[MODAL SATUAN]],2,FALSE)</f>
        <v>4000</v>
      </c>
      <c r="D11" s="94">
        <f>VLOOKUP(TBLPIZZAYUHU[NAMA BAHAN],[2]!TBLREKAPBAHAN[[NAMA BAHAN]:[MODAL SATUAN]],3,FALSE)</f>
        <v>250</v>
      </c>
      <c r="E11" s="99">
        <f>VLOOKUP(TBLPIZZAYUHU[NAMA BAHAN],[2]!TBLREKAPBAHAN[[NAMA BAHAN]:[MODAL SATUAN]],4,FALSE)</f>
        <v>16</v>
      </c>
      <c r="F11" s="95">
        <f>VLOOKUP(TBLPIZZAYUHU[NAMA BAHAN],[2]!TBLREKAPBAHAN[[NAMA BAHAN]:[MODAL SATUAN]],4,FALSE)</f>
        <v>16</v>
      </c>
      <c r="G11" s="96">
        <v>5</v>
      </c>
      <c r="H11" s="96">
        <f t="shared" si="4"/>
        <v>80</v>
      </c>
      <c r="I11" s="96">
        <v>5</v>
      </c>
      <c r="J11" s="96">
        <f t="shared" si="0"/>
        <v>80</v>
      </c>
      <c r="K11" s="96">
        <v>5</v>
      </c>
      <c r="L11" s="96">
        <f t="shared" si="1"/>
        <v>80</v>
      </c>
      <c r="M11" s="96">
        <v>5</v>
      </c>
      <c r="N11" s="96">
        <f t="shared" si="2"/>
        <v>80</v>
      </c>
      <c r="O11" s="96">
        <v>5</v>
      </c>
      <c r="P11" s="96">
        <f t="shared" si="3"/>
        <v>80</v>
      </c>
      <c r="Q11" s="110">
        <v>5</v>
      </c>
      <c r="R11" s="97">
        <f>TBLPIZZAYUHU[[#This Row],[MODAL SATUAN]]*TBLPIZZAYUHU[[#This Row],[KEB.6]]</f>
        <v>80</v>
      </c>
      <c r="S11" s="96">
        <v>5</v>
      </c>
      <c r="T11" s="141">
        <f>TBLPIZZAYUHU[[#This Row],[MODAL SATUAN]]*S11</f>
        <v>80</v>
      </c>
    </row>
    <row r="12" spans="1:20" x14ac:dyDescent="0.25">
      <c r="A12" s="59">
        <v>11</v>
      </c>
      <c r="B12" s="59" t="s">
        <v>77</v>
      </c>
      <c r="C12" s="94">
        <f>VLOOKUP(TBLPIZZAYUHU[NAMA BAHAN],[2]!TBLREKAPBAHAN[[NAMA BAHAN]:[MODAL SATUAN]],2,FALSE)</f>
        <v>7000</v>
      </c>
      <c r="D12" s="94">
        <f>VLOOKUP(TBLPIZZAYUHU[NAMA BAHAN],[2]!TBLREKAPBAHAN[[NAMA BAHAN]:[MODAL SATUAN]],3,FALSE)</f>
        <v>11</v>
      </c>
      <c r="E12" s="99">
        <f>VLOOKUP(TBLPIZZAYUHU[NAMA BAHAN],[2]!TBLREKAPBAHAN[[NAMA BAHAN]:[MODAL SATUAN]],4,FALSE)</f>
        <v>636.36363636363637</v>
      </c>
      <c r="F12" s="95">
        <f>VLOOKUP(TBLPIZZAYUHU[NAMA BAHAN],[2]!TBLREKAPBAHAN[[NAMA BAHAN]:[MODAL SATUAN]],4,FALSE)</f>
        <v>636.36363636363637</v>
      </c>
      <c r="G12" s="96">
        <v>2</v>
      </c>
      <c r="H12" s="96">
        <f t="shared" si="4"/>
        <v>1272.7272727272727</v>
      </c>
      <c r="I12" s="96">
        <v>2</v>
      </c>
      <c r="J12" s="96">
        <f t="shared" si="0"/>
        <v>1272.7272727272727</v>
      </c>
      <c r="K12" s="96">
        <v>2</v>
      </c>
      <c r="L12" s="96">
        <f t="shared" si="1"/>
        <v>1272.7272727272727</v>
      </c>
      <c r="M12" s="96">
        <v>2</v>
      </c>
      <c r="N12" s="96">
        <f t="shared" si="2"/>
        <v>1272.7272727272727</v>
      </c>
      <c r="O12" s="96">
        <v>2</v>
      </c>
      <c r="P12" s="96">
        <f t="shared" si="3"/>
        <v>1272.7272727272727</v>
      </c>
      <c r="Q12" s="110">
        <v>2</v>
      </c>
      <c r="R12" s="97">
        <f>TBLPIZZAYUHU[[#This Row],[MODAL SATUAN]]*TBLPIZZAYUHU[[#This Row],[KEB.6]]</f>
        <v>1272.7272727272727</v>
      </c>
      <c r="S12" s="96">
        <v>2</v>
      </c>
      <c r="T12" s="141">
        <f>TBLPIZZAYUHU[[#This Row],[MODAL SATUAN]]*S12</f>
        <v>1272.7272727272727</v>
      </c>
    </row>
    <row r="13" spans="1:20" x14ac:dyDescent="0.25">
      <c r="A13" s="59">
        <v>12</v>
      </c>
      <c r="B13" s="59" t="s">
        <v>78</v>
      </c>
      <c r="C13" s="94">
        <f>VLOOKUP(TBLPIZZAYUHU[NAMA BAHAN],[2]!TBLREKAPBAHAN[[NAMA BAHAN]:[MODAL SATUAN]],2,FALSE)</f>
        <v>18000</v>
      </c>
      <c r="D13" s="94">
        <f>VLOOKUP(TBLPIZZAYUHU[NAMA BAHAN],[2]!TBLREKAPBAHAN[[NAMA BAHAN]:[MODAL SATUAN]],3,FALSE)</f>
        <v>250</v>
      </c>
      <c r="E13" s="99">
        <f>VLOOKUP(TBLPIZZAYUHU[NAMA BAHAN],[2]!TBLREKAPBAHAN[[NAMA BAHAN]:[MODAL SATUAN]],4,FALSE)</f>
        <v>72</v>
      </c>
      <c r="F13" s="95">
        <f>VLOOKUP(TBLPIZZAYUHU[NAMA BAHAN],[2]!TBLREKAPBAHAN[[NAMA BAHAN]:[MODAL SATUAN]],4,FALSE)</f>
        <v>72</v>
      </c>
      <c r="G13" s="96">
        <v>20</v>
      </c>
      <c r="H13" s="96">
        <f t="shared" si="4"/>
        <v>1440</v>
      </c>
      <c r="I13" s="96">
        <v>20</v>
      </c>
      <c r="J13" s="96">
        <f t="shared" si="0"/>
        <v>1440</v>
      </c>
      <c r="K13" s="96">
        <v>20</v>
      </c>
      <c r="L13" s="96">
        <f t="shared" si="1"/>
        <v>1440</v>
      </c>
      <c r="M13" s="96">
        <v>20</v>
      </c>
      <c r="N13" s="96">
        <f t="shared" si="2"/>
        <v>1440</v>
      </c>
      <c r="O13" s="96">
        <v>20</v>
      </c>
      <c r="P13" s="96">
        <f t="shared" si="3"/>
        <v>1440</v>
      </c>
      <c r="Q13" s="110">
        <v>20</v>
      </c>
      <c r="R13" s="97">
        <f>TBLPIZZAYUHU[[#This Row],[MODAL SATUAN]]*TBLPIZZAYUHU[[#This Row],[KEB.6]]</f>
        <v>1440</v>
      </c>
      <c r="S13" s="96">
        <v>20</v>
      </c>
      <c r="T13" s="141">
        <f>TBLPIZZAYUHU[[#This Row],[MODAL SATUAN]]*S13</f>
        <v>1440</v>
      </c>
    </row>
    <row r="14" spans="1:20" x14ac:dyDescent="0.25">
      <c r="A14" s="59">
        <v>13</v>
      </c>
      <c r="B14" s="59" t="s">
        <v>79</v>
      </c>
      <c r="C14" s="94">
        <f>VLOOKUP(TBLPIZZAYUHU[NAMA BAHAN],[2]!TBLREKAPBAHAN[[NAMA BAHAN]:[MODAL SATUAN]],2,FALSE)</f>
        <v>14000</v>
      </c>
      <c r="D14" s="94">
        <f>VLOOKUP(TBLPIZZAYUHU[NAMA BAHAN],[2]!TBLREKAPBAHAN[[NAMA BAHAN]:[MODAL SATUAN]],3,FALSE)</f>
        <v>1000</v>
      </c>
      <c r="E14" s="99">
        <f>VLOOKUP(TBLPIZZAYUHU[NAMA BAHAN],[2]!TBLREKAPBAHAN[[NAMA BAHAN]:[MODAL SATUAN]],4,FALSE)</f>
        <v>14</v>
      </c>
      <c r="F14" s="95">
        <f>VLOOKUP(TBLPIZZAYUHU[NAMA BAHAN],[2]!TBLREKAPBAHAN[[NAMA BAHAN]:[MODAL SATUAN]],4,FALSE)</f>
        <v>14</v>
      </c>
      <c r="G14" s="96">
        <v>40</v>
      </c>
      <c r="H14" s="96">
        <f t="shared" si="4"/>
        <v>560</v>
      </c>
      <c r="I14" s="96">
        <v>40</v>
      </c>
      <c r="J14" s="96">
        <f t="shared" si="0"/>
        <v>560</v>
      </c>
      <c r="K14" s="96">
        <v>40</v>
      </c>
      <c r="L14" s="96">
        <f t="shared" si="1"/>
        <v>560</v>
      </c>
      <c r="M14" s="96">
        <v>40</v>
      </c>
      <c r="N14" s="96">
        <f t="shared" si="2"/>
        <v>560</v>
      </c>
      <c r="O14" s="96">
        <v>40</v>
      </c>
      <c r="P14" s="96">
        <f t="shared" si="3"/>
        <v>560</v>
      </c>
      <c r="Q14" s="110">
        <v>40</v>
      </c>
      <c r="R14" s="97">
        <f>TBLPIZZAYUHU[[#This Row],[MODAL SATUAN]]*TBLPIZZAYUHU[[#This Row],[KEB.6]]</f>
        <v>560</v>
      </c>
      <c r="S14" s="96">
        <v>40</v>
      </c>
      <c r="T14" s="141">
        <f>TBLPIZZAYUHU[[#This Row],[MODAL SATUAN]]*S14</f>
        <v>560</v>
      </c>
    </row>
    <row r="15" spans="1:20" x14ac:dyDescent="0.25">
      <c r="A15" s="59">
        <v>14</v>
      </c>
      <c r="B15" s="59" t="s">
        <v>80</v>
      </c>
      <c r="C15" s="94">
        <f>VLOOKUP(TBLPIZZAYUHU[NAMA BAHAN],[2]!TBLREKAPBAHAN[[NAMA BAHAN]:[MODAL SATUAN]],2,FALSE)</f>
        <v>14000</v>
      </c>
      <c r="D15" s="94">
        <f>VLOOKUP(TBLPIZZAYUHU[NAMA BAHAN],[2]!TBLREKAPBAHAN[[NAMA BAHAN]:[MODAL SATUAN]],3,FALSE)</f>
        <v>1000</v>
      </c>
      <c r="E15" s="99">
        <f>VLOOKUP(TBLPIZZAYUHU[NAMA BAHAN],[2]!TBLREKAPBAHAN[[NAMA BAHAN]:[MODAL SATUAN]],4,FALSE)</f>
        <v>14</v>
      </c>
      <c r="F15" s="95">
        <f>VLOOKUP(TBLPIZZAYUHU[NAMA BAHAN],[2]!TBLREKAPBAHAN[[NAMA BAHAN]:[MODAL SATUAN]],4,FALSE)</f>
        <v>14</v>
      </c>
      <c r="G15" s="96">
        <v>80</v>
      </c>
      <c r="H15" s="96">
        <f t="shared" si="4"/>
        <v>1120</v>
      </c>
      <c r="I15" s="96">
        <v>80</v>
      </c>
      <c r="J15" s="96">
        <f t="shared" si="0"/>
        <v>1120</v>
      </c>
      <c r="K15" s="96">
        <v>80</v>
      </c>
      <c r="L15" s="96">
        <f t="shared" si="1"/>
        <v>1120</v>
      </c>
      <c r="M15" s="96">
        <v>80</v>
      </c>
      <c r="N15" s="96">
        <f t="shared" si="2"/>
        <v>1120</v>
      </c>
      <c r="O15" s="96">
        <v>80</v>
      </c>
      <c r="P15" s="96">
        <f t="shared" si="3"/>
        <v>1120</v>
      </c>
      <c r="Q15" s="110">
        <v>80</v>
      </c>
      <c r="R15" s="97">
        <f>TBLPIZZAYUHU[[#This Row],[MODAL SATUAN]]*TBLPIZZAYUHU[[#This Row],[KEB.6]]</f>
        <v>1120</v>
      </c>
      <c r="S15" s="96">
        <v>80</v>
      </c>
      <c r="T15" s="141">
        <f>TBLPIZZAYUHU[[#This Row],[MODAL SATUAN]]*S15</f>
        <v>1120</v>
      </c>
    </row>
    <row r="16" spans="1:20" x14ac:dyDescent="0.25">
      <c r="A16" s="59">
        <v>15</v>
      </c>
      <c r="B16" s="59" t="s">
        <v>81</v>
      </c>
      <c r="C16" s="94">
        <f>VLOOKUP(TBLPIZZAYUHU[NAMA BAHAN],[2]!TBLREKAPBAHAN[[NAMA BAHAN]:[MODAL SATUAN]],2,FALSE)</f>
        <v>30000</v>
      </c>
      <c r="D16" s="94">
        <f>VLOOKUP(TBLPIZZAYUHU[NAMA BAHAN],[2]!TBLREKAPBAHAN[[NAMA BAHAN]:[MODAL SATUAN]],3,FALSE)</f>
        <v>30</v>
      </c>
      <c r="E16" s="99">
        <f>VLOOKUP(TBLPIZZAYUHU[NAMA BAHAN],[2]!TBLREKAPBAHAN[[NAMA BAHAN]:[MODAL SATUAN]],4,FALSE)</f>
        <v>1000</v>
      </c>
      <c r="F16" s="95">
        <f>VLOOKUP(TBLPIZZAYUHU[NAMA BAHAN],[2]!TBLREKAPBAHAN[[NAMA BAHAN]:[MODAL SATUAN]],4,FALSE)</f>
        <v>1000</v>
      </c>
      <c r="G16" s="96">
        <v>2</v>
      </c>
      <c r="H16" s="96">
        <f t="shared" si="4"/>
        <v>2000</v>
      </c>
      <c r="I16" s="96">
        <v>2</v>
      </c>
      <c r="J16" s="96">
        <f t="shared" si="0"/>
        <v>2000</v>
      </c>
      <c r="K16" s="96">
        <v>2</v>
      </c>
      <c r="L16" s="96">
        <f t="shared" si="1"/>
        <v>2000</v>
      </c>
      <c r="M16" s="96">
        <v>2</v>
      </c>
      <c r="N16" s="96">
        <f t="shared" si="2"/>
        <v>2000</v>
      </c>
      <c r="O16" s="96">
        <v>2</v>
      </c>
      <c r="P16" s="96">
        <f t="shared" si="3"/>
        <v>2000</v>
      </c>
      <c r="Q16" s="110">
        <v>2</v>
      </c>
      <c r="R16" s="97">
        <f>TBLPIZZAYUHU[[#This Row],[MODAL SATUAN]]*TBLPIZZAYUHU[[#This Row],[KEB.6]]</f>
        <v>2000</v>
      </c>
      <c r="S16" s="96">
        <v>2</v>
      </c>
      <c r="T16" s="141">
        <f>TBLPIZZAYUHU[[#This Row],[MODAL SATUAN]]*S16</f>
        <v>2000</v>
      </c>
    </row>
    <row r="17" spans="1:20" x14ac:dyDescent="0.25">
      <c r="A17" s="59">
        <v>16</v>
      </c>
      <c r="B17" s="59" t="s">
        <v>82</v>
      </c>
      <c r="C17" s="94">
        <f>VLOOKUP(TBLPIZZAYUHU[NAMA BAHAN],[2]!TBLREKAPBAHAN[[NAMA BAHAN]:[MODAL SATUAN]],2,FALSE)</f>
        <v>15000</v>
      </c>
      <c r="D17" s="94">
        <f>VLOOKUP(TBLPIZZAYUHU[NAMA BAHAN],[2]!TBLREKAPBAHAN[[NAMA BAHAN]:[MODAL SATUAN]],3,FALSE)</f>
        <v>80</v>
      </c>
      <c r="E17" s="99">
        <f>VLOOKUP(TBLPIZZAYUHU[NAMA BAHAN],[2]!TBLREKAPBAHAN[[NAMA BAHAN]:[MODAL SATUAN]],4,FALSE)</f>
        <v>187.5</v>
      </c>
      <c r="F17" s="95">
        <f>VLOOKUP(TBLPIZZAYUHU[NAMA BAHAN],[2]!TBLREKAPBAHAN[[NAMA BAHAN]:[MODAL SATUAN]],4,FALSE)</f>
        <v>187.5</v>
      </c>
      <c r="G17" s="96">
        <v>6</v>
      </c>
      <c r="H17" s="96">
        <f t="shared" si="4"/>
        <v>1125</v>
      </c>
      <c r="I17" s="96">
        <v>0</v>
      </c>
      <c r="J17" s="96">
        <f t="shared" si="0"/>
        <v>0</v>
      </c>
      <c r="K17" s="96">
        <v>0</v>
      </c>
      <c r="L17" s="96">
        <f t="shared" si="1"/>
        <v>0</v>
      </c>
      <c r="M17" s="96">
        <v>0</v>
      </c>
      <c r="N17" s="96">
        <f t="shared" si="2"/>
        <v>0</v>
      </c>
      <c r="O17" s="96">
        <v>6</v>
      </c>
      <c r="P17" s="96">
        <f t="shared" si="3"/>
        <v>1125</v>
      </c>
      <c r="Q17" s="110">
        <v>6</v>
      </c>
      <c r="R17" s="97">
        <f>TBLPIZZAYUHU[[#This Row],[MODAL SATUAN]]*TBLPIZZAYUHU[[#This Row],[KEB.6]]</f>
        <v>1125</v>
      </c>
      <c r="S17" s="96">
        <v>0</v>
      </c>
      <c r="T17" s="141">
        <f>TBLPIZZAYUHU[[#This Row],[MODAL SATUAN]]*S17</f>
        <v>0</v>
      </c>
    </row>
    <row r="18" spans="1:20" x14ac:dyDescent="0.25">
      <c r="A18" s="59">
        <v>17</v>
      </c>
      <c r="B18" s="59" t="s">
        <v>83</v>
      </c>
      <c r="C18" s="94">
        <f>VLOOKUP(TBLPIZZAYUHU[NAMA BAHAN],[2]!TBLREKAPBAHAN[[NAMA BAHAN]:[MODAL SATUAN]],2,FALSE)</f>
        <v>5000</v>
      </c>
      <c r="D18" s="94">
        <f>VLOOKUP(TBLPIZZAYUHU[NAMA BAHAN],[2]!TBLREKAPBAHAN[[NAMA BAHAN]:[MODAL SATUAN]],3,FALSE)</f>
        <v>8</v>
      </c>
      <c r="E18" s="99">
        <f>VLOOKUP(TBLPIZZAYUHU[NAMA BAHAN],[2]!TBLREKAPBAHAN[[NAMA BAHAN]:[MODAL SATUAN]],4,FALSE)</f>
        <v>625</v>
      </c>
      <c r="F18" s="95">
        <f>VLOOKUP(TBLPIZZAYUHU[NAMA BAHAN],[2]!TBLREKAPBAHAN[[NAMA BAHAN]:[MODAL SATUAN]],4,FALSE)</f>
        <v>625</v>
      </c>
      <c r="G18" s="96">
        <v>3</v>
      </c>
      <c r="H18" s="96">
        <f t="shared" si="4"/>
        <v>1875</v>
      </c>
      <c r="I18" s="96">
        <v>3</v>
      </c>
      <c r="J18" s="96">
        <f t="shared" si="0"/>
        <v>1875</v>
      </c>
      <c r="K18" s="96">
        <v>3</v>
      </c>
      <c r="L18" s="96">
        <f t="shared" si="1"/>
        <v>1875</v>
      </c>
      <c r="M18" s="96">
        <v>3</v>
      </c>
      <c r="N18" s="96">
        <f t="shared" si="2"/>
        <v>1875</v>
      </c>
      <c r="O18" s="96">
        <v>3</v>
      </c>
      <c r="P18" s="96">
        <f t="shared" si="3"/>
        <v>1875</v>
      </c>
      <c r="Q18" s="110">
        <v>3</v>
      </c>
      <c r="R18" s="97">
        <f>TBLPIZZAYUHU[[#This Row],[MODAL SATUAN]]*TBLPIZZAYUHU[[#This Row],[KEB.6]]</f>
        <v>1875</v>
      </c>
      <c r="S18" s="96">
        <v>3</v>
      </c>
      <c r="T18" s="141">
        <f>TBLPIZZAYUHU[[#This Row],[MODAL SATUAN]]*S18</f>
        <v>1875</v>
      </c>
    </row>
    <row r="19" spans="1:20" x14ac:dyDescent="0.25">
      <c r="A19" s="59">
        <v>18</v>
      </c>
      <c r="B19" s="59" t="s">
        <v>15</v>
      </c>
      <c r="C19" s="94">
        <f>VLOOKUP(TBLPIZZAYUHU[NAMA BAHAN],[2]!TBLREKAPBAHAN[[NAMA BAHAN]:[MODAL SATUAN]],2,FALSE)</f>
        <v>25000</v>
      </c>
      <c r="D19" s="94">
        <f>VLOOKUP(TBLPIZZAYUHU[NAMA BAHAN],[2]!TBLREKAPBAHAN[[NAMA BAHAN]:[MODAL SATUAN]],3,FALSE)</f>
        <v>100</v>
      </c>
      <c r="E19" s="99">
        <f>VLOOKUP(TBLPIZZAYUHU[NAMA BAHAN],[2]!TBLREKAPBAHAN[[NAMA BAHAN]:[MODAL SATUAN]],4,FALSE)</f>
        <v>250</v>
      </c>
      <c r="F19" s="95">
        <f>VLOOKUP(TBLPIZZAYUHU[NAMA BAHAN],[2]!TBLREKAPBAHAN[[NAMA BAHAN]:[MODAL SATUAN]],4,FALSE)</f>
        <v>250</v>
      </c>
      <c r="G19" s="96">
        <v>0</v>
      </c>
      <c r="H19" s="96">
        <f t="shared" si="4"/>
        <v>0</v>
      </c>
      <c r="I19" s="96">
        <v>0</v>
      </c>
      <c r="J19" s="96">
        <f t="shared" si="0"/>
        <v>0</v>
      </c>
      <c r="K19" s="96">
        <v>40</v>
      </c>
      <c r="L19" s="96">
        <f t="shared" si="1"/>
        <v>10000</v>
      </c>
      <c r="M19" s="96">
        <v>0</v>
      </c>
      <c r="N19" s="96">
        <f t="shared" si="2"/>
        <v>0</v>
      </c>
      <c r="O19" s="96">
        <v>0</v>
      </c>
      <c r="P19" s="96">
        <f t="shared" si="3"/>
        <v>0</v>
      </c>
      <c r="Q19" s="110">
        <v>0</v>
      </c>
      <c r="R19" s="97">
        <f>TBLPIZZAYUHU[[#This Row],[MODAL SATUAN]]*TBLPIZZAYUHU[[#This Row],[KEB.6]]</f>
        <v>0</v>
      </c>
      <c r="S19" s="96">
        <v>0</v>
      </c>
      <c r="T19" s="141">
        <f>TBLPIZZAYUHU[[#This Row],[MODAL SATUAN]]*S19</f>
        <v>0</v>
      </c>
    </row>
    <row r="20" spans="1:20" x14ac:dyDescent="0.25">
      <c r="A20" s="59">
        <v>19</v>
      </c>
      <c r="B20" s="59" t="s">
        <v>13</v>
      </c>
      <c r="C20" s="94">
        <f>VLOOKUP(TBLPIZZAYUHU[NAMA BAHAN],[2]!TBLREKAPBAHAN[[NAMA BAHAN]:[MODAL SATUAN]],2,FALSE)</f>
        <v>2000</v>
      </c>
      <c r="D20" s="94">
        <f>VLOOKUP(TBLPIZZAYUHU[NAMA BAHAN],[2]!TBLREKAPBAHAN[[NAMA BAHAN]:[MODAL SATUAN]],3,FALSE)</f>
        <v>10</v>
      </c>
      <c r="E20" s="99">
        <f>VLOOKUP(TBLPIZZAYUHU[NAMA BAHAN],[2]!TBLREKAPBAHAN[[NAMA BAHAN]:[MODAL SATUAN]],4,FALSE)</f>
        <v>200</v>
      </c>
      <c r="F20" s="95">
        <f>VLOOKUP(TBLPIZZAYUHU[NAMA BAHAN],[2]!TBLREKAPBAHAN[[NAMA BAHAN]:[MODAL SATUAN]],4,FALSE)</f>
        <v>200</v>
      </c>
      <c r="G20" s="96">
        <v>0</v>
      </c>
      <c r="H20" s="96">
        <f t="shared" si="4"/>
        <v>0</v>
      </c>
      <c r="I20" s="96">
        <v>0</v>
      </c>
      <c r="J20" s="96">
        <f t="shared" si="0"/>
        <v>0</v>
      </c>
      <c r="K20" s="96">
        <v>0</v>
      </c>
      <c r="L20" s="96">
        <f t="shared" si="1"/>
        <v>0</v>
      </c>
      <c r="M20" s="96">
        <v>0</v>
      </c>
      <c r="N20" s="96">
        <f t="shared" si="2"/>
        <v>0</v>
      </c>
      <c r="O20" s="96">
        <v>4</v>
      </c>
      <c r="P20" s="96">
        <f t="shared" si="3"/>
        <v>800</v>
      </c>
      <c r="Q20" s="110">
        <v>4</v>
      </c>
      <c r="R20" s="97">
        <f>TBLPIZZAYUHU[[#This Row],[MODAL SATUAN]]*TBLPIZZAYUHU[[#This Row],[KEB.6]]</f>
        <v>800</v>
      </c>
      <c r="S20" s="96">
        <v>0</v>
      </c>
      <c r="T20" s="141">
        <f>TBLPIZZAYUHU[[#This Row],[MODAL SATUAN]]*S20</f>
        <v>0</v>
      </c>
    </row>
    <row r="21" spans="1:20" x14ac:dyDescent="0.25">
      <c r="A21" s="59">
        <v>20</v>
      </c>
      <c r="B21" s="59" t="s">
        <v>16</v>
      </c>
      <c r="C21" s="94">
        <f>VLOOKUP(TBLPIZZAYUHU[NAMA BAHAN],[2]!TBLREKAPBAHAN[[NAMA BAHAN]:[MODAL SATUAN]],2,FALSE)</f>
        <v>3000</v>
      </c>
      <c r="D21" s="94">
        <f>VLOOKUP(TBLPIZZAYUHU[NAMA BAHAN],[2]!TBLREKAPBAHAN[[NAMA BAHAN]:[MODAL SATUAN]],3,FALSE)</f>
        <v>2</v>
      </c>
      <c r="E21" s="99">
        <f>VLOOKUP(TBLPIZZAYUHU[NAMA BAHAN],[2]!TBLREKAPBAHAN[[NAMA BAHAN]:[MODAL SATUAN]],4,FALSE)</f>
        <v>1500</v>
      </c>
      <c r="F21" s="95">
        <f>VLOOKUP(TBLPIZZAYUHU[NAMA BAHAN],[2]!TBLREKAPBAHAN[[NAMA BAHAN]:[MODAL SATUAN]],4,FALSE)</f>
        <v>1500</v>
      </c>
      <c r="G21" s="96">
        <v>0</v>
      </c>
      <c r="H21" s="96">
        <f t="shared" si="4"/>
        <v>0</v>
      </c>
      <c r="I21" s="96">
        <v>0</v>
      </c>
      <c r="J21" s="96">
        <f t="shared" si="0"/>
        <v>0</v>
      </c>
      <c r="K21" s="96">
        <v>0</v>
      </c>
      <c r="L21" s="96">
        <f t="shared" si="1"/>
        <v>0</v>
      </c>
      <c r="M21" s="96">
        <v>1</v>
      </c>
      <c r="N21" s="96">
        <f t="shared" si="2"/>
        <v>1500</v>
      </c>
      <c r="O21" s="96">
        <v>0</v>
      </c>
      <c r="P21" s="96">
        <f t="shared" si="3"/>
        <v>0</v>
      </c>
      <c r="Q21" s="110">
        <v>0</v>
      </c>
      <c r="R21" s="97">
        <f>TBLPIZZAYUHU[[#This Row],[MODAL SATUAN]]*TBLPIZZAYUHU[[#This Row],[KEB.6]]</f>
        <v>0</v>
      </c>
      <c r="S21" s="96">
        <v>0</v>
      </c>
      <c r="T21" s="141">
        <f>TBLPIZZAYUHU[[#This Row],[MODAL SATUAN]]*S21</f>
        <v>0</v>
      </c>
    </row>
    <row r="22" spans="1:20" x14ac:dyDescent="0.25">
      <c r="A22" s="59">
        <v>21</v>
      </c>
      <c r="B22" s="59" t="s">
        <v>41</v>
      </c>
      <c r="C22" s="94">
        <f>VLOOKUP(TBLPIZZAYUHU[NAMA BAHAN],[2]!TBLREKAPBAHAN[[NAMA BAHAN]:[MODAL SATUAN]],2,FALSE)</f>
        <v>9000</v>
      </c>
      <c r="D22" s="94">
        <f>VLOOKUP(TBLPIZZAYUHU[NAMA BAHAN],[2]!TBLREKAPBAHAN[[NAMA BAHAN]:[MODAL SATUAN]],3,FALSE)</f>
        <v>10</v>
      </c>
      <c r="E22" s="99">
        <f>VLOOKUP(TBLPIZZAYUHU[NAMA BAHAN],[2]!TBLREKAPBAHAN[[NAMA BAHAN]:[MODAL SATUAN]],4,FALSE)</f>
        <v>900</v>
      </c>
      <c r="F22" s="95">
        <f>VLOOKUP(TBLPIZZAYUHU[NAMA BAHAN],[2]!TBLREKAPBAHAN[[NAMA BAHAN]:[MODAL SATUAN]],4,FALSE)</f>
        <v>900</v>
      </c>
      <c r="G22" s="96">
        <v>0</v>
      </c>
      <c r="H22" s="96">
        <f t="shared" si="4"/>
        <v>0</v>
      </c>
      <c r="I22" s="96">
        <v>0</v>
      </c>
      <c r="J22" s="96">
        <f t="shared" si="0"/>
        <v>0</v>
      </c>
      <c r="K22" s="96">
        <v>0</v>
      </c>
      <c r="L22" s="96">
        <f t="shared" si="1"/>
        <v>0</v>
      </c>
      <c r="M22" s="96">
        <v>0</v>
      </c>
      <c r="N22" s="96">
        <f t="shared" si="2"/>
        <v>0</v>
      </c>
      <c r="O22" s="96">
        <v>0</v>
      </c>
      <c r="P22" s="96">
        <f t="shared" si="3"/>
        <v>0</v>
      </c>
      <c r="Q22" s="110">
        <v>0</v>
      </c>
      <c r="R22" s="97">
        <f>TBLPIZZAYUHU[[#This Row],[MODAL SATUAN]]*TBLPIZZAYUHU[[#This Row],[KEB.6]]</f>
        <v>0</v>
      </c>
      <c r="S22" s="96">
        <v>0</v>
      </c>
      <c r="T22" s="141">
        <f>TBLPIZZAYUHU[[#This Row],[MODAL SATUAN]]*S22</f>
        <v>0</v>
      </c>
    </row>
    <row r="23" spans="1:20" x14ac:dyDescent="0.25">
      <c r="A23" s="59">
        <v>22</v>
      </c>
      <c r="B23" s="59" t="s">
        <v>141</v>
      </c>
      <c r="C23" s="94">
        <f>VLOOKUP(TBLPIZZAYUHU[NAMA BAHAN],[2]!TBLREKAPBAHAN[[NAMA BAHAN]:[MODAL SATUAN]],2,FALSE)</f>
        <v>10000</v>
      </c>
      <c r="D23" s="94">
        <f>VLOOKUP(TBLPIZZAYUHU[NAMA BAHAN],[2]!TBLREKAPBAHAN[[NAMA BAHAN]:[MODAL SATUAN]],3,FALSE)</f>
        <v>100</v>
      </c>
      <c r="E23" s="99">
        <f>VLOOKUP(TBLPIZZAYUHU[NAMA BAHAN],[2]!TBLREKAPBAHAN[[NAMA BAHAN]:[MODAL SATUAN]],4,FALSE)</f>
        <v>100</v>
      </c>
      <c r="F23" s="95">
        <f>VLOOKUP(TBLPIZZAYUHU[NAMA BAHAN],[2]!TBLREKAPBAHAN[[NAMA BAHAN]:[MODAL SATUAN]],4,FALSE)</f>
        <v>100</v>
      </c>
      <c r="G23" s="96">
        <v>0</v>
      </c>
      <c r="H23" s="96">
        <f t="shared" si="4"/>
        <v>0</v>
      </c>
      <c r="I23" s="96">
        <v>0</v>
      </c>
      <c r="J23" s="96">
        <f t="shared" si="0"/>
        <v>0</v>
      </c>
      <c r="K23" s="96">
        <v>0</v>
      </c>
      <c r="L23" s="96">
        <f t="shared" si="1"/>
        <v>0</v>
      </c>
      <c r="M23" s="96">
        <v>0</v>
      </c>
      <c r="N23" s="96">
        <f t="shared" si="2"/>
        <v>0</v>
      </c>
      <c r="O23" s="96">
        <v>0</v>
      </c>
      <c r="P23" s="96">
        <f t="shared" si="3"/>
        <v>0</v>
      </c>
      <c r="Q23" s="110">
        <v>0</v>
      </c>
      <c r="R23" s="97">
        <f>TBLPIZZAYUHU[[#This Row],[MODAL SATUAN]]*TBLPIZZAYUHU[[#This Row],[KEB.6]]</f>
        <v>0</v>
      </c>
      <c r="S23" s="96">
        <v>10</v>
      </c>
      <c r="T23" s="141">
        <f>TBLPIZZAYUHU[[#This Row],[MODAL SATUAN]]*S23</f>
        <v>1000</v>
      </c>
    </row>
    <row r="24" spans="1:20" x14ac:dyDescent="0.25">
      <c r="A24" s="59">
        <v>23</v>
      </c>
      <c r="B24" s="59" t="s">
        <v>42</v>
      </c>
      <c r="C24" s="94">
        <f>VLOOKUP(TBLPIZZAYUHU[NAMA BAHAN],[2]!TBLREKAPBAHAN[[NAMA BAHAN]:[MODAL SATUAN]],2,FALSE)</f>
        <v>12000</v>
      </c>
      <c r="D24" s="94">
        <f>VLOOKUP(TBLPIZZAYUHU[NAMA BAHAN],[2]!TBLREKAPBAHAN[[NAMA BAHAN]:[MODAL SATUAN]],3,FALSE)</f>
        <v>10</v>
      </c>
      <c r="E24" s="99">
        <f>VLOOKUP(TBLPIZZAYUHU[NAMA BAHAN],[2]!TBLREKAPBAHAN[[NAMA BAHAN]:[MODAL SATUAN]],4,FALSE)</f>
        <v>1200</v>
      </c>
      <c r="F24" s="95">
        <f>VLOOKUP(TBLPIZZAYUHU[NAMA BAHAN],[2]!TBLREKAPBAHAN[[NAMA BAHAN]:[MODAL SATUAN]],4,FALSE)</f>
        <v>1200</v>
      </c>
      <c r="G24" s="96">
        <v>0</v>
      </c>
      <c r="H24" s="96">
        <f t="shared" si="4"/>
        <v>0</v>
      </c>
      <c r="I24" s="96">
        <v>0</v>
      </c>
      <c r="J24" s="96">
        <f t="shared" si="0"/>
        <v>0</v>
      </c>
      <c r="K24" s="96">
        <v>0</v>
      </c>
      <c r="L24" s="96">
        <f t="shared" si="1"/>
        <v>0</v>
      </c>
      <c r="M24" s="96">
        <v>0</v>
      </c>
      <c r="N24" s="96">
        <f t="shared" si="2"/>
        <v>0</v>
      </c>
      <c r="O24" s="96">
        <v>0</v>
      </c>
      <c r="P24" s="96">
        <f t="shared" si="3"/>
        <v>0</v>
      </c>
      <c r="Q24" s="110">
        <v>0</v>
      </c>
      <c r="R24" s="97">
        <f>TBLPIZZAYUHU[[#This Row],[MODAL SATUAN]]*TBLPIZZAYUHU[[#This Row],[KEB.6]]</f>
        <v>0</v>
      </c>
      <c r="S24" s="96">
        <v>0</v>
      </c>
      <c r="T24" s="141">
        <f>TBLPIZZAYUHU[[#This Row],[MODAL SATUAN]]*S24</f>
        <v>0</v>
      </c>
    </row>
    <row r="25" spans="1:20" x14ac:dyDescent="0.25">
      <c r="A25" s="59">
        <v>24</v>
      </c>
      <c r="B25" s="59" t="s">
        <v>155</v>
      </c>
      <c r="C25" s="94">
        <f>VLOOKUP(TBLPIZZAYUHU[NAMA BAHAN],[2]!TBLREKAPBAHAN[[NAMA BAHAN]:[MODAL SATUAN]],2,FALSE)</f>
        <v>17000</v>
      </c>
      <c r="D25" s="94">
        <f>VLOOKUP(TBLPIZZAYUHU[NAMA BAHAN],[2]!TBLREKAPBAHAN[[NAMA BAHAN]:[MODAL SATUAN]],3,FALSE)</f>
        <v>19000</v>
      </c>
      <c r="E25" s="99">
        <f>VLOOKUP(TBLPIZZAYUHU[NAMA BAHAN],[2]!TBLREKAPBAHAN[[NAMA BAHAN]:[MODAL SATUAN]],4,FALSE)</f>
        <v>0.89473684210526316</v>
      </c>
      <c r="F25" s="95">
        <f>VLOOKUP(TBLPIZZAYUHU[NAMA BAHAN],[2]!TBLREKAPBAHAN[[NAMA BAHAN]:[MODAL SATUAN]],4,FALSE)</f>
        <v>0.89473684210526316</v>
      </c>
      <c r="G25" s="96">
        <v>80</v>
      </c>
      <c r="H25" s="96">
        <f t="shared" si="4"/>
        <v>71.578947368421055</v>
      </c>
      <c r="I25" s="96">
        <v>80</v>
      </c>
      <c r="J25" s="96">
        <f t="shared" si="0"/>
        <v>71.578947368421055</v>
      </c>
      <c r="K25" s="96">
        <v>80</v>
      </c>
      <c r="L25" s="96">
        <f t="shared" si="1"/>
        <v>71.578947368421055</v>
      </c>
      <c r="M25" s="96">
        <v>80</v>
      </c>
      <c r="N25" s="96">
        <f t="shared" si="2"/>
        <v>71.578947368421055</v>
      </c>
      <c r="O25" s="96">
        <v>80</v>
      </c>
      <c r="P25" s="96">
        <f t="shared" si="3"/>
        <v>71.578947368421055</v>
      </c>
      <c r="Q25" s="110">
        <v>80</v>
      </c>
      <c r="R25" s="97">
        <f>TBLPIZZAYUHU[[#This Row],[MODAL SATUAN]]*TBLPIZZAYUHU[[#This Row],[KEB.6]]</f>
        <v>71.578947368421055</v>
      </c>
      <c r="S25" s="96">
        <v>80</v>
      </c>
      <c r="T25" s="141">
        <f>TBLPIZZAYUHU[[#This Row],[MODAL SATUAN]]*S25</f>
        <v>71.578947368421055</v>
      </c>
    </row>
    <row r="26" spans="1:20" x14ac:dyDescent="0.25">
      <c r="A26" s="59">
        <v>25</v>
      </c>
      <c r="B26" s="59" t="s">
        <v>55</v>
      </c>
      <c r="C26" s="94">
        <f>VLOOKUP(TBLPIZZAYUHU[NAMA BAHAN],[2]!TBLREKAPBAHAN[[NAMA BAHAN]:[MODAL SATUAN]],2,FALSE)</f>
        <v>23000</v>
      </c>
      <c r="D26" s="94">
        <f>VLOOKUP(TBLPIZZAYUHU[NAMA BAHAN],[2]!TBLREKAPBAHAN[[NAMA BAHAN]:[MODAL SATUAN]],3,FALSE)</f>
        <v>3000</v>
      </c>
      <c r="E26" s="99">
        <f>VLOOKUP(TBLPIZZAYUHU[NAMA BAHAN],[2]!TBLREKAPBAHAN[[NAMA BAHAN]:[MODAL SATUAN]],4,FALSE)</f>
        <v>7.666666666666667</v>
      </c>
      <c r="F26" s="95">
        <f>VLOOKUP(TBLPIZZAYUHU[NAMA BAHAN],[2]!TBLREKAPBAHAN[[NAMA BAHAN]:[MODAL SATUAN]],4,FALSE)</f>
        <v>7.666666666666667</v>
      </c>
      <c r="G26" s="96">
        <v>80</v>
      </c>
      <c r="H26" s="96">
        <f t="shared" si="4"/>
        <v>613.33333333333337</v>
      </c>
      <c r="I26" s="96">
        <v>80</v>
      </c>
      <c r="J26" s="96">
        <f t="shared" si="0"/>
        <v>613.33333333333337</v>
      </c>
      <c r="K26" s="96">
        <v>80</v>
      </c>
      <c r="L26" s="96">
        <f t="shared" si="1"/>
        <v>613.33333333333337</v>
      </c>
      <c r="M26" s="96">
        <v>80</v>
      </c>
      <c r="N26" s="96">
        <f t="shared" si="2"/>
        <v>613.33333333333337</v>
      </c>
      <c r="O26" s="96">
        <v>80</v>
      </c>
      <c r="P26" s="96">
        <f t="shared" si="3"/>
        <v>613.33333333333337</v>
      </c>
      <c r="Q26" s="110">
        <v>80</v>
      </c>
      <c r="R26" s="97">
        <f>TBLPIZZAYUHU[[#This Row],[MODAL SATUAN]]*TBLPIZZAYUHU[[#This Row],[KEB.6]]</f>
        <v>613.33333333333337</v>
      </c>
      <c r="S26" s="96">
        <v>80</v>
      </c>
      <c r="T26" s="141">
        <f>TBLPIZZAYUHU[[#This Row],[MODAL SATUAN]]*S26</f>
        <v>613.33333333333337</v>
      </c>
    </row>
    <row r="27" spans="1:20" x14ac:dyDescent="0.25">
      <c r="A27" s="59">
        <v>26</v>
      </c>
      <c r="B27" s="2" t="s">
        <v>183</v>
      </c>
      <c r="C27" s="94">
        <f>VLOOKUP(TBLPIZZAYUHU[NAMA BAHAN],[2]!TBLREKAPBAHAN[[NAMA BAHAN]:[MODAL SATUAN]],2,FALSE)</f>
        <v>10000</v>
      </c>
      <c r="D27" s="94">
        <f>VLOOKUP(TBLPIZZAYUHU[NAMA BAHAN],[2]!TBLREKAPBAHAN[[NAMA BAHAN]:[MODAL SATUAN]],3,FALSE)</f>
        <v>50</v>
      </c>
      <c r="E27" s="99">
        <f>VLOOKUP(TBLPIZZAYUHU[NAMA BAHAN],[2]!TBLREKAPBAHAN[[NAMA BAHAN]:[MODAL SATUAN]],4,FALSE)</f>
        <v>200</v>
      </c>
      <c r="F27" s="95">
        <f>VLOOKUP(TBLPIZZAYUHU[NAMA BAHAN],[2]!TBLREKAPBAHAN[[NAMA BAHAN]:[MODAL SATUAN]],4,FALSE)</f>
        <v>200</v>
      </c>
      <c r="G27" s="96">
        <v>1</v>
      </c>
      <c r="H27" s="96">
        <f t="shared" si="4"/>
        <v>200</v>
      </c>
      <c r="I27" s="96">
        <v>1</v>
      </c>
      <c r="J27" s="96">
        <f t="shared" si="0"/>
        <v>200</v>
      </c>
      <c r="K27" s="96">
        <v>1</v>
      </c>
      <c r="L27" s="96">
        <f t="shared" si="1"/>
        <v>200</v>
      </c>
      <c r="M27" s="96">
        <v>1</v>
      </c>
      <c r="N27" s="96">
        <f t="shared" si="2"/>
        <v>200</v>
      </c>
      <c r="O27" s="96">
        <v>1</v>
      </c>
      <c r="P27" s="96">
        <f t="shared" si="3"/>
        <v>200</v>
      </c>
      <c r="Q27" s="110">
        <v>1</v>
      </c>
      <c r="R27" s="97">
        <f>TBLPIZZAYUHU[[#This Row],[MODAL SATUAN]]*TBLPIZZAYUHU[[#This Row],[KEB.6]]</f>
        <v>200</v>
      </c>
      <c r="S27" s="96">
        <v>1</v>
      </c>
      <c r="T27" s="141">
        <f>TBLPIZZAYUHU[[#This Row],[MODAL SATUAN]]*S27</f>
        <v>200</v>
      </c>
    </row>
    <row r="28" spans="1:20" x14ac:dyDescent="0.25">
      <c r="A28" s="59">
        <v>27</v>
      </c>
      <c r="B28" s="59" t="s">
        <v>89</v>
      </c>
      <c r="C28" s="94">
        <f>VLOOKUP(TBLPIZZAYUHU[NAMA BAHAN],[2]!TBLREKAPBAHAN[[NAMA BAHAN]:[MODAL SATUAN]],2,FALSE)</f>
        <v>2500</v>
      </c>
      <c r="D28" s="94">
        <f>VLOOKUP(TBLPIZZAYUHU[NAMA BAHAN],[2]!TBLREKAPBAHAN[[NAMA BAHAN]:[MODAL SATUAN]],3,FALSE)</f>
        <v>1</v>
      </c>
      <c r="E28" s="99">
        <f>VLOOKUP(TBLPIZZAYUHU[NAMA BAHAN],[2]!TBLREKAPBAHAN[[NAMA BAHAN]:[MODAL SATUAN]],4,FALSE)</f>
        <v>2500</v>
      </c>
      <c r="F28" s="95">
        <f>VLOOKUP(TBLPIZZAYUHU[NAMA BAHAN],[2]!TBLREKAPBAHAN[[NAMA BAHAN]:[MODAL SATUAN]],4,FALSE)</f>
        <v>2500</v>
      </c>
      <c r="G28" s="96">
        <v>1</v>
      </c>
      <c r="H28" s="96">
        <f t="shared" si="4"/>
        <v>2500</v>
      </c>
      <c r="I28" s="96">
        <v>1</v>
      </c>
      <c r="J28" s="96">
        <f t="shared" si="0"/>
        <v>2500</v>
      </c>
      <c r="K28" s="96">
        <v>1</v>
      </c>
      <c r="L28" s="96">
        <f t="shared" si="1"/>
        <v>2500</v>
      </c>
      <c r="M28" s="96">
        <v>1</v>
      </c>
      <c r="N28" s="96">
        <f t="shared" si="2"/>
        <v>2500</v>
      </c>
      <c r="O28" s="96">
        <v>1</v>
      </c>
      <c r="P28" s="96">
        <f t="shared" si="3"/>
        <v>2500</v>
      </c>
      <c r="Q28" s="110">
        <v>1</v>
      </c>
      <c r="R28" s="97">
        <f>TBLPIZZAYUHU[[#This Row],[MODAL SATUAN]]*TBLPIZZAYUHU[[#This Row],[KEB.6]]</f>
        <v>2500</v>
      </c>
      <c r="S28" s="96">
        <v>1</v>
      </c>
      <c r="T28" s="141">
        <f>TBLPIZZAYUHU[[#This Row],[MODAL SATUAN]]*S28</f>
        <v>2500</v>
      </c>
    </row>
    <row r="29" spans="1:20" x14ac:dyDescent="0.25">
      <c r="A29" s="59">
        <v>28</v>
      </c>
      <c r="B29" s="59" t="s">
        <v>85</v>
      </c>
      <c r="C29" s="94">
        <f>VLOOKUP(TBLPIZZAYUHU[NAMA BAHAN],[2]!TBLREKAPBAHAN[[NAMA BAHAN]:[MODAL SATUAN]],2,FALSE)</f>
        <v>37500</v>
      </c>
      <c r="D29" s="94">
        <f>VLOOKUP(TBLPIZZAYUHU[NAMA BAHAN],[2]!TBLREKAPBAHAN[[NAMA BAHAN]:[MODAL SATUAN]],3,FALSE)</f>
        <v>300</v>
      </c>
      <c r="E29" s="99">
        <f>VLOOKUP(TBLPIZZAYUHU[NAMA BAHAN],[2]!TBLREKAPBAHAN[[NAMA BAHAN]:[MODAL SATUAN]],4,FALSE)</f>
        <v>125</v>
      </c>
      <c r="F29" s="95">
        <f>VLOOKUP(TBLPIZZAYUHU[NAMA BAHAN],[2]!TBLREKAPBAHAN[[NAMA BAHAN]:[MODAL SATUAN]],4,FALSE)</f>
        <v>125</v>
      </c>
      <c r="G29" s="96">
        <v>1</v>
      </c>
      <c r="H29" s="96">
        <f t="shared" si="4"/>
        <v>125</v>
      </c>
      <c r="I29" s="96">
        <v>1</v>
      </c>
      <c r="J29" s="96">
        <f t="shared" si="0"/>
        <v>125</v>
      </c>
      <c r="K29" s="96">
        <v>1</v>
      </c>
      <c r="L29" s="96">
        <f t="shared" si="1"/>
        <v>125</v>
      </c>
      <c r="M29" s="96">
        <v>1</v>
      </c>
      <c r="N29" s="96">
        <f t="shared" si="2"/>
        <v>125</v>
      </c>
      <c r="O29" s="96">
        <v>1</v>
      </c>
      <c r="P29" s="96">
        <f t="shared" si="3"/>
        <v>125</v>
      </c>
      <c r="Q29" s="110">
        <v>1</v>
      </c>
      <c r="R29" s="97">
        <f>TBLPIZZAYUHU[[#This Row],[MODAL SATUAN]]*TBLPIZZAYUHU[[#This Row],[KEB.6]]</f>
        <v>125</v>
      </c>
      <c r="S29" s="96">
        <v>1</v>
      </c>
      <c r="T29" s="141">
        <f>TBLPIZZAYUHU[[#This Row],[MODAL SATUAN]]*S29</f>
        <v>125</v>
      </c>
    </row>
    <row r="30" spans="1:20" x14ac:dyDescent="0.25">
      <c r="A30" s="59">
        <v>29</v>
      </c>
      <c r="B30" s="59" t="s">
        <v>87</v>
      </c>
      <c r="C30" s="94">
        <f>VLOOKUP(TBLPIZZAYUHU[NAMA BAHAN],[2]!TBLREKAPBAHAN[[NAMA BAHAN]:[MODAL SATUAN]],2,FALSE)</f>
        <v>1000</v>
      </c>
      <c r="D30" s="94">
        <f>VLOOKUP(TBLPIZZAYUHU[NAMA BAHAN],[2]!TBLREKAPBAHAN[[NAMA BAHAN]:[MODAL SATUAN]],3,FALSE)</f>
        <v>2</v>
      </c>
      <c r="E30" s="99">
        <f>VLOOKUP(TBLPIZZAYUHU[NAMA BAHAN],[2]!TBLREKAPBAHAN[[NAMA BAHAN]:[MODAL SATUAN]],4,FALSE)</f>
        <v>500</v>
      </c>
      <c r="F30" s="95">
        <f>VLOOKUP(TBLPIZZAYUHU[NAMA BAHAN],[2]!TBLREKAPBAHAN[[NAMA BAHAN]:[MODAL SATUAN]],4,FALSE)</f>
        <v>500</v>
      </c>
      <c r="G30" s="96">
        <v>1</v>
      </c>
      <c r="H30" s="96">
        <f t="shared" si="4"/>
        <v>500</v>
      </c>
      <c r="I30" s="96">
        <v>1</v>
      </c>
      <c r="J30" s="96">
        <f t="shared" si="0"/>
        <v>500</v>
      </c>
      <c r="K30" s="96">
        <v>1</v>
      </c>
      <c r="L30" s="96">
        <f t="shared" si="1"/>
        <v>500</v>
      </c>
      <c r="M30" s="96">
        <v>1</v>
      </c>
      <c r="N30" s="96">
        <f t="shared" si="2"/>
        <v>500</v>
      </c>
      <c r="O30" s="96">
        <v>1</v>
      </c>
      <c r="P30" s="96">
        <f t="shared" si="3"/>
        <v>500</v>
      </c>
      <c r="Q30" s="110">
        <v>1</v>
      </c>
      <c r="R30" s="97">
        <f>TBLPIZZAYUHU[[#This Row],[MODAL SATUAN]]*TBLPIZZAYUHU[[#This Row],[KEB.6]]</f>
        <v>500</v>
      </c>
      <c r="S30" s="96">
        <v>1</v>
      </c>
      <c r="T30" s="141">
        <f>TBLPIZZAYUHU[[#This Row],[MODAL SATUAN]]*S30</f>
        <v>500</v>
      </c>
    </row>
    <row r="31" spans="1:20" s="102" customFormat="1" x14ac:dyDescent="0.25">
      <c r="A31" s="150" t="s">
        <v>20</v>
      </c>
      <c r="B31" s="150"/>
      <c r="C31" s="150"/>
      <c r="D31" s="150"/>
      <c r="E31" s="150"/>
      <c r="F31" s="150"/>
      <c r="G31" s="100"/>
      <c r="H31" s="101">
        <f>SUM(H2:H30)</f>
        <v>44576.902711323768</v>
      </c>
      <c r="I31" s="100"/>
      <c r="J31" s="101">
        <f>SUM(J2:J30)</f>
        <v>47030.850079744814</v>
      </c>
      <c r="K31" s="100"/>
      <c r="L31" s="101">
        <f>SUM(L2:L30)</f>
        <v>51609.797448165875</v>
      </c>
      <c r="M31" s="100"/>
      <c r="N31" s="101">
        <f>SUM(N2:N30)</f>
        <v>45971.639553429028</v>
      </c>
      <c r="O31" s="100"/>
      <c r="P31" s="101">
        <f>SUM(P2:P30)</f>
        <v>46396.639553429028</v>
      </c>
      <c r="Q31" s="111"/>
      <c r="R31" s="101">
        <f>SUM(TBLPIZZAYUHU[PIZZA YUHU 21 CM MEAT LOVERS])</f>
        <v>47571.639553429028</v>
      </c>
      <c r="S31" s="100"/>
      <c r="T31" s="101">
        <f>SUM(T2:T30)</f>
        <v>47746.639553429028</v>
      </c>
    </row>
  </sheetData>
  <mergeCells count="1">
    <mergeCell ref="A31:F31"/>
  </mergeCells>
  <pageMargins left="0" right="0" top="0" bottom="0" header="0" footer="0"/>
  <pageSetup paperSize="9" scale="80" fitToWidth="0" fitToHeight="0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pane xSplit="3" topLeftCell="I1" activePane="topRight" state="frozen"/>
      <selection activeCell="K27" sqref="K27"/>
      <selection pane="topRight" activeCell="P2" sqref="P2"/>
    </sheetView>
  </sheetViews>
  <sheetFormatPr defaultRowHeight="15" x14ac:dyDescent="0.25"/>
  <cols>
    <col min="1" max="2" width="35.140625" style="105" customWidth="1"/>
    <col min="3" max="3" width="15.7109375" style="113" customWidth="1"/>
    <col min="4" max="4" width="12.42578125" style="113" customWidth="1"/>
    <col min="5" max="5" width="23" style="113" customWidth="1"/>
    <col min="6" max="6" width="17.5703125" style="113" customWidth="1"/>
    <col min="7" max="7" width="7.7109375" style="121" customWidth="1"/>
    <col min="8" max="8" width="35.5703125" style="113" customWidth="1"/>
    <col min="9" max="9" width="8.140625" style="121" customWidth="1"/>
    <col min="10" max="10" width="37" style="113" customWidth="1"/>
    <col min="11" max="11" width="8.140625" style="121" customWidth="1"/>
    <col min="12" max="12" width="30.42578125" style="113" customWidth="1"/>
    <col min="13" max="13" width="8.140625" style="121" customWidth="1"/>
    <col min="14" max="14" width="36.7109375" style="113" customWidth="1"/>
    <col min="15" max="15" width="8.140625" style="121" customWidth="1"/>
    <col min="16" max="16" width="31.28515625" style="113" customWidth="1"/>
    <col min="17" max="17" width="9.140625" style="105"/>
    <col min="18" max="18" width="31.42578125" style="105" customWidth="1"/>
    <col min="19" max="16384" width="9.140625" style="105"/>
  </cols>
  <sheetData>
    <row r="1" spans="1:18" s="56" customFormat="1" ht="65.25" customHeight="1" x14ac:dyDescent="0.25">
      <c r="A1" s="53" t="s">
        <v>90</v>
      </c>
      <c r="B1" s="54" t="s">
        <v>0</v>
      </c>
      <c r="C1" s="53" t="s">
        <v>4</v>
      </c>
      <c r="D1" s="53" t="s">
        <v>3</v>
      </c>
      <c r="E1" s="53" t="s">
        <v>1</v>
      </c>
      <c r="F1" s="53" t="s">
        <v>2</v>
      </c>
      <c r="G1" s="55" t="s">
        <v>5</v>
      </c>
      <c r="H1" s="53" t="s">
        <v>138</v>
      </c>
      <c r="I1" s="55" t="s">
        <v>146</v>
      </c>
      <c r="J1" s="53" t="s">
        <v>136</v>
      </c>
      <c r="K1" s="55" t="s">
        <v>147</v>
      </c>
      <c r="L1" s="53" t="s">
        <v>139</v>
      </c>
      <c r="M1" s="55" t="s">
        <v>148</v>
      </c>
      <c r="N1" s="53" t="s">
        <v>160</v>
      </c>
      <c r="O1" s="55" t="s">
        <v>149</v>
      </c>
      <c r="P1" s="53" t="s">
        <v>137</v>
      </c>
      <c r="Q1" s="53" t="s">
        <v>150</v>
      </c>
      <c r="R1" s="53" t="s">
        <v>156</v>
      </c>
    </row>
    <row r="2" spans="1:18" x14ac:dyDescent="0.25">
      <c r="A2" s="10">
        <v>1</v>
      </c>
      <c r="B2" s="10" t="s">
        <v>71</v>
      </c>
      <c r="C2" s="11">
        <f>VLOOKUP(TBLPIZZASIP[NAMA BAHAN],[2]!TBLREKAPBAHAN[[NAMA BAHAN]:[MODAL SATUAN]],2,FALSE)</f>
        <v>12000</v>
      </c>
      <c r="D2" s="11">
        <f>VLOOKUP(TBLPIZZASIP[NAMA BAHAN],[2]!TBLREKAPBAHAN[[NAMA BAHAN]:[MODAL SATUAN]],3,FALSE)</f>
        <v>250</v>
      </c>
      <c r="E2" s="28">
        <f>VLOOKUP(TBLPIZZASIP[NAMA BAHAN],[2]!TBLREKAPBAHAN[[NAMA BAHAN]:[MODAL SATUAN]],4,FALSE)</f>
        <v>48</v>
      </c>
      <c r="F2" s="113">
        <f>VLOOKUP(TBLPIZZASIP[NAMA BAHAN],[2]!TBLREKAPBAHAN[[NAMA BAHAN]:[MODAL SATUAN]],4,FALSE)</f>
        <v>48</v>
      </c>
      <c r="G2" s="114">
        <v>150</v>
      </c>
      <c r="H2" s="115">
        <f>F2*G2</f>
        <v>7200</v>
      </c>
      <c r="I2" s="114">
        <v>150</v>
      </c>
      <c r="J2" s="115">
        <f>F2*I2</f>
        <v>7200</v>
      </c>
      <c r="K2" s="114">
        <v>150</v>
      </c>
      <c r="L2" s="115">
        <f>F2*K2</f>
        <v>7200</v>
      </c>
      <c r="M2" s="114">
        <v>130</v>
      </c>
      <c r="N2" s="116">
        <f>F2*M2</f>
        <v>6240</v>
      </c>
      <c r="O2" s="117">
        <v>150</v>
      </c>
      <c r="P2" s="117">
        <f t="shared" ref="P2:P30" si="0">F2*O2</f>
        <v>7200</v>
      </c>
      <c r="Q2" s="117">
        <v>150</v>
      </c>
      <c r="R2" s="117">
        <f>TBLPIZZASIP[[#This Row],[MODAL SATUAN]]*TBLPIZZASIP[[#This Row],[KEB.6]]</f>
        <v>7200</v>
      </c>
    </row>
    <row r="3" spans="1:18" x14ac:dyDescent="0.25">
      <c r="A3" s="10">
        <v>2</v>
      </c>
      <c r="B3" s="10" t="s">
        <v>74</v>
      </c>
      <c r="C3" s="11">
        <f>VLOOKUP(TBLPIZZASIP[NAMA BAHAN],[2]!TBLREKAPBAHAN[[NAMA BAHAN]:[MODAL SATUAN]],2,FALSE)</f>
        <v>7000</v>
      </c>
      <c r="D3" s="11">
        <f>VLOOKUP(TBLPIZZASIP[NAMA BAHAN],[2]!TBLREKAPBAHAN[[NAMA BAHAN]:[MODAL SATUAN]],3,FALSE)</f>
        <v>24</v>
      </c>
      <c r="E3" s="118">
        <f>VLOOKUP(TBLPIZZASIP[NAMA BAHAN],[2]!TBLREKAPBAHAN[[NAMA BAHAN]:[MODAL SATUAN]],4,FALSE)</f>
        <v>291.66666666666669</v>
      </c>
      <c r="F3" s="113">
        <f>VLOOKUP(TBLPIZZASIP[NAMA BAHAN],[2]!TBLREKAPBAHAN[[NAMA BAHAN]:[MODAL SATUAN]],4,FALSE)</f>
        <v>291.66666666666669</v>
      </c>
      <c r="G3" s="114">
        <v>4</v>
      </c>
      <c r="H3" s="115">
        <f>F3*G3</f>
        <v>1166.6666666666667</v>
      </c>
      <c r="I3" s="114">
        <v>4</v>
      </c>
      <c r="J3" s="115">
        <f>F3*I3</f>
        <v>1166.6666666666667</v>
      </c>
      <c r="K3" s="114">
        <v>4</v>
      </c>
      <c r="L3" s="115">
        <f>F3*K3</f>
        <v>1166.6666666666667</v>
      </c>
      <c r="M3" s="114">
        <v>4</v>
      </c>
      <c r="N3" s="116">
        <f>F3*M3</f>
        <v>1166.6666666666667</v>
      </c>
      <c r="O3" s="117">
        <v>4</v>
      </c>
      <c r="P3" s="117">
        <f t="shared" si="0"/>
        <v>1166.6666666666667</v>
      </c>
      <c r="Q3" s="117">
        <v>4</v>
      </c>
      <c r="R3" s="117">
        <f>TBLPIZZASIP[[#This Row],[MODAL SATUAN]]*TBLPIZZASIP[[#This Row],[KEB.6]]</f>
        <v>1166.6666666666667</v>
      </c>
    </row>
    <row r="4" spans="1:18" x14ac:dyDescent="0.25">
      <c r="A4" s="10">
        <v>3</v>
      </c>
      <c r="B4" s="10" t="s">
        <v>28</v>
      </c>
      <c r="C4" s="11">
        <f>VLOOKUP(TBLPIZZASIP[NAMA BAHAN],[2]!TBLREKAPBAHAN[[NAMA BAHAN]:[MODAL SATUAN]],2,FALSE)</f>
        <v>8000</v>
      </c>
      <c r="D4" s="11">
        <f>VLOOKUP(TBLPIZZASIP[NAMA BAHAN],[2]!TBLREKAPBAHAN[[NAMA BAHAN]:[MODAL SATUAN]],3,FALSE)</f>
        <v>24</v>
      </c>
      <c r="E4" s="118">
        <f>VLOOKUP(TBLPIZZASIP[NAMA BAHAN],[2]!TBLREKAPBAHAN[[NAMA BAHAN]:[MODAL SATUAN]],4,FALSE)</f>
        <v>333.33333333333331</v>
      </c>
      <c r="F4" s="113">
        <f>VLOOKUP(TBLPIZZASIP[NAMA BAHAN],[2]!TBLREKAPBAHAN[[NAMA BAHAN]:[MODAL SATUAN]],4,FALSE)</f>
        <v>333.33333333333331</v>
      </c>
      <c r="G4" s="114">
        <v>4</v>
      </c>
      <c r="H4" s="115">
        <f>F4*G4</f>
        <v>1333.3333333333333</v>
      </c>
      <c r="I4" s="114">
        <v>4</v>
      </c>
      <c r="J4" s="115">
        <f t="shared" ref="J4:J30" si="1">F4*I4</f>
        <v>1333.3333333333333</v>
      </c>
      <c r="K4" s="114">
        <v>4</v>
      </c>
      <c r="L4" s="115">
        <f t="shared" ref="L4:L30" si="2">F4*K4</f>
        <v>1333.3333333333333</v>
      </c>
      <c r="M4" s="114">
        <v>4</v>
      </c>
      <c r="N4" s="116">
        <f t="shared" ref="N4:N30" si="3">F4*M4</f>
        <v>1333.3333333333333</v>
      </c>
      <c r="O4" s="117">
        <v>4</v>
      </c>
      <c r="P4" s="117">
        <f t="shared" si="0"/>
        <v>1333.3333333333333</v>
      </c>
      <c r="Q4" s="117">
        <v>4</v>
      </c>
      <c r="R4" s="117">
        <f>TBLPIZZASIP[[#This Row],[MODAL SATUAN]]*TBLPIZZASIP[[#This Row],[KEB.6]]</f>
        <v>1333.3333333333333</v>
      </c>
    </row>
    <row r="5" spans="1:18" x14ac:dyDescent="0.25">
      <c r="A5" s="10">
        <v>4</v>
      </c>
      <c r="B5" s="10" t="s">
        <v>190</v>
      </c>
      <c r="C5" s="11">
        <f>VLOOKUP(TBLPIZZASIP[NAMA BAHAN],[2]!TBLREKAPBAHAN[[NAMA BAHAN]:[MODAL SATUAN]],2,FALSE)</f>
        <v>90000</v>
      </c>
      <c r="D5" s="11">
        <f>VLOOKUP(TBLPIZZASIP[NAMA BAHAN],[2]!TBLREKAPBAHAN[[NAMA BAHAN]:[MODAL SATUAN]],3,FALSE)</f>
        <v>500</v>
      </c>
      <c r="E5" s="118">
        <f>VLOOKUP(TBLPIZZASIP[NAMA BAHAN],[2]!TBLREKAPBAHAN[[NAMA BAHAN]:[MODAL SATUAN]],4,FALSE)</f>
        <v>180</v>
      </c>
      <c r="F5" s="113">
        <f>VLOOKUP(TBLPIZZASIP[NAMA BAHAN],[2]!TBLREKAPBAHAN[[NAMA BAHAN]:[MODAL SATUAN]],4,FALSE)</f>
        <v>180</v>
      </c>
      <c r="G5" s="114">
        <v>144</v>
      </c>
      <c r="H5" s="115">
        <f t="shared" ref="H5:H30" si="4">F5*G5</f>
        <v>25920</v>
      </c>
      <c r="I5" s="114">
        <v>144</v>
      </c>
      <c r="J5" s="115">
        <f t="shared" si="1"/>
        <v>25920</v>
      </c>
      <c r="K5" s="114">
        <v>144</v>
      </c>
      <c r="L5" s="115">
        <f t="shared" si="2"/>
        <v>25920</v>
      </c>
      <c r="M5" s="114">
        <v>144</v>
      </c>
      <c r="N5" s="116">
        <f t="shared" si="3"/>
        <v>25920</v>
      </c>
      <c r="O5" s="114">
        <v>144</v>
      </c>
      <c r="P5" s="117">
        <f t="shared" si="0"/>
        <v>25920</v>
      </c>
      <c r="Q5" s="114">
        <v>130</v>
      </c>
      <c r="R5" s="117">
        <f>TBLPIZZASIP[[#This Row],[MODAL SATUAN]]*TBLPIZZASIP[[#This Row],[KEB.6]]</f>
        <v>23400</v>
      </c>
    </row>
    <row r="6" spans="1:18" x14ac:dyDescent="0.25">
      <c r="A6" s="10">
        <v>5</v>
      </c>
      <c r="B6" s="10" t="s">
        <v>57</v>
      </c>
      <c r="C6" s="11">
        <f>VLOOKUP(TBLPIZZASIP[NAMA BAHAN],[2]!TBLREKAPBAHAN[[NAMA BAHAN]:[MODAL SATUAN]],2,FALSE)</f>
        <v>35000</v>
      </c>
      <c r="D6" s="11">
        <f>VLOOKUP(TBLPIZZASIP[NAMA BAHAN],[2]!TBLREKAPBAHAN[[NAMA BAHAN]:[MODAL SATUAN]],3,FALSE)</f>
        <v>38</v>
      </c>
      <c r="E6" s="118">
        <f>VLOOKUP(TBLPIZZASIP[NAMA BAHAN],[2]!TBLREKAPBAHAN[[NAMA BAHAN]:[MODAL SATUAN]],4,FALSE)</f>
        <v>921.0526315789474</v>
      </c>
      <c r="F6" s="113">
        <f>VLOOKUP(TBLPIZZASIP[NAMA BAHAN],[2]!TBLREKAPBAHAN[[NAMA BAHAN]:[MODAL SATUAN]],4,FALSE)</f>
        <v>921.0526315789474</v>
      </c>
      <c r="G6" s="114">
        <v>6.5</v>
      </c>
      <c r="H6" s="115">
        <f t="shared" si="4"/>
        <v>5986.8421052631584</v>
      </c>
      <c r="I6" s="114">
        <v>6</v>
      </c>
      <c r="J6" s="115">
        <f t="shared" si="1"/>
        <v>5526.3157894736842</v>
      </c>
      <c r="K6" s="114">
        <v>0</v>
      </c>
      <c r="L6" s="115">
        <f t="shared" si="2"/>
        <v>0</v>
      </c>
      <c r="M6" s="114">
        <v>3</v>
      </c>
      <c r="N6" s="116">
        <f t="shared" si="3"/>
        <v>2763.1578947368421</v>
      </c>
      <c r="O6" s="117">
        <v>0</v>
      </c>
      <c r="P6" s="117">
        <f t="shared" si="0"/>
        <v>0</v>
      </c>
      <c r="Q6" s="117">
        <v>0</v>
      </c>
      <c r="R6" s="117">
        <f>TBLPIZZASIP[[#This Row],[MODAL SATUAN]]*TBLPIZZASIP[[#This Row],[KEB.6]]</f>
        <v>0</v>
      </c>
    </row>
    <row r="7" spans="1:18" x14ac:dyDescent="0.25">
      <c r="A7" s="10">
        <v>6</v>
      </c>
      <c r="B7" s="10" t="s">
        <v>58</v>
      </c>
      <c r="C7" s="11">
        <f>VLOOKUP(TBLPIZZASIP[NAMA BAHAN],[2]!TBLREKAPBAHAN[[NAMA BAHAN]:[MODAL SATUAN]],2,FALSE)</f>
        <v>45000</v>
      </c>
      <c r="D7" s="11">
        <f>VLOOKUP(TBLPIZZASIP[NAMA BAHAN],[2]!TBLREKAPBAHAN[[NAMA BAHAN]:[MODAL SATUAN]],3,FALSE)</f>
        <v>400</v>
      </c>
      <c r="E7" s="118">
        <f>VLOOKUP(TBLPIZZASIP[NAMA BAHAN],[2]!TBLREKAPBAHAN[[NAMA BAHAN]:[MODAL SATUAN]],4,FALSE)</f>
        <v>112.5</v>
      </c>
      <c r="F7" s="113">
        <f>VLOOKUP(TBLPIZZASIP[NAMA BAHAN],[2]!TBLREKAPBAHAN[[NAMA BAHAN]:[MODAL SATUAN]],4,FALSE)</f>
        <v>112.5</v>
      </c>
      <c r="G7" s="114">
        <v>0</v>
      </c>
      <c r="H7" s="115">
        <f t="shared" si="4"/>
        <v>0</v>
      </c>
      <c r="I7" s="114">
        <v>50</v>
      </c>
      <c r="J7" s="115">
        <f t="shared" si="1"/>
        <v>5625</v>
      </c>
      <c r="K7" s="114">
        <v>80</v>
      </c>
      <c r="L7" s="115">
        <f t="shared" si="2"/>
        <v>9000</v>
      </c>
      <c r="M7" s="114">
        <v>0</v>
      </c>
      <c r="N7" s="116">
        <f t="shared" si="3"/>
        <v>0</v>
      </c>
      <c r="O7" s="117">
        <v>80</v>
      </c>
      <c r="P7" s="117">
        <f t="shared" si="0"/>
        <v>9000</v>
      </c>
      <c r="Q7" s="117">
        <v>0</v>
      </c>
      <c r="R7" s="117">
        <f>TBLPIZZASIP[[#This Row],[MODAL SATUAN]]*TBLPIZZASIP[[#This Row],[KEB.6]]</f>
        <v>0</v>
      </c>
    </row>
    <row r="8" spans="1:18" x14ac:dyDescent="0.25">
      <c r="A8" s="10">
        <v>7</v>
      </c>
      <c r="B8" s="10" t="s">
        <v>143</v>
      </c>
      <c r="C8" s="11">
        <f>VLOOKUP(TBLPIZZASIP[NAMA BAHAN],[2]!TBLREKAPBAHAN[[NAMA BAHAN]:[MODAL SATUAN]],2,FALSE)</f>
        <v>85000</v>
      </c>
      <c r="D8" s="11">
        <f>VLOOKUP(TBLPIZZASIP[NAMA BAHAN],[2]!TBLREKAPBAHAN[[NAMA BAHAN]:[MODAL SATUAN]],3,FALSE)</f>
        <v>1000</v>
      </c>
      <c r="E8" s="118">
        <f>VLOOKUP(TBLPIZZASIP[NAMA BAHAN],[2]!TBLREKAPBAHAN[[NAMA BAHAN]:[MODAL SATUAN]],4,FALSE)</f>
        <v>85</v>
      </c>
      <c r="F8" s="113">
        <f>VLOOKUP(TBLPIZZASIP[NAMA BAHAN],[2]!TBLREKAPBAHAN[[NAMA BAHAN]:[MODAL SATUAN]],4,FALSE)</f>
        <v>85</v>
      </c>
      <c r="G8" s="114">
        <v>0</v>
      </c>
      <c r="H8" s="115">
        <f>F8*G8</f>
        <v>0</v>
      </c>
      <c r="I8" s="114">
        <v>0</v>
      </c>
      <c r="J8" s="115">
        <f>F8*I8</f>
        <v>0</v>
      </c>
      <c r="K8" s="114">
        <v>0</v>
      </c>
      <c r="L8" s="115">
        <f>F8*K8</f>
        <v>0</v>
      </c>
      <c r="M8" s="114">
        <v>0</v>
      </c>
      <c r="N8" s="116">
        <f>F8*M8</f>
        <v>0</v>
      </c>
      <c r="O8" s="114">
        <v>0</v>
      </c>
      <c r="P8" s="117">
        <f t="shared" si="0"/>
        <v>0</v>
      </c>
      <c r="Q8" s="114">
        <v>120</v>
      </c>
      <c r="R8" s="117">
        <f>TBLPIZZASIP[[#This Row],[MODAL SATUAN]]*TBLPIZZASIP[[#This Row],[KEB.6]]</f>
        <v>10200</v>
      </c>
    </row>
    <row r="9" spans="1:18" x14ac:dyDescent="0.25">
      <c r="A9" s="10">
        <v>8</v>
      </c>
      <c r="B9" s="10" t="s">
        <v>54</v>
      </c>
      <c r="C9" s="11">
        <f>VLOOKUP(TBLPIZZASIP[NAMA BAHAN],[2]!TBLREKAPBAHAN[[NAMA BAHAN]:[MODAL SATUAN]],2,FALSE)</f>
        <v>35000</v>
      </c>
      <c r="D9" s="11">
        <f>VLOOKUP(TBLPIZZASIP[NAMA BAHAN],[2]!TBLREKAPBAHAN[[NAMA BAHAN]:[MODAL SATUAN]],3,FALSE)</f>
        <v>1000</v>
      </c>
      <c r="E9" s="118">
        <f>VLOOKUP(TBLPIZZASIP[NAMA BAHAN],[2]!TBLREKAPBAHAN[[NAMA BAHAN]:[MODAL SATUAN]],4,FALSE)</f>
        <v>35</v>
      </c>
      <c r="F9" s="113">
        <f>VLOOKUP(TBLPIZZASIP[NAMA BAHAN],[2]!TBLREKAPBAHAN[[NAMA BAHAN]:[MODAL SATUAN]],4,FALSE)</f>
        <v>35</v>
      </c>
      <c r="G9" s="114">
        <v>35</v>
      </c>
      <c r="H9" s="115">
        <f t="shared" si="4"/>
        <v>1225</v>
      </c>
      <c r="I9" s="114">
        <v>35</v>
      </c>
      <c r="J9" s="115">
        <f t="shared" si="1"/>
        <v>1225</v>
      </c>
      <c r="K9" s="114">
        <v>35</v>
      </c>
      <c r="L9" s="115">
        <f t="shared" si="2"/>
        <v>1225</v>
      </c>
      <c r="M9" s="114">
        <v>35</v>
      </c>
      <c r="N9" s="116">
        <f t="shared" si="3"/>
        <v>1225</v>
      </c>
      <c r="O9" s="114">
        <v>35</v>
      </c>
      <c r="P9" s="117">
        <f t="shared" si="0"/>
        <v>1225</v>
      </c>
      <c r="Q9" s="114">
        <v>35</v>
      </c>
      <c r="R9" s="117">
        <f>TBLPIZZASIP[[#This Row],[MODAL SATUAN]]*TBLPIZZASIP[[#This Row],[KEB.6]]</f>
        <v>1225</v>
      </c>
    </row>
    <row r="10" spans="1:18" x14ac:dyDescent="0.25">
      <c r="A10" s="10">
        <v>9</v>
      </c>
      <c r="B10" s="10" t="s">
        <v>75</v>
      </c>
      <c r="C10" s="11">
        <f>VLOOKUP(TBLPIZZASIP[NAMA BAHAN],[2]!TBLREKAPBAHAN[[NAMA BAHAN]:[MODAL SATUAN]],2,FALSE)</f>
        <v>18000</v>
      </c>
      <c r="D10" s="11">
        <f>VLOOKUP(TBLPIZZASIP[NAMA BAHAN],[2]!TBLREKAPBAHAN[[NAMA BAHAN]:[MODAL SATUAN]],3,FALSE)</f>
        <v>1000</v>
      </c>
      <c r="E10" s="118">
        <f>VLOOKUP(TBLPIZZASIP[NAMA BAHAN],[2]!TBLREKAPBAHAN[[NAMA BAHAN]:[MODAL SATUAN]],4,FALSE)</f>
        <v>18</v>
      </c>
      <c r="F10" s="113">
        <f>VLOOKUP(TBLPIZZASIP[NAMA BAHAN],[2]!TBLREKAPBAHAN[[NAMA BAHAN]:[MODAL SATUAN]],4,FALSE)</f>
        <v>18</v>
      </c>
      <c r="G10" s="114">
        <v>27</v>
      </c>
      <c r="H10" s="115">
        <f t="shared" si="4"/>
        <v>486</v>
      </c>
      <c r="I10" s="114">
        <v>27</v>
      </c>
      <c r="J10" s="115">
        <f t="shared" si="1"/>
        <v>486</v>
      </c>
      <c r="K10" s="114">
        <v>27</v>
      </c>
      <c r="L10" s="115">
        <f t="shared" si="2"/>
        <v>486</v>
      </c>
      <c r="M10" s="114">
        <v>27</v>
      </c>
      <c r="N10" s="116">
        <f t="shared" si="3"/>
        <v>486</v>
      </c>
      <c r="O10" s="114">
        <v>27</v>
      </c>
      <c r="P10" s="117">
        <f t="shared" si="0"/>
        <v>486</v>
      </c>
      <c r="Q10" s="114">
        <v>27</v>
      </c>
      <c r="R10" s="117">
        <f>TBLPIZZASIP[[#This Row],[MODAL SATUAN]]*TBLPIZZASIP[[#This Row],[KEB.6]]</f>
        <v>486</v>
      </c>
    </row>
    <row r="11" spans="1:18" x14ac:dyDescent="0.25">
      <c r="A11" s="10">
        <v>10</v>
      </c>
      <c r="B11" s="10" t="s">
        <v>76</v>
      </c>
      <c r="C11" s="11">
        <f>VLOOKUP(TBLPIZZASIP[NAMA BAHAN],[2]!TBLREKAPBAHAN[[NAMA BAHAN]:[MODAL SATUAN]],2,FALSE)</f>
        <v>4000</v>
      </c>
      <c r="D11" s="11">
        <f>VLOOKUP(TBLPIZZASIP[NAMA BAHAN],[2]!TBLREKAPBAHAN[[NAMA BAHAN]:[MODAL SATUAN]],3,FALSE)</f>
        <v>250</v>
      </c>
      <c r="E11" s="118">
        <f>VLOOKUP(TBLPIZZASIP[NAMA BAHAN],[2]!TBLREKAPBAHAN[[NAMA BAHAN]:[MODAL SATUAN]],4,FALSE)</f>
        <v>16</v>
      </c>
      <c r="F11" s="113">
        <f>VLOOKUP(TBLPIZZASIP[NAMA BAHAN],[2]!TBLREKAPBAHAN[[NAMA BAHAN]:[MODAL SATUAN]],4,FALSE)</f>
        <v>16</v>
      </c>
      <c r="G11" s="114">
        <v>10</v>
      </c>
      <c r="H11" s="115">
        <f t="shared" si="4"/>
        <v>160</v>
      </c>
      <c r="I11" s="114">
        <v>10</v>
      </c>
      <c r="J11" s="115">
        <f t="shared" si="1"/>
        <v>160</v>
      </c>
      <c r="K11" s="114">
        <v>10</v>
      </c>
      <c r="L11" s="115">
        <f t="shared" si="2"/>
        <v>160</v>
      </c>
      <c r="M11" s="114">
        <v>10</v>
      </c>
      <c r="N11" s="116">
        <f t="shared" si="3"/>
        <v>160</v>
      </c>
      <c r="O11" s="114">
        <v>10</v>
      </c>
      <c r="P11" s="117">
        <f t="shared" si="0"/>
        <v>160</v>
      </c>
      <c r="Q11" s="114">
        <v>10</v>
      </c>
      <c r="R11" s="117">
        <f>TBLPIZZASIP[[#This Row],[MODAL SATUAN]]*TBLPIZZASIP[[#This Row],[KEB.6]]</f>
        <v>160</v>
      </c>
    </row>
    <row r="12" spans="1:18" x14ac:dyDescent="0.25">
      <c r="A12" s="10">
        <v>11</v>
      </c>
      <c r="B12" s="10" t="s">
        <v>77</v>
      </c>
      <c r="C12" s="11">
        <f>VLOOKUP(TBLPIZZASIP[NAMA BAHAN],[2]!TBLREKAPBAHAN[[NAMA BAHAN]:[MODAL SATUAN]],2,FALSE)</f>
        <v>7000</v>
      </c>
      <c r="D12" s="11">
        <f>VLOOKUP(TBLPIZZASIP[NAMA BAHAN],[2]!TBLREKAPBAHAN[[NAMA BAHAN]:[MODAL SATUAN]],3,FALSE)</f>
        <v>11</v>
      </c>
      <c r="E12" s="118">
        <f>VLOOKUP(TBLPIZZASIP[NAMA BAHAN],[2]!TBLREKAPBAHAN[[NAMA BAHAN]:[MODAL SATUAN]],4,FALSE)</f>
        <v>636.36363636363637</v>
      </c>
      <c r="F12" s="113">
        <f>VLOOKUP(TBLPIZZASIP[NAMA BAHAN],[2]!TBLREKAPBAHAN[[NAMA BAHAN]:[MODAL SATUAN]],4,FALSE)</f>
        <v>636.36363636363637</v>
      </c>
      <c r="G12" s="114">
        <v>7</v>
      </c>
      <c r="H12" s="115">
        <f t="shared" si="4"/>
        <v>4454.545454545455</v>
      </c>
      <c r="I12" s="114">
        <v>2</v>
      </c>
      <c r="J12" s="115">
        <f t="shared" si="1"/>
        <v>1272.7272727272727</v>
      </c>
      <c r="K12" s="114">
        <v>2</v>
      </c>
      <c r="L12" s="115">
        <f t="shared" si="2"/>
        <v>1272.7272727272727</v>
      </c>
      <c r="M12" s="114">
        <v>2</v>
      </c>
      <c r="N12" s="116">
        <f t="shared" si="3"/>
        <v>1272.7272727272727</v>
      </c>
      <c r="O12" s="114">
        <v>2</v>
      </c>
      <c r="P12" s="117">
        <f t="shared" si="0"/>
        <v>1272.7272727272727</v>
      </c>
      <c r="Q12" s="114">
        <v>2</v>
      </c>
      <c r="R12" s="117">
        <f>TBLPIZZASIP[[#This Row],[MODAL SATUAN]]*TBLPIZZASIP[[#This Row],[KEB.6]]</f>
        <v>1272.7272727272727</v>
      </c>
    </row>
    <row r="13" spans="1:18" x14ac:dyDescent="0.25">
      <c r="A13" s="10">
        <v>12</v>
      </c>
      <c r="B13" s="10" t="s">
        <v>78</v>
      </c>
      <c r="C13" s="11">
        <f>VLOOKUP(TBLPIZZASIP[NAMA BAHAN],[2]!TBLREKAPBAHAN[[NAMA BAHAN]:[MODAL SATUAN]],2,FALSE)</f>
        <v>18000</v>
      </c>
      <c r="D13" s="11">
        <f>VLOOKUP(TBLPIZZASIP[NAMA BAHAN],[2]!TBLREKAPBAHAN[[NAMA BAHAN]:[MODAL SATUAN]],3,FALSE)</f>
        <v>250</v>
      </c>
      <c r="E13" s="118">
        <f>VLOOKUP(TBLPIZZASIP[NAMA BAHAN],[2]!TBLREKAPBAHAN[[NAMA BAHAN]:[MODAL SATUAN]],4,FALSE)</f>
        <v>72</v>
      </c>
      <c r="F13" s="113">
        <f>VLOOKUP(TBLPIZZASIP[NAMA BAHAN],[2]!TBLREKAPBAHAN[[NAMA BAHAN]:[MODAL SATUAN]],4,FALSE)</f>
        <v>72</v>
      </c>
      <c r="G13" s="114">
        <v>30</v>
      </c>
      <c r="H13" s="115">
        <f t="shared" si="4"/>
        <v>2160</v>
      </c>
      <c r="I13" s="114">
        <v>30</v>
      </c>
      <c r="J13" s="115">
        <f t="shared" si="1"/>
        <v>2160</v>
      </c>
      <c r="K13" s="114">
        <v>30</v>
      </c>
      <c r="L13" s="115">
        <f t="shared" si="2"/>
        <v>2160</v>
      </c>
      <c r="M13" s="114">
        <v>30</v>
      </c>
      <c r="N13" s="116">
        <f t="shared" si="3"/>
        <v>2160</v>
      </c>
      <c r="O13" s="114">
        <v>30</v>
      </c>
      <c r="P13" s="117">
        <f t="shared" si="0"/>
        <v>2160</v>
      </c>
      <c r="Q13" s="114">
        <v>30</v>
      </c>
      <c r="R13" s="117">
        <f>TBLPIZZASIP[[#This Row],[MODAL SATUAN]]*TBLPIZZASIP[[#This Row],[KEB.6]]</f>
        <v>2160</v>
      </c>
    </row>
    <row r="14" spans="1:18" x14ac:dyDescent="0.25">
      <c r="A14" s="10">
        <v>13</v>
      </c>
      <c r="B14" s="10" t="s">
        <v>79</v>
      </c>
      <c r="C14" s="11">
        <f>VLOOKUP(TBLPIZZASIP[NAMA BAHAN],[2]!TBLREKAPBAHAN[[NAMA BAHAN]:[MODAL SATUAN]],2,FALSE)</f>
        <v>14000</v>
      </c>
      <c r="D14" s="11">
        <f>VLOOKUP(TBLPIZZASIP[NAMA BAHAN],[2]!TBLREKAPBAHAN[[NAMA BAHAN]:[MODAL SATUAN]],3,FALSE)</f>
        <v>1000</v>
      </c>
      <c r="E14" s="118">
        <f>VLOOKUP(TBLPIZZASIP[NAMA BAHAN],[2]!TBLREKAPBAHAN[[NAMA BAHAN]:[MODAL SATUAN]],4,FALSE)</f>
        <v>14</v>
      </c>
      <c r="F14" s="113">
        <f>VLOOKUP(TBLPIZZASIP[NAMA BAHAN],[2]!TBLREKAPBAHAN[[NAMA BAHAN]:[MODAL SATUAN]],4,FALSE)</f>
        <v>14</v>
      </c>
      <c r="G14" s="114">
        <v>60</v>
      </c>
      <c r="H14" s="115">
        <f t="shared" si="4"/>
        <v>840</v>
      </c>
      <c r="I14" s="114">
        <v>60</v>
      </c>
      <c r="J14" s="115">
        <f t="shared" si="1"/>
        <v>840</v>
      </c>
      <c r="K14" s="114">
        <v>60</v>
      </c>
      <c r="L14" s="115">
        <f t="shared" si="2"/>
        <v>840</v>
      </c>
      <c r="M14" s="114">
        <v>60</v>
      </c>
      <c r="N14" s="116">
        <f t="shared" si="3"/>
        <v>840</v>
      </c>
      <c r="O14" s="114">
        <v>60</v>
      </c>
      <c r="P14" s="117">
        <f t="shared" si="0"/>
        <v>840</v>
      </c>
      <c r="Q14" s="114">
        <v>60</v>
      </c>
      <c r="R14" s="117">
        <f>TBLPIZZASIP[[#This Row],[MODAL SATUAN]]*TBLPIZZASIP[[#This Row],[KEB.6]]</f>
        <v>840</v>
      </c>
    </row>
    <row r="15" spans="1:18" x14ac:dyDescent="0.25">
      <c r="A15" s="10">
        <v>14</v>
      </c>
      <c r="B15" s="10" t="s">
        <v>80</v>
      </c>
      <c r="C15" s="11">
        <f>VLOOKUP(TBLPIZZASIP[NAMA BAHAN],[2]!TBLREKAPBAHAN[[NAMA BAHAN]:[MODAL SATUAN]],2,FALSE)</f>
        <v>14000</v>
      </c>
      <c r="D15" s="11">
        <f>VLOOKUP(TBLPIZZASIP[NAMA BAHAN],[2]!TBLREKAPBAHAN[[NAMA BAHAN]:[MODAL SATUAN]],3,FALSE)</f>
        <v>1000</v>
      </c>
      <c r="E15" s="118">
        <f>VLOOKUP(TBLPIZZASIP[NAMA BAHAN],[2]!TBLREKAPBAHAN[[NAMA BAHAN]:[MODAL SATUAN]],4,FALSE)</f>
        <v>14</v>
      </c>
      <c r="F15" s="113">
        <f>VLOOKUP(TBLPIZZASIP[NAMA BAHAN],[2]!TBLREKAPBAHAN[[NAMA BAHAN]:[MODAL SATUAN]],4,FALSE)</f>
        <v>14</v>
      </c>
      <c r="G15" s="114">
        <v>120</v>
      </c>
      <c r="H15" s="115">
        <f t="shared" si="4"/>
        <v>1680</v>
      </c>
      <c r="I15" s="114">
        <v>120</v>
      </c>
      <c r="J15" s="115">
        <f t="shared" si="1"/>
        <v>1680</v>
      </c>
      <c r="K15" s="114">
        <v>120</v>
      </c>
      <c r="L15" s="115">
        <f t="shared" si="2"/>
        <v>1680</v>
      </c>
      <c r="M15" s="114">
        <v>120</v>
      </c>
      <c r="N15" s="116">
        <f t="shared" si="3"/>
        <v>1680</v>
      </c>
      <c r="O15" s="114">
        <v>120</v>
      </c>
      <c r="P15" s="117">
        <f t="shared" si="0"/>
        <v>1680</v>
      </c>
      <c r="Q15" s="114">
        <v>120</v>
      </c>
      <c r="R15" s="117">
        <f>TBLPIZZASIP[[#This Row],[MODAL SATUAN]]*TBLPIZZASIP[[#This Row],[KEB.6]]</f>
        <v>1680</v>
      </c>
    </row>
    <row r="16" spans="1:18" x14ac:dyDescent="0.25">
      <c r="A16" s="10">
        <v>15</v>
      </c>
      <c r="B16" s="10" t="s">
        <v>81</v>
      </c>
      <c r="C16" s="11">
        <f>VLOOKUP(TBLPIZZASIP[NAMA BAHAN],[2]!TBLREKAPBAHAN[[NAMA BAHAN]:[MODAL SATUAN]],2,FALSE)</f>
        <v>30000</v>
      </c>
      <c r="D16" s="11">
        <f>VLOOKUP(TBLPIZZASIP[NAMA BAHAN],[2]!TBLREKAPBAHAN[[NAMA BAHAN]:[MODAL SATUAN]],3,FALSE)</f>
        <v>30</v>
      </c>
      <c r="E16" s="118">
        <f>VLOOKUP(TBLPIZZASIP[NAMA BAHAN],[2]!TBLREKAPBAHAN[[NAMA BAHAN]:[MODAL SATUAN]],4,FALSE)</f>
        <v>1000</v>
      </c>
      <c r="F16" s="113">
        <f>VLOOKUP(TBLPIZZASIP[NAMA BAHAN],[2]!TBLREKAPBAHAN[[NAMA BAHAN]:[MODAL SATUAN]],4,FALSE)</f>
        <v>1000</v>
      </c>
      <c r="G16" s="114">
        <v>5</v>
      </c>
      <c r="H16" s="115">
        <f t="shared" si="4"/>
        <v>5000</v>
      </c>
      <c r="I16" s="114">
        <v>5</v>
      </c>
      <c r="J16" s="115">
        <f t="shared" si="1"/>
        <v>5000</v>
      </c>
      <c r="K16" s="114">
        <v>5</v>
      </c>
      <c r="L16" s="115">
        <f t="shared" si="2"/>
        <v>5000</v>
      </c>
      <c r="M16" s="114">
        <v>5</v>
      </c>
      <c r="N16" s="116">
        <f t="shared" si="3"/>
        <v>5000</v>
      </c>
      <c r="O16" s="114">
        <v>5</v>
      </c>
      <c r="P16" s="117">
        <f t="shared" si="0"/>
        <v>5000</v>
      </c>
      <c r="Q16" s="114">
        <v>5</v>
      </c>
      <c r="R16" s="117">
        <f>TBLPIZZASIP[[#This Row],[MODAL SATUAN]]*TBLPIZZASIP[[#This Row],[KEB.6]]</f>
        <v>5000</v>
      </c>
    </row>
    <row r="17" spans="1:18" x14ac:dyDescent="0.25">
      <c r="A17" s="10">
        <v>16</v>
      </c>
      <c r="B17" s="10" t="s">
        <v>82</v>
      </c>
      <c r="C17" s="11">
        <f>VLOOKUP(TBLPIZZASIP[NAMA BAHAN],[2]!TBLREKAPBAHAN[[NAMA BAHAN]:[MODAL SATUAN]],2,FALSE)</f>
        <v>15000</v>
      </c>
      <c r="D17" s="11">
        <f>VLOOKUP(TBLPIZZASIP[NAMA BAHAN],[2]!TBLREKAPBAHAN[[NAMA BAHAN]:[MODAL SATUAN]],3,FALSE)</f>
        <v>80</v>
      </c>
      <c r="E17" s="118">
        <f>VLOOKUP(TBLPIZZASIP[NAMA BAHAN],[2]!TBLREKAPBAHAN[[NAMA BAHAN]:[MODAL SATUAN]],4,FALSE)</f>
        <v>187.5</v>
      </c>
      <c r="F17" s="113">
        <f>VLOOKUP(TBLPIZZASIP[NAMA BAHAN],[2]!TBLREKAPBAHAN[[NAMA BAHAN]:[MODAL SATUAN]],4,FALSE)</f>
        <v>187.5</v>
      </c>
      <c r="G17" s="114">
        <v>6</v>
      </c>
      <c r="H17" s="115">
        <f t="shared" si="4"/>
        <v>1125</v>
      </c>
      <c r="I17" s="114">
        <v>0</v>
      </c>
      <c r="J17" s="115">
        <f t="shared" si="1"/>
        <v>0</v>
      </c>
      <c r="K17" s="114">
        <v>6</v>
      </c>
      <c r="L17" s="115">
        <f t="shared" si="2"/>
        <v>1125</v>
      </c>
      <c r="M17" s="114">
        <v>0</v>
      </c>
      <c r="N17" s="116">
        <f t="shared" si="3"/>
        <v>0</v>
      </c>
      <c r="O17" s="114">
        <v>0</v>
      </c>
      <c r="P17" s="117">
        <f t="shared" si="0"/>
        <v>0</v>
      </c>
      <c r="Q17" s="114">
        <v>6</v>
      </c>
      <c r="R17" s="117">
        <f>TBLPIZZASIP[[#This Row],[MODAL SATUAN]]*TBLPIZZASIP[[#This Row],[KEB.6]]</f>
        <v>1125</v>
      </c>
    </row>
    <row r="18" spans="1:18" x14ac:dyDescent="0.25">
      <c r="A18" s="10">
        <v>17</v>
      </c>
      <c r="B18" s="10" t="s">
        <v>83</v>
      </c>
      <c r="C18" s="11">
        <f>VLOOKUP(TBLPIZZASIP[NAMA BAHAN],[2]!TBLREKAPBAHAN[[NAMA BAHAN]:[MODAL SATUAN]],2,FALSE)</f>
        <v>5000</v>
      </c>
      <c r="D18" s="11">
        <f>VLOOKUP(TBLPIZZASIP[NAMA BAHAN],[2]!TBLREKAPBAHAN[[NAMA BAHAN]:[MODAL SATUAN]],3,FALSE)</f>
        <v>8</v>
      </c>
      <c r="E18" s="118">
        <f>VLOOKUP(TBLPIZZASIP[NAMA BAHAN],[2]!TBLREKAPBAHAN[[NAMA BAHAN]:[MODAL SATUAN]],4,FALSE)</f>
        <v>625</v>
      </c>
      <c r="F18" s="113">
        <f>VLOOKUP(TBLPIZZASIP[NAMA BAHAN],[2]!TBLREKAPBAHAN[[NAMA BAHAN]:[MODAL SATUAN]],4,FALSE)</f>
        <v>625</v>
      </c>
      <c r="G18" s="114">
        <v>3</v>
      </c>
      <c r="H18" s="115">
        <f t="shared" si="4"/>
        <v>1875</v>
      </c>
      <c r="I18" s="114">
        <v>3</v>
      </c>
      <c r="J18" s="115">
        <f t="shared" si="1"/>
        <v>1875</v>
      </c>
      <c r="K18" s="114">
        <v>3</v>
      </c>
      <c r="L18" s="115">
        <f t="shared" si="2"/>
        <v>1875</v>
      </c>
      <c r="M18" s="114">
        <v>3</v>
      </c>
      <c r="N18" s="116">
        <f t="shared" si="3"/>
        <v>1875</v>
      </c>
      <c r="O18" s="114">
        <v>3</v>
      </c>
      <c r="P18" s="117">
        <f t="shared" si="0"/>
        <v>1875</v>
      </c>
      <c r="Q18" s="114">
        <v>3</v>
      </c>
      <c r="R18" s="117">
        <f>TBLPIZZASIP[[#This Row],[MODAL SATUAN]]*TBLPIZZASIP[[#This Row],[KEB.6]]</f>
        <v>1875</v>
      </c>
    </row>
    <row r="19" spans="1:18" x14ac:dyDescent="0.25">
      <c r="A19" s="10">
        <v>18</v>
      </c>
      <c r="B19" s="10" t="s">
        <v>15</v>
      </c>
      <c r="C19" s="11">
        <f>VLOOKUP(TBLPIZZASIP[NAMA BAHAN],[2]!TBLREKAPBAHAN[[NAMA BAHAN]:[MODAL SATUAN]],2,FALSE)</f>
        <v>25000</v>
      </c>
      <c r="D19" s="11">
        <f>VLOOKUP(TBLPIZZASIP[NAMA BAHAN],[2]!TBLREKAPBAHAN[[NAMA BAHAN]:[MODAL SATUAN]],3,FALSE)</f>
        <v>100</v>
      </c>
      <c r="E19" s="118">
        <f>VLOOKUP(TBLPIZZASIP[NAMA BAHAN],[2]!TBLREKAPBAHAN[[NAMA BAHAN]:[MODAL SATUAN]],4,FALSE)</f>
        <v>250</v>
      </c>
      <c r="F19" s="113">
        <f>VLOOKUP(TBLPIZZASIP[NAMA BAHAN],[2]!TBLREKAPBAHAN[[NAMA BAHAN]:[MODAL SATUAN]],4,FALSE)</f>
        <v>250</v>
      </c>
      <c r="G19" s="114">
        <v>0</v>
      </c>
      <c r="H19" s="115">
        <f t="shared" si="4"/>
        <v>0</v>
      </c>
      <c r="I19" s="114">
        <v>0</v>
      </c>
      <c r="J19" s="115">
        <f t="shared" si="1"/>
        <v>0</v>
      </c>
      <c r="K19" s="114">
        <v>0</v>
      </c>
      <c r="L19" s="115">
        <f t="shared" si="2"/>
        <v>0</v>
      </c>
      <c r="M19" s="114">
        <v>60</v>
      </c>
      <c r="N19" s="116">
        <f t="shared" si="3"/>
        <v>15000</v>
      </c>
      <c r="O19" s="117">
        <v>0</v>
      </c>
      <c r="P19" s="117">
        <f t="shared" si="0"/>
        <v>0</v>
      </c>
      <c r="Q19" s="117">
        <v>0</v>
      </c>
      <c r="R19" s="117">
        <f>TBLPIZZASIP[[#This Row],[MODAL SATUAN]]*TBLPIZZASIP[[#This Row],[KEB.6]]</f>
        <v>0</v>
      </c>
    </row>
    <row r="20" spans="1:18" x14ac:dyDescent="0.25">
      <c r="A20" s="10">
        <v>19</v>
      </c>
      <c r="B20" s="10" t="s">
        <v>13</v>
      </c>
      <c r="C20" s="11">
        <f>VLOOKUP(TBLPIZZASIP[NAMA BAHAN],[2]!TBLREKAPBAHAN[[NAMA BAHAN]:[MODAL SATUAN]],2,FALSE)</f>
        <v>2000</v>
      </c>
      <c r="D20" s="11">
        <f>VLOOKUP(TBLPIZZASIP[NAMA BAHAN],[2]!TBLREKAPBAHAN[[NAMA BAHAN]:[MODAL SATUAN]],3,FALSE)</f>
        <v>10</v>
      </c>
      <c r="E20" s="118">
        <f>VLOOKUP(TBLPIZZASIP[NAMA BAHAN],[2]!TBLREKAPBAHAN[[NAMA BAHAN]:[MODAL SATUAN]],4,FALSE)</f>
        <v>200</v>
      </c>
      <c r="F20" s="113">
        <f>VLOOKUP(TBLPIZZASIP[NAMA BAHAN],[2]!TBLREKAPBAHAN[[NAMA BAHAN]:[MODAL SATUAN]],4,FALSE)</f>
        <v>200</v>
      </c>
      <c r="G20" s="114">
        <v>0</v>
      </c>
      <c r="H20" s="115">
        <f t="shared" si="4"/>
        <v>0</v>
      </c>
      <c r="I20" s="114">
        <v>0</v>
      </c>
      <c r="J20" s="115">
        <f t="shared" si="1"/>
        <v>0</v>
      </c>
      <c r="K20" s="114">
        <v>10</v>
      </c>
      <c r="L20" s="115">
        <f t="shared" si="2"/>
        <v>2000</v>
      </c>
      <c r="M20" s="114">
        <v>0</v>
      </c>
      <c r="N20" s="116">
        <f>F20*M20</f>
        <v>0</v>
      </c>
      <c r="O20" s="117">
        <v>0</v>
      </c>
      <c r="P20" s="117">
        <f t="shared" si="0"/>
        <v>0</v>
      </c>
      <c r="Q20" s="117">
        <v>0</v>
      </c>
      <c r="R20" s="117">
        <f>TBLPIZZASIP[[#This Row],[MODAL SATUAN]]*TBLPIZZASIP[[#This Row],[KEB.6]]</f>
        <v>0</v>
      </c>
    </row>
    <row r="21" spans="1:18" x14ac:dyDescent="0.25">
      <c r="A21" s="10">
        <v>20</v>
      </c>
      <c r="B21" s="10" t="s">
        <v>16</v>
      </c>
      <c r="C21" s="11">
        <f>VLOOKUP(TBLPIZZASIP[NAMA BAHAN],[2]!TBLREKAPBAHAN[[NAMA BAHAN]:[MODAL SATUAN]],2,FALSE)</f>
        <v>3000</v>
      </c>
      <c r="D21" s="11">
        <f>VLOOKUP(TBLPIZZASIP[NAMA BAHAN],[2]!TBLREKAPBAHAN[[NAMA BAHAN]:[MODAL SATUAN]],3,FALSE)</f>
        <v>2</v>
      </c>
      <c r="E21" s="118">
        <f>VLOOKUP(TBLPIZZASIP[NAMA BAHAN],[2]!TBLREKAPBAHAN[[NAMA BAHAN]:[MODAL SATUAN]],4,FALSE)</f>
        <v>1500</v>
      </c>
      <c r="F21" s="113">
        <f>VLOOKUP(TBLPIZZASIP[NAMA BAHAN],[2]!TBLREKAPBAHAN[[NAMA BAHAN]:[MODAL SATUAN]],4,FALSE)</f>
        <v>1500</v>
      </c>
      <c r="G21" s="114">
        <v>0</v>
      </c>
      <c r="H21" s="115">
        <f t="shared" si="4"/>
        <v>0</v>
      </c>
      <c r="I21" s="114">
        <v>0</v>
      </c>
      <c r="J21" s="115">
        <f t="shared" si="1"/>
        <v>0</v>
      </c>
      <c r="K21" s="114">
        <v>0</v>
      </c>
      <c r="L21" s="115">
        <f t="shared" si="2"/>
        <v>0</v>
      </c>
      <c r="M21" s="114">
        <v>0</v>
      </c>
      <c r="N21" s="116">
        <f t="shared" si="3"/>
        <v>0</v>
      </c>
      <c r="O21" s="117">
        <v>1</v>
      </c>
      <c r="P21" s="117">
        <f t="shared" si="0"/>
        <v>1500</v>
      </c>
      <c r="Q21" s="117">
        <v>0</v>
      </c>
      <c r="R21" s="117">
        <f>TBLPIZZASIP[[#This Row],[MODAL SATUAN]]*TBLPIZZASIP[[#This Row],[KEB.6]]</f>
        <v>0</v>
      </c>
    </row>
    <row r="22" spans="1:18" x14ac:dyDescent="0.25">
      <c r="A22" s="10">
        <v>21</v>
      </c>
      <c r="B22" s="10" t="s">
        <v>41</v>
      </c>
      <c r="C22" s="11">
        <f>VLOOKUP(TBLPIZZASIP[NAMA BAHAN],[2]!TBLREKAPBAHAN[[NAMA BAHAN]:[MODAL SATUAN]],2,FALSE)</f>
        <v>9000</v>
      </c>
      <c r="D22" s="11">
        <f>VLOOKUP(TBLPIZZASIP[NAMA BAHAN],[2]!TBLREKAPBAHAN[[NAMA BAHAN]:[MODAL SATUAN]],3,FALSE)</f>
        <v>10</v>
      </c>
      <c r="E22" s="118">
        <f>VLOOKUP(TBLPIZZASIP[NAMA BAHAN],[2]!TBLREKAPBAHAN[[NAMA BAHAN]:[MODAL SATUAN]],4,FALSE)</f>
        <v>900</v>
      </c>
      <c r="F22" s="113">
        <f>VLOOKUP(TBLPIZZASIP[NAMA BAHAN],[2]!TBLREKAPBAHAN[[NAMA BAHAN]:[MODAL SATUAN]],4,FALSE)</f>
        <v>900</v>
      </c>
      <c r="G22" s="114">
        <v>0</v>
      </c>
      <c r="H22" s="115">
        <f t="shared" si="4"/>
        <v>0</v>
      </c>
      <c r="I22" s="114">
        <v>0</v>
      </c>
      <c r="J22" s="115">
        <f t="shared" si="1"/>
        <v>0</v>
      </c>
      <c r="K22" s="114">
        <v>0</v>
      </c>
      <c r="L22" s="115">
        <f t="shared" si="2"/>
        <v>0</v>
      </c>
      <c r="M22" s="114">
        <v>0</v>
      </c>
      <c r="N22" s="116">
        <f t="shared" si="3"/>
        <v>0</v>
      </c>
      <c r="O22" s="117">
        <v>0</v>
      </c>
      <c r="P22" s="117">
        <f t="shared" si="0"/>
        <v>0</v>
      </c>
      <c r="Q22" s="117">
        <v>0</v>
      </c>
      <c r="R22" s="117">
        <f>TBLPIZZASIP[[#This Row],[MODAL SATUAN]]*TBLPIZZASIP[[#This Row],[KEB.6]]</f>
        <v>0</v>
      </c>
    </row>
    <row r="23" spans="1:18" x14ac:dyDescent="0.25">
      <c r="A23" s="10">
        <v>22</v>
      </c>
      <c r="B23" s="10" t="s">
        <v>141</v>
      </c>
      <c r="C23" s="11">
        <f>VLOOKUP(TBLPIZZASIP[NAMA BAHAN],[2]!TBLREKAPBAHAN[[NAMA BAHAN]:[MODAL SATUAN]],2,FALSE)</f>
        <v>10000</v>
      </c>
      <c r="D23" s="11">
        <f>VLOOKUP(TBLPIZZASIP[NAMA BAHAN],[2]!TBLREKAPBAHAN[[NAMA BAHAN]:[MODAL SATUAN]],3,FALSE)</f>
        <v>100</v>
      </c>
      <c r="E23" s="118">
        <f>VLOOKUP(TBLPIZZASIP[NAMA BAHAN],[2]!TBLREKAPBAHAN[[NAMA BAHAN]:[MODAL SATUAN]],4,FALSE)</f>
        <v>100</v>
      </c>
      <c r="F23" s="113">
        <f>VLOOKUP(TBLPIZZASIP[NAMA BAHAN],[2]!TBLREKAPBAHAN[[NAMA BAHAN]:[MODAL SATUAN]],4,FALSE)</f>
        <v>100</v>
      </c>
      <c r="G23" s="114">
        <v>0</v>
      </c>
      <c r="H23" s="115">
        <f t="shared" si="4"/>
        <v>0</v>
      </c>
      <c r="I23" s="114">
        <v>0</v>
      </c>
      <c r="J23" s="115">
        <f t="shared" si="1"/>
        <v>0</v>
      </c>
      <c r="K23" s="114">
        <v>0</v>
      </c>
      <c r="L23" s="115">
        <f t="shared" si="2"/>
        <v>0</v>
      </c>
      <c r="M23" s="114">
        <v>0</v>
      </c>
      <c r="N23" s="116">
        <f t="shared" si="3"/>
        <v>0</v>
      </c>
      <c r="O23" s="117">
        <v>0</v>
      </c>
      <c r="P23" s="117">
        <f t="shared" si="0"/>
        <v>0</v>
      </c>
      <c r="Q23" s="117">
        <v>10</v>
      </c>
      <c r="R23" s="117">
        <f>TBLPIZZASIP[[#This Row],[MODAL SATUAN]]*TBLPIZZASIP[[#This Row],[KEB.6]]</f>
        <v>1000</v>
      </c>
    </row>
    <row r="24" spans="1:18" x14ac:dyDescent="0.25">
      <c r="A24" s="10">
        <v>23</v>
      </c>
      <c r="B24" s="10" t="s">
        <v>42</v>
      </c>
      <c r="C24" s="11">
        <f>VLOOKUP(TBLPIZZASIP[NAMA BAHAN],[2]!TBLREKAPBAHAN[[NAMA BAHAN]:[MODAL SATUAN]],2,FALSE)</f>
        <v>12000</v>
      </c>
      <c r="D24" s="11">
        <f>VLOOKUP(TBLPIZZASIP[NAMA BAHAN],[2]!TBLREKAPBAHAN[[NAMA BAHAN]:[MODAL SATUAN]],3,FALSE)</f>
        <v>10</v>
      </c>
      <c r="E24" s="118">
        <f>VLOOKUP(TBLPIZZASIP[NAMA BAHAN],[2]!TBLREKAPBAHAN[[NAMA BAHAN]:[MODAL SATUAN]],4,FALSE)</f>
        <v>1200</v>
      </c>
      <c r="F24" s="113">
        <f>VLOOKUP(TBLPIZZASIP[NAMA BAHAN],[2]!TBLREKAPBAHAN[[NAMA BAHAN]:[MODAL SATUAN]],4,FALSE)</f>
        <v>1200</v>
      </c>
      <c r="G24" s="114">
        <v>0</v>
      </c>
      <c r="H24" s="115">
        <f t="shared" si="4"/>
        <v>0</v>
      </c>
      <c r="I24" s="114">
        <v>0</v>
      </c>
      <c r="J24" s="115">
        <f t="shared" si="1"/>
        <v>0</v>
      </c>
      <c r="K24" s="114">
        <v>0</v>
      </c>
      <c r="L24" s="115">
        <f t="shared" si="2"/>
        <v>0</v>
      </c>
      <c r="M24" s="114">
        <v>0</v>
      </c>
      <c r="N24" s="116">
        <f t="shared" si="3"/>
        <v>0</v>
      </c>
      <c r="O24" s="117">
        <v>0</v>
      </c>
      <c r="P24" s="117">
        <f t="shared" si="0"/>
        <v>0</v>
      </c>
      <c r="Q24" s="117">
        <v>0</v>
      </c>
      <c r="R24" s="117">
        <f>TBLPIZZASIP[[#This Row],[MODAL SATUAN]]*TBLPIZZASIP[[#This Row],[KEB.6]]</f>
        <v>0</v>
      </c>
    </row>
    <row r="25" spans="1:18" x14ac:dyDescent="0.25">
      <c r="A25" s="10">
        <v>24</v>
      </c>
      <c r="B25" s="54" t="s">
        <v>155</v>
      </c>
      <c r="C25" s="11">
        <f>VLOOKUP(TBLPIZZASIP[NAMA BAHAN],[2]!TBLREKAPBAHAN[[NAMA BAHAN]:[MODAL SATUAN]],2,FALSE)</f>
        <v>17000</v>
      </c>
      <c r="D25" s="11">
        <f>VLOOKUP(TBLPIZZASIP[NAMA BAHAN],[2]!TBLREKAPBAHAN[[NAMA BAHAN]:[MODAL SATUAN]],3,FALSE)</f>
        <v>19000</v>
      </c>
      <c r="E25" s="118">
        <f>VLOOKUP(TBLPIZZASIP[NAMA BAHAN],[2]!TBLREKAPBAHAN[[NAMA BAHAN]:[MODAL SATUAN]],4,FALSE)</f>
        <v>0.89473684210526316</v>
      </c>
      <c r="F25" s="113">
        <f>VLOOKUP(TBLPIZZASIP[NAMA BAHAN],[2]!TBLREKAPBAHAN[[NAMA BAHAN]:[MODAL SATUAN]],4,FALSE)</f>
        <v>0.89473684210526316</v>
      </c>
      <c r="G25" s="114">
        <v>130</v>
      </c>
      <c r="H25" s="115">
        <f t="shared" si="4"/>
        <v>116.31578947368421</v>
      </c>
      <c r="I25" s="114">
        <v>130</v>
      </c>
      <c r="J25" s="115">
        <f t="shared" si="1"/>
        <v>116.31578947368421</v>
      </c>
      <c r="K25" s="114">
        <v>130</v>
      </c>
      <c r="L25" s="115">
        <f t="shared" si="2"/>
        <v>116.31578947368421</v>
      </c>
      <c r="M25" s="114">
        <v>130</v>
      </c>
      <c r="N25" s="116">
        <f t="shared" si="3"/>
        <v>116.31578947368421</v>
      </c>
      <c r="O25" s="117">
        <v>130</v>
      </c>
      <c r="P25" s="117">
        <f t="shared" si="0"/>
        <v>116.31578947368421</v>
      </c>
      <c r="Q25" s="117">
        <v>130</v>
      </c>
      <c r="R25" s="117">
        <f>TBLPIZZASIP[[#This Row],[MODAL SATUAN]]*TBLPIZZASIP[[#This Row],[KEB.6]]</f>
        <v>116.31578947368421</v>
      </c>
    </row>
    <row r="26" spans="1:18" x14ac:dyDescent="0.25">
      <c r="A26" s="10">
        <v>25</v>
      </c>
      <c r="B26" s="10" t="s">
        <v>55</v>
      </c>
      <c r="C26" s="11">
        <f>VLOOKUP(TBLPIZZASIP[NAMA BAHAN],[2]!TBLREKAPBAHAN[[NAMA BAHAN]:[MODAL SATUAN]],2,FALSE)</f>
        <v>23000</v>
      </c>
      <c r="D26" s="11">
        <f>VLOOKUP(TBLPIZZASIP[NAMA BAHAN],[2]!TBLREKAPBAHAN[[NAMA BAHAN]:[MODAL SATUAN]],3,FALSE)</f>
        <v>3000</v>
      </c>
      <c r="E26" s="118">
        <f>VLOOKUP(TBLPIZZASIP[NAMA BAHAN],[2]!TBLREKAPBAHAN[[NAMA BAHAN]:[MODAL SATUAN]],4,FALSE)</f>
        <v>7.666666666666667</v>
      </c>
      <c r="F26" s="113">
        <f>VLOOKUP(TBLPIZZASIP[NAMA BAHAN],[2]!TBLREKAPBAHAN[[NAMA BAHAN]:[MODAL SATUAN]],4,FALSE)</f>
        <v>7.666666666666667</v>
      </c>
      <c r="G26" s="114">
        <v>100</v>
      </c>
      <c r="H26" s="115">
        <f t="shared" si="4"/>
        <v>766.66666666666674</v>
      </c>
      <c r="I26" s="114">
        <v>100</v>
      </c>
      <c r="J26" s="115">
        <f t="shared" si="1"/>
        <v>766.66666666666674</v>
      </c>
      <c r="K26" s="114">
        <v>100</v>
      </c>
      <c r="L26" s="115">
        <f t="shared" si="2"/>
        <v>766.66666666666674</v>
      </c>
      <c r="M26" s="114">
        <v>100</v>
      </c>
      <c r="N26" s="116">
        <f t="shared" si="3"/>
        <v>766.66666666666674</v>
      </c>
      <c r="O26" s="117">
        <v>100</v>
      </c>
      <c r="P26" s="117">
        <f t="shared" si="0"/>
        <v>766.66666666666674</v>
      </c>
      <c r="Q26" s="117">
        <v>100</v>
      </c>
      <c r="R26" s="117">
        <f>TBLPIZZASIP[[#This Row],[MODAL SATUAN]]*TBLPIZZASIP[[#This Row],[KEB.6]]</f>
        <v>766.66666666666674</v>
      </c>
    </row>
    <row r="27" spans="1:18" x14ac:dyDescent="0.25">
      <c r="A27" s="10">
        <v>26</v>
      </c>
      <c r="B27" s="2" t="s">
        <v>183</v>
      </c>
      <c r="C27" s="11">
        <f>VLOOKUP(TBLPIZZASIP[NAMA BAHAN],[2]!TBLREKAPBAHAN[[NAMA BAHAN]:[MODAL SATUAN]],2,FALSE)</f>
        <v>10000</v>
      </c>
      <c r="D27" s="11">
        <f>VLOOKUP(TBLPIZZASIP[NAMA BAHAN],[2]!TBLREKAPBAHAN[[NAMA BAHAN]:[MODAL SATUAN]],3,FALSE)</f>
        <v>50</v>
      </c>
      <c r="E27" s="118">
        <f>VLOOKUP(TBLPIZZASIP[NAMA BAHAN],[2]!TBLREKAPBAHAN[[NAMA BAHAN]:[MODAL SATUAN]],4,FALSE)</f>
        <v>200</v>
      </c>
      <c r="F27" s="113">
        <f>VLOOKUP(TBLPIZZASIP[NAMA BAHAN],[2]!TBLREKAPBAHAN[[NAMA BAHAN]:[MODAL SATUAN]],4,FALSE)</f>
        <v>200</v>
      </c>
      <c r="G27" s="114">
        <v>1</v>
      </c>
      <c r="H27" s="115">
        <f t="shared" si="4"/>
        <v>200</v>
      </c>
      <c r="I27" s="114">
        <v>1</v>
      </c>
      <c r="J27" s="115">
        <f t="shared" si="1"/>
        <v>200</v>
      </c>
      <c r="K27" s="114">
        <v>1</v>
      </c>
      <c r="L27" s="115">
        <f>F27*K27</f>
        <v>200</v>
      </c>
      <c r="M27" s="114">
        <v>1</v>
      </c>
      <c r="N27" s="116">
        <f t="shared" si="3"/>
        <v>200</v>
      </c>
      <c r="O27" s="117">
        <v>1</v>
      </c>
      <c r="P27" s="117">
        <f t="shared" si="0"/>
        <v>200</v>
      </c>
      <c r="Q27" s="117">
        <v>1</v>
      </c>
      <c r="R27" s="117">
        <f>TBLPIZZASIP[[#This Row],[MODAL SATUAN]]*TBLPIZZASIP[[#This Row],[KEB.6]]</f>
        <v>200</v>
      </c>
    </row>
    <row r="28" spans="1:18" x14ac:dyDescent="0.25">
      <c r="A28" s="10">
        <v>27</v>
      </c>
      <c r="B28" s="10" t="s">
        <v>84</v>
      </c>
      <c r="C28" s="11">
        <f>VLOOKUP(TBLPIZZASIP[NAMA BAHAN],[2]!TBLREKAPBAHAN[[NAMA BAHAN]:[MODAL SATUAN]],2,FALSE)</f>
        <v>3000</v>
      </c>
      <c r="D28" s="11">
        <f>VLOOKUP(TBLPIZZASIP[NAMA BAHAN],[2]!TBLREKAPBAHAN[[NAMA BAHAN]:[MODAL SATUAN]],3,FALSE)</f>
        <v>1</v>
      </c>
      <c r="E28" s="118">
        <f>VLOOKUP(TBLPIZZASIP[NAMA BAHAN],[2]!TBLREKAPBAHAN[[NAMA BAHAN]:[MODAL SATUAN]],4,FALSE)</f>
        <v>3000</v>
      </c>
      <c r="F28" s="113">
        <f>VLOOKUP(TBLPIZZASIP[NAMA BAHAN],[2]!TBLREKAPBAHAN[[NAMA BAHAN]:[MODAL SATUAN]],4,FALSE)</f>
        <v>3000</v>
      </c>
      <c r="G28" s="114">
        <v>1</v>
      </c>
      <c r="H28" s="115">
        <f t="shared" si="4"/>
        <v>3000</v>
      </c>
      <c r="I28" s="114">
        <v>1</v>
      </c>
      <c r="J28" s="115">
        <f t="shared" si="1"/>
        <v>3000</v>
      </c>
      <c r="K28" s="114">
        <v>1</v>
      </c>
      <c r="L28" s="115">
        <f t="shared" si="2"/>
        <v>3000</v>
      </c>
      <c r="M28" s="114">
        <v>1</v>
      </c>
      <c r="N28" s="116">
        <f t="shared" si="3"/>
        <v>3000</v>
      </c>
      <c r="O28" s="117">
        <v>1</v>
      </c>
      <c r="P28" s="117">
        <f t="shared" si="0"/>
        <v>3000</v>
      </c>
      <c r="Q28" s="117">
        <v>1</v>
      </c>
      <c r="R28" s="117">
        <f>TBLPIZZASIP[[#This Row],[MODAL SATUAN]]*TBLPIZZASIP[[#This Row],[KEB.6]]</f>
        <v>3000</v>
      </c>
    </row>
    <row r="29" spans="1:18" x14ac:dyDescent="0.25">
      <c r="A29" s="10">
        <v>28</v>
      </c>
      <c r="B29" s="10" t="s">
        <v>85</v>
      </c>
      <c r="C29" s="11">
        <f>VLOOKUP(TBLPIZZASIP[NAMA BAHAN],[2]!TBLREKAPBAHAN[[NAMA BAHAN]:[MODAL SATUAN]],2,FALSE)</f>
        <v>37500</v>
      </c>
      <c r="D29" s="11">
        <f>VLOOKUP(TBLPIZZASIP[NAMA BAHAN],[2]!TBLREKAPBAHAN[[NAMA BAHAN]:[MODAL SATUAN]],3,FALSE)</f>
        <v>300</v>
      </c>
      <c r="E29" s="118">
        <f>VLOOKUP(TBLPIZZASIP[NAMA BAHAN],[2]!TBLREKAPBAHAN[[NAMA BAHAN]:[MODAL SATUAN]],4,FALSE)</f>
        <v>125</v>
      </c>
      <c r="F29" s="113">
        <f>VLOOKUP(TBLPIZZASIP[NAMA BAHAN],[2]!TBLREKAPBAHAN[[NAMA BAHAN]:[MODAL SATUAN]],4,FALSE)</f>
        <v>125</v>
      </c>
      <c r="G29" s="114">
        <v>1</v>
      </c>
      <c r="H29" s="115">
        <f t="shared" si="4"/>
        <v>125</v>
      </c>
      <c r="I29" s="114">
        <v>1</v>
      </c>
      <c r="J29" s="115">
        <f t="shared" si="1"/>
        <v>125</v>
      </c>
      <c r="K29" s="114">
        <v>1</v>
      </c>
      <c r="L29" s="115">
        <f t="shared" si="2"/>
        <v>125</v>
      </c>
      <c r="M29" s="114">
        <v>1</v>
      </c>
      <c r="N29" s="116">
        <f t="shared" si="3"/>
        <v>125</v>
      </c>
      <c r="O29" s="117">
        <v>1</v>
      </c>
      <c r="P29" s="117">
        <f t="shared" si="0"/>
        <v>125</v>
      </c>
      <c r="Q29" s="117">
        <v>1</v>
      </c>
      <c r="R29" s="117">
        <f>TBLPIZZASIP[[#This Row],[MODAL SATUAN]]*TBLPIZZASIP[[#This Row],[KEB.6]]</f>
        <v>125</v>
      </c>
    </row>
    <row r="30" spans="1:18" x14ac:dyDescent="0.25">
      <c r="A30" s="10">
        <v>29</v>
      </c>
      <c r="B30" s="10" t="s">
        <v>86</v>
      </c>
      <c r="C30" s="11">
        <f>VLOOKUP(TBLPIZZASIP[NAMA BAHAN],[2]!TBLREKAPBAHAN[[NAMA BAHAN]:[MODAL SATUAN]],2,FALSE)</f>
        <v>1000</v>
      </c>
      <c r="D30" s="11">
        <f>VLOOKUP(TBLPIZZASIP[NAMA BAHAN],[2]!TBLREKAPBAHAN[[NAMA BAHAN]:[MODAL SATUAN]],3,FALSE)</f>
        <v>1</v>
      </c>
      <c r="E30" s="118">
        <f>VLOOKUP(TBLPIZZASIP[NAMA BAHAN],[2]!TBLREKAPBAHAN[[NAMA BAHAN]:[MODAL SATUAN]],4,FALSE)</f>
        <v>1000</v>
      </c>
      <c r="F30" s="113">
        <f>VLOOKUP(TBLPIZZASIP[NAMA BAHAN],[2]!TBLREKAPBAHAN[[NAMA BAHAN]:[MODAL SATUAN]],4,FALSE)</f>
        <v>1000</v>
      </c>
      <c r="G30" s="114">
        <v>1</v>
      </c>
      <c r="H30" s="115">
        <f t="shared" si="4"/>
        <v>1000</v>
      </c>
      <c r="I30" s="114">
        <v>1</v>
      </c>
      <c r="J30" s="115">
        <f t="shared" si="1"/>
        <v>1000</v>
      </c>
      <c r="K30" s="114">
        <v>1</v>
      </c>
      <c r="L30" s="115">
        <f t="shared" si="2"/>
        <v>1000</v>
      </c>
      <c r="M30" s="114">
        <v>1</v>
      </c>
      <c r="N30" s="116">
        <f t="shared" si="3"/>
        <v>1000</v>
      </c>
      <c r="O30" s="117">
        <v>1</v>
      </c>
      <c r="P30" s="117">
        <f t="shared" si="0"/>
        <v>1000</v>
      </c>
      <c r="Q30" s="117">
        <v>1</v>
      </c>
      <c r="R30" s="117">
        <f>TBLPIZZASIP[[#This Row],[MODAL SATUAN]]*TBLPIZZASIP[[#This Row],[KEB.6]]</f>
        <v>1000</v>
      </c>
    </row>
    <row r="31" spans="1:18" s="120" customFormat="1" ht="15.75" customHeight="1" x14ac:dyDescent="0.25">
      <c r="A31" s="151" t="s">
        <v>20</v>
      </c>
      <c r="B31" s="151"/>
      <c r="C31" s="151"/>
      <c r="D31" s="151"/>
      <c r="E31" s="151"/>
      <c r="F31" s="151"/>
      <c r="G31" s="119"/>
      <c r="H31" s="120">
        <f>SUM(H2:H30)</f>
        <v>65820.370015948967</v>
      </c>
      <c r="I31" s="119"/>
      <c r="J31" s="120">
        <f>SUM(J2:J30)</f>
        <v>66678.02551834131</v>
      </c>
      <c r="K31" s="119"/>
      <c r="L31" s="120">
        <f>SUM(L2:L30)</f>
        <v>67651.70972886763</v>
      </c>
      <c r="M31" s="119"/>
      <c r="N31" s="120">
        <f>SUM(N2:N30)</f>
        <v>72329.86762360447</v>
      </c>
      <c r="O31" s="119"/>
      <c r="P31" s="120">
        <f>SUM(P2:P30)</f>
        <v>66026.70972886763</v>
      </c>
      <c r="R31" s="120">
        <f>SUM(TBLPIZZASIP[PIZZA SIP 25CM MEAT LOVERS])</f>
        <v>65331.709728867623</v>
      </c>
    </row>
  </sheetData>
  <mergeCells count="1">
    <mergeCell ref="A31:F31"/>
  </mergeCells>
  <pageMargins left="0.70866141732283472" right="0.70866141732283472" top="0.74803149606299213" bottom="0.74803149606299213" header="0.31496062992125984" footer="0.31496062992125984"/>
  <pageSetup paperSize="5" scale="60" fitToWidth="0" fitToHeight="0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1" zoomScale="70" zoomScaleNormal="70" workbookViewId="0">
      <selection activeCell="F19" sqref="F19"/>
    </sheetView>
  </sheetViews>
  <sheetFormatPr defaultRowHeight="15" x14ac:dyDescent="0.25"/>
  <cols>
    <col min="1" max="1" width="18" style="9" customWidth="1"/>
    <col min="2" max="2" width="29.7109375" style="9" customWidth="1"/>
    <col min="3" max="3" width="15.28515625" style="9" customWidth="1"/>
    <col min="4" max="4" width="9.140625" style="9"/>
    <col min="5" max="5" width="23" style="9" customWidth="1"/>
    <col min="6" max="6" width="17.5703125" style="9" customWidth="1"/>
    <col min="7" max="7" width="7.7109375" style="18" customWidth="1"/>
    <col min="8" max="8" width="51.5703125" style="9" customWidth="1"/>
    <col min="9" max="9" width="8.140625" style="18" customWidth="1"/>
    <col min="10" max="10" width="49.85546875" style="9" customWidth="1"/>
    <col min="11" max="11" width="8.140625" style="18" customWidth="1"/>
    <col min="12" max="12" width="38.42578125" style="9" customWidth="1"/>
    <col min="13" max="16384" width="9.140625" style="9"/>
  </cols>
  <sheetData>
    <row r="1" spans="1:12" s="56" customFormat="1" ht="60.75" customHeight="1" x14ac:dyDescent="0.25">
      <c r="A1" s="53" t="s">
        <v>90</v>
      </c>
      <c r="B1" s="54" t="s">
        <v>0</v>
      </c>
      <c r="C1" s="53" t="s">
        <v>4</v>
      </c>
      <c r="D1" s="53" t="s">
        <v>3</v>
      </c>
      <c r="E1" s="53" t="s">
        <v>1</v>
      </c>
      <c r="F1" s="53" t="s">
        <v>2</v>
      </c>
      <c r="G1" s="55" t="s">
        <v>5</v>
      </c>
      <c r="H1" s="53" t="s">
        <v>47</v>
      </c>
      <c r="I1" s="55" t="s">
        <v>146</v>
      </c>
      <c r="J1" s="53" t="s">
        <v>48</v>
      </c>
      <c r="K1" s="55" t="s">
        <v>147</v>
      </c>
      <c r="L1" s="53" t="s">
        <v>46</v>
      </c>
    </row>
    <row r="2" spans="1:12" x14ac:dyDescent="0.25">
      <c r="A2" s="122">
        <v>1</v>
      </c>
      <c r="B2" s="10" t="s">
        <v>71</v>
      </c>
      <c r="C2" s="11">
        <f>VLOOKUP(TBLYESKOREA[NAMA BAHAN],[2]!TBLREKAPBAHAN[[NAMA BAHAN]:[MODAL SATUAN]],2,FALSE)</f>
        <v>12000</v>
      </c>
      <c r="D2" s="11">
        <f>VLOOKUP(TBLYESKOREA[NAMA BAHAN],[2]!TBLREKAPBAHAN[[NAMA BAHAN]:[MODAL SATUAN]],3,FALSE)</f>
        <v>250</v>
      </c>
      <c r="E2" s="12">
        <f>VLOOKUP(TBLYESKOREA[NAMA BAHAN],[2]!TBLREKAPBAHAN[[NAMA BAHAN]:[MODAL SATUAN]],4,FALSE)</f>
        <v>48</v>
      </c>
      <c r="F2" s="12">
        <f>VLOOKUP(TBLYESKOREA[NAMA BAHAN],[2]!TBLREKAPBAHAN[[NAMA BAHAN]:[MODAL SATUAN]],4,FALSE)</f>
        <v>48</v>
      </c>
      <c r="G2" s="77">
        <v>50</v>
      </c>
      <c r="H2" s="78">
        <f>F2*G2</f>
        <v>2400</v>
      </c>
      <c r="I2" s="77">
        <v>50</v>
      </c>
      <c r="J2" s="78">
        <f>F2*I2</f>
        <v>2400</v>
      </c>
      <c r="K2" s="77">
        <v>50</v>
      </c>
      <c r="L2" s="78">
        <f>F2*K2</f>
        <v>2400</v>
      </c>
    </row>
    <row r="3" spans="1:12" x14ac:dyDescent="0.25">
      <c r="A3" s="122">
        <v>2</v>
      </c>
      <c r="B3" s="10" t="s">
        <v>74</v>
      </c>
      <c r="C3" s="11">
        <f>VLOOKUP(TBLYESKOREA[NAMA BAHAN],[2]!TBLREKAPBAHAN[[NAMA BAHAN]:[MODAL SATUAN]],2,FALSE)</f>
        <v>7000</v>
      </c>
      <c r="D3" s="11">
        <f>VLOOKUP(TBLYESKOREA[NAMA BAHAN],[2]!TBLREKAPBAHAN[[NAMA BAHAN]:[MODAL SATUAN]],3,FALSE)</f>
        <v>24</v>
      </c>
      <c r="E3" s="12">
        <f>VLOOKUP(TBLYESKOREA[NAMA BAHAN],[2]!TBLREKAPBAHAN[[NAMA BAHAN]:[MODAL SATUAN]],4,FALSE)</f>
        <v>291.66666666666669</v>
      </c>
      <c r="F3" s="12">
        <f>VLOOKUP(TBLYESKOREA[NAMA BAHAN],[2]!TBLREKAPBAHAN[[NAMA BAHAN]:[MODAL SATUAN]],4,FALSE)</f>
        <v>291.66666666666669</v>
      </c>
      <c r="G3" s="77">
        <v>2</v>
      </c>
      <c r="H3" s="78">
        <f>F3*G3</f>
        <v>583.33333333333337</v>
      </c>
      <c r="I3" s="77">
        <v>2</v>
      </c>
      <c r="J3" s="78">
        <f>F3*I3</f>
        <v>583.33333333333337</v>
      </c>
      <c r="K3" s="77">
        <v>2</v>
      </c>
      <c r="L3" s="78">
        <f>F3*K3</f>
        <v>583.33333333333337</v>
      </c>
    </row>
    <row r="4" spans="1:12" x14ac:dyDescent="0.25">
      <c r="A4" s="122">
        <v>3</v>
      </c>
      <c r="B4" s="10" t="s">
        <v>28</v>
      </c>
      <c r="C4" s="11">
        <f>VLOOKUP(TBLYESKOREA[NAMA BAHAN],[2]!TBLREKAPBAHAN[[NAMA BAHAN]:[MODAL SATUAN]],2,FALSE)</f>
        <v>8000</v>
      </c>
      <c r="D4" s="11">
        <f>VLOOKUP(TBLYESKOREA[NAMA BAHAN],[2]!TBLREKAPBAHAN[[NAMA BAHAN]:[MODAL SATUAN]],3,FALSE)</f>
        <v>24</v>
      </c>
      <c r="E4" s="12">
        <f>VLOOKUP(TBLYESKOREA[NAMA BAHAN],[2]!TBLREKAPBAHAN[[NAMA BAHAN]:[MODAL SATUAN]],4,FALSE)</f>
        <v>333.33333333333331</v>
      </c>
      <c r="F4" s="12">
        <f>VLOOKUP(TBLYESKOREA[NAMA BAHAN],[2]!TBLREKAPBAHAN[[NAMA BAHAN]:[MODAL SATUAN]],4,FALSE)</f>
        <v>333.33333333333331</v>
      </c>
      <c r="G4" s="77">
        <v>2</v>
      </c>
      <c r="H4" s="78">
        <f t="shared" ref="H4:H29" si="0">F4*G4</f>
        <v>666.66666666666663</v>
      </c>
      <c r="I4" s="77">
        <v>2</v>
      </c>
      <c r="J4" s="78">
        <f t="shared" ref="J4:J29" si="1">F4*I4</f>
        <v>666.66666666666663</v>
      </c>
      <c r="K4" s="77">
        <v>2</v>
      </c>
      <c r="L4" s="78">
        <f t="shared" ref="L4:L29" si="2">F4*K4</f>
        <v>666.66666666666663</v>
      </c>
    </row>
    <row r="5" spans="1:12" x14ac:dyDescent="0.25">
      <c r="A5" s="122">
        <v>4</v>
      </c>
      <c r="B5" s="10" t="s">
        <v>190</v>
      </c>
      <c r="C5" s="11">
        <f>VLOOKUP(TBLYESKOREA[NAMA BAHAN],[2]!TBLREKAPBAHAN[[NAMA BAHAN]:[MODAL SATUAN]],2,FALSE)</f>
        <v>90000</v>
      </c>
      <c r="D5" s="11">
        <f>VLOOKUP(TBLYESKOREA[NAMA BAHAN],[2]!TBLREKAPBAHAN[[NAMA BAHAN]:[MODAL SATUAN]],3,FALSE)</f>
        <v>500</v>
      </c>
      <c r="E5" s="12">
        <f>VLOOKUP(TBLYESKOREA[NAMA BAHAN],[2]!TBLREKAPBAHAN[[NAMA BAHAN]:[MODAL SATUAN]],4,FALSE)</f>
        <v>180</v>
      </c>
      <c r="F5" s="12">
        <f>VLOOKUP(TBLYESKOREA[NAMA BAHAN],[2]!TBLREKAPBAHAN[[NAMA BAHAN]:[MODAL SATUAN]],4,FALSE)</f>
        <v>180</v>
      </c>
      <c r="G5" s="77">
        <v>64</v>
      </c>
      <c r="H5" s="78">
        <f t="shared" si="0"/>
        <v>11520</v>
      </c>
      <c r="I5" s="77">
        <v>64</v>
      </c>
      <c r="J5" s="78">
        <f t="shared" si="1"/>
        <v>11520</v>
      </c>
      <c r="K5" s="77">
        <v>64</v>
      </c>
      <c r="L5" s="78">
        <f t="shared" si="2"/>
        <v>11520</v>
      </c>
    </row>
    <row r="6" spans="1:12" x14ac:dyDescent="0.25">
      <c r="A6" s="122">
        <v>5</v>
      </c>
      <c r="B6" s="10" t="s">
        <v>57</v>
      </c>
      <c r="C6" s="11">
        <f>VLOOKUP(TBLYESKOREA[NAMA BAHAN],[2]!TBLREKAPBAHAN[[NAMA BAHAN]:[MODAL SATUAN]],2,FALSE)</f>
        <v>35000</v>
      </c>
      <c r="D6" s="11">
        <f>VLOOKUP(TBLYESKOREA[NAMA BAHAN],[2]!TBLREKAPBAHAN[[NAMA BAHAN]:[MODAL SATUAN]],3,FALSE)</f>
        <v>38</v>
      </c>
      <c r="E6" s="12">
        <f>VLOOKUP(TBLYESKOREA[NAMA BAHAN],[2]!TBLREKAPBAHAN[[NAMA BAHAN]:[MODAL SATUAN]],4,FALSE)</f>
        <v>921.0526315789474</v>
      </c>
      <c r="F6" s="12">
        <f>VLOOKUP(TBLYESKOREA[NAMA BAHAN],[2]!TBLREKAPBAHAN[[NAMA BAHAN]:[MODAL SATUAN]],4,FALSE)</f>
        <v>921.0526315789474</v>
      </c>
      <c r="G6" s="77">
        <v>1</v>
      </c>
      <c r="H6" s="78">
        <f t="shared" si="0"/>
        <v>921.0526315789474</v>
      </c>
      <c r="I6" s="77">
        <v>1</v>
      </c>
      <c r="J6" s="78">
        <f t="shared" si="1"/>
        <v>921.0526315789474</v>
      </c>
      <c r="K6" s="77">
        <v>1</v>
      </c>
      <c r="L6" s="78">
        <f t="shared" si="2"/>
        <v>921.0526315789474</v>
      </c>
    </row>
    <row r="7" spans="1:12" x14ac:dyDescent="0.25">
      <c r="A7" s="122">
        <v>6</v>
      </c>
      <c r="B7" s="10" t="s">
        <v>58</v>
      </c>
      <c r="C7" s="11">
        <f>VLOOKUP(TBLYESKOREA[NAMA BAHAN],[2]!TBLREKAPBAHAN[[NAMA BAHAN]:[MODAL SATUAN]],2,FALSE)</f>
        <v>45000</v>
      </c>
      <c r="D7" s="11">
        <f>VLOOKUP(TBLYESKOREA[NAMA BAHAN],[2]!TBLREKAPBAHAN[[NAMA BAHAN]:[MODAL SATUAN]],3,FALSE)</f>
        <v>400</v>
      </c>
      <c r="E7" s="12">
        <f>VLOOKUP(TBLYESKOREA[NAMA BAHAN],[2]!TBLREKAPBAHAN[[NAMA BAHAN]:[MODAL SATUAN]],4,FALSE)</f>
        <v>112.5</v>
      </c>
      <c r="F7" s="12">
        <f>VLOOKUP(TBLYESKOREA[NAMA BAHAN],[2]!TBLREKAPBAHAN[[NAMA BAHAN]:[MODAL SATUAN]],4,FALSE)</f>
        <v>112.5</v>
      </c>
      <c r="G7" s="77">
        <v>15</v>
      </c>
      <c r="H7" s="78">
        <f t="shared" si="0"/>
        <v>1687.5</v>
      </c>
      <c r="I7" s="77">
        <v>20</v>
      </c>
      <c r="J7" s="78">
        <f t="shared" si="1"/>
        <v>2250</v>
      </c>
      <c r="K7" s="77">
        <v>15</v>
      </c>
      <c r="L7" s="78">
        <f t="shared" si="2"/>
        <v>1687.5</v>
      </c>
    </row>
    <row r="8" spans="1:12" x14ac:dyDescent="0.25">
      <c r="A8" s="122">
        <v>7</v>
      </c>
      <c r="B8" s="10" t="s">
        <v>54</v>
      </c>
      <c r="C8" s="11">
        <f>VLOOKUP(TBLYESKOREA[NAMA BAHAN],[2]!TBLREKAPBAHAN[[NAMA BAHAN]:[MODAL SATUAN]],2,FALSE)</f>
        <v>35000</v>
      </c>
      <c r="D8" s="11">
        <f>VLOOKUP(TBLYESKOREA[NAMA BAHAN],[2]!TBLREKAPBAHAN[[NAMA BAHAN]:[MODAL SATUAN]],3,FALSE)</f>
        <v>1000</v>
      </c>
      <c r="E8" s="12">
        <f>VLOOKUP(TBLYESKOREA[NAMA BAHAN],[2]!TBLREKAPBAHAN[[NAMA BAHAN]:[MODAL SATUAN]],4,FALSE)</f>
        <v>35</v>
      </c>
      <c r="F8" s="12">
        <f>VLOOKUP(TBLYESKOREA[NAMA BAHAN],[2]!TBLREKAPBAHAN[[NAMA BAHAN]:[MODAL SATUAN]],4,FALSE)</f>
        <v>35</v>
      </c>
      <c r="G8" s="77">
        <v>18</v>
      </c>
      <c r="H8" s="78">
        <f t="shared" si="0"/>
        <v>630</v>
      </c>
      <c r="I8" s="77">
        <v>18</v>
      </c>
      <c r="J8" s="78">
        <f t="shared" si="1"/>
        <v>630</v>
      </c>
      <c r="K8" s="77">
        <v>18</v>
      </c>
      <c r="L8" s="78">
        <f t="shared" si="2"/>
        <v>630</v>
      </c>
    </row>
    <row r="9" spans="1:12" x14ac:dyDescent="0.25">
      <c r="A9" s="122">
        <v>8</v>
      </c>
      <c r="B9" s="10" t="s">
        <v>75</v>
      </c>
      <c r="C9" s="11">
        <f>VLOOKUP(TBLYESKOREA[NAMA BAHAN],[2]!TBLREKAPBAHAN[[NAMA BAHAN]:[MODAL SATUAN]],2,FALSE)</f>
        <v>18000</v>
      </c>
      <c r="D9" s="11">
        <f>VLOOKUP(TBLYESKOREA[NAMA BAHAN],[2]!TBLREKAPBAHAN[[NAMA BAHAN]:[MODAL SATUAN]],3,FALSE)</f>
        <v>1000</v>
      </c>
      <c r="E9" s="12">
        <f>VLOOKUP(TBLYESKOREA[NAMA BAHAN],[2]!TBLREKAPBAHAN[[NAMA BAHAN]:[MODAL SATUAN]],4,FALSE)</f>
        <v>18</v>
      </c>
      <c r="F9" s="12">
        <f>VLOOKUP(TBLYESKOREA[NAMA BAHAN],[2]!TBLREKAPBAHAN[[NAMA BAHAN]:[MODAL SATUAN]],4,FALSE)</f>
        <v>18</v>
      </c>
      <c r="G9" s="77">
        <v>13.5</v>
      </c>
      <c r="H9" s="78">
        <f t="shared" si="0"/>
        <v>243</v>
      </c>
      <c r="I9" s="77">
        <v>13.5</v>
      </c>
      <c r="J9" s="78">
        <f t="shared" si="1"/>
        <v>243</v>
      </c>
      <c r="K9" s="77">
        <v>13.5</v>
      </c>
      <c r="L9" s="78">
        <f t="shared" si="2"/>
        <v>243</v>
      </c>
    </row>
    <row r="10" spans="1:12" x14ac:dyDescent="0.25">
      <c r="A10" s="122">
        <v>9</v>
      </c>
      <c r="B10" s="10" t="s">
        <v>76</v>
      </c>
      <c r="C10" s="11">
        <f>VLOOKUP(TBLYESKOREA[NAMA BAHAN],[2]!TBLREKAPBAHAN[[NAMA BAHAN]:[MODAL SATUAN]],2,FALSE)</f>
        <v>4000</v>
      </c>
      <c r="D10" s="11">
        <f>VLOOKUP(TBLYESKOREA[NAMA BAHAN],[2]!TBLREKAPBAHAN[[NAMA BAHAN]:[MODAL SATUAN]],3,FALSE)</f>
        <v>250</v>
      </c>
      <c r="E10" s="12">
        <f>VLOOKUP(TBLYESKOREA[NAMA BAHAN],[2]!TBLREKAPBAHAN[[NAMA BAHAN]:[MODAL SATUAN]],4,FALSE)</f>
        <v>16</v>
      </c>
      <c r="F10" s="12">
        <f>VLOOKUP(TBLYESKOREA[NAMA BAHAN],[2]!TBLREKAPBAHAN[[NAMA BAHAN]:[MODAL SATUAN]],4,FALSE)</f>
        <v>16</v>
      </c>
      <c r="G10" s="77">
        <v>3</v>
      </c>
      <c r="H10" s="78">
        <f t="shared" si="0"/>
        <v>48</v>
      </c>
      <c r="I10" s="77">
        <v>3</v>
      </c>
      <c r="J10" s="78">
        <f t="shared" si="1"/>
        <v>48</v>
      </c>
      <c r="K10" s="77">
        <v>3</v>
      </c>
      <c r="L10" s="78">
        <f t="shared" si="2"/>
        <v>48</v>
      </c>
    </row>
    <row r="11" spans="1:12" x14ac:dyDescent="0.25">
      <c r="A11" s="122">
        <v>10</v>
      </c>
      <c r="B11" s="10" t="s">
        <v>77</v>
      </c>
      <c r="C11" s="11">
        <f>VLOOKUP(TBLYESKOREA[NAMA BAHAN],[2]!TBLREKAPBAHAN[[NAMA BAHAN]:[MODAL SATUAN]],2,FALSE)</f>
        <v>7000</v>
      </c>
      <c r="D11" s="11">
        <f>VLOOKUP(TBLYESKOREA[NAMA BAHAN],[2]!TBLREKAPBAHAN[[NAMA BAHAN]:[MODAL SATUAN]],3,FALSE)</f>
        <v>11</v>
      </c>
      <c r="E11" s="12">
        <f>VLOOKUP(TBLYESKOREA[NAMA BAHAN],[2]!TBLREKAPBAHAN[[NAMA BAHAN]:[MODAL SATUAN]],4,FALSE)</f>
        <v>636.36363636363637</v>
      </c>
      <c r="F11" s="12">
        <f>VLOOKUP(TBLYESKOREA[NAMA BAHAN],[2]!TBLREKAPBAHAN[[NAMA BAHAN]:[MODAL SATUAN]],4,FALSE)</f>
        <v>636.36363636363637</v>
      </c>
      <c r="G11" s="77">
        <v>5</v>
      </c>
      <c r="H11" s="78">
        <f t="shared" si="0"/>
        <v>3181.818181818182</v>
      </c>
      <c r="I11" s="77">
        <v>5</v>
      </c>
      <c r="J11" s="78">
        <f t="shared" si="1"/>
        <v>3181.818181818182</v>
      </c>
      <c r="K11" s="77">
        <v>5</v>
      </c>
      <c r="L11" s="78">
        <f t="shared" si="2"/>
        <v>3181.818181818182</v>
      </c>
    </row>
    <row r="12" spans="1:12" x14ac:dyDescent="0.25">
      <c r="A12" s="122">
        <v>11</v>
      </c>
      <c r="B12" s="10" t="s">
        <v>78</v>
      </c>
      <c r="C12" s="11">
        <f>VLOOKUP(TBLYESKOREA[NAMA BAHAN],[2]!TBLREKAPBAHAN[[NAMA BAHAN]:[MODAL SATUAN]],2,FALSE)</f>
        <v>18000</v>
      </c>
      <c r="D12" s="11">
        <f>VLOOKUP(TBLYESKOREA[NAMA BAHAN],[2]!TBLREKAPBAHAN[[NAMA BAHAN]:[MODAL SATUAN]],3,FALSE)</f>
        <v>250</v>
      </c>
      <c r="E12" s="12">
        <f>VLOOKUP(TBLYESKOREA[NAMA BAHAN],[2]!TBLREKAPBAHAN[[NAMA BAHAN]:[MODAL SATUAN]],4,FALSE)</f>
        <v>72</v>
      </c>
      <c r="F12" s="12">
        <f>VLOOKUP(TBLYESKOREA[NAMA BAHAN],[2]!TBLREKAPBAHAN[[NAMA BAHAN]:[MODAL SATUAN]],4,FALSE)</f>
        <v>72</v>
      </c>
      <c r="G12" s="77">
        <v>15</v>
      </c>
      <c r="H12" s="78">
        <f t="shared" si="0"/>
        <v>1080</v>
      </c>
      <c r="I12" s="77">
        <v>15</v>
      </c>
      <c r="J12" s="78">
        <f t="shared" si="1"/>
        <v>1080</v>
      </c>
      <c r="K12" s="77">
        <v>15</v>
      </c>
      <c r="L12" s="78">
        <f t="shared" si="2"/>
        <v>1080</v>
      </c>
    </row>
    <row r="13" spans="1:12" x14ac:dyDescent="0.25">
      <c r="A13" s="122">
        <v>12</v>
      </c>
      <c r="B13" s="10" t="s">
        <v>79</v>
      </c>
      <c r="C13" s="11">
        <f>VLOOKUP(TBLYESKOREA[NAMA BAHAN],[2]!TBLREKAPBAHAN[[NAMA BAHAN]:[MODAL SATUAN]],2,FALSE)</f>
        <v>14000</v>
      </c>
      <c r="D13" s="11">
        <f>VLOOKUP(TBLYESKOREA[NAMA BAHAN],[2]!TBLREKAPBAHAN[[NAMA BAHAN]:[MODAL SATUAN]],3,FALSE)</f>
        <v>1000</v>
      </c>
      <c r="E13" s="12">
        <f>VLOOKUP(TBLYESKOREA[NAMA BAHAN],[2]!TBLREKAPBAHAN[[NAMA BAHAN]:[MODAL SATUAN]],4,FALSE)</f>
        <v>14</v>
      </c>
      <c r="F13" s="12">
        <f>VLOOKUP(TBLYESKOREA[NAMA BAHAN],[2]!TBLREKAPBAHAN[[NAMA BAHAN]:[MODAL SATUAN]],4,FALSE)</f>
        <v>14</v>
      </c>
      <c r="G13" s="77">
        <v>30</v>
      </c>
      <c r="H13" s="78">
        <f t="shared" si="0"/>
        <v>420</v>
      </c>
      <c r="I13" s="77">
        <v>30</v>
      </c>
      <c r="J13" s="78">
        <f t="shared" si="1"/>
        <v>420</v>
      </c>
      <c r="K13" s="77">
        <v>30</v>
      </c>
      <c r="L13" s="78">
        <f t="shared" si="2"/>
        <v>420</v>
      </c>
    </row>
    <row r="14" spans="1:12" x14ac:dyDescent="0.25">
      <c r="A14" s="122">
        <v>13</v>
      </c>
      <c r="B14" s="10" t="s">
        <v>80</v>
      </c>
      <c r="C14" s="11">
        <f>VLOOKUP(TBLYESKOREA[NAMA BAHAN],[2]!TBLREKAPBAHAN[[NAMA BAHAN]:[MODAL SATUAN]],2,FALSE)</f>
        <v>14000</v>
      </c>
      <c r="D14" s="11">
        <f>VLOOKUP(TBLYESKOREA[NAMA BAHAN],[2]!TBLREKAPBAHAN[[NAMA BAHAN]:[MODAL SATUAN]],3,FALSE)</f>
        <v>1000</v>
      </c>
      <c r="E14" s="12">
        <f>VLOOKUP(TBLYESKOREA[NAMA BAHAN],[2]!TBLREKAPBAHAN[[NAMA BAHAN]:[MODAL SATUAN]],4,FALSE)</f>
        <v>14</v>
      </c>
      <c r="F14" s="12">
        <f>VLOOKUP(TBLYESKOREA[NAMA BAHAN],[2]!TBLREKAPBAHAN[[NAMA BAHAN]:[MODAL SATUAN]],4,FALSE)</f>
        <v>14</v>
      </c>
      <c r="G14" s="77">
        <v>50</v>
      </c>
      <c r="H14" s="78">
        <f t="shared" si="0"/>
        <v>700</v>
      </c>
      <c r="I14" s="77">
        <v>50</v>
      </c>
      <c r="J14" s="78">
        <f t="shared" si="1"/>
        <v>700</v>
      </c>
      <c r="K14" s="77">
        <v>50</v>
      </c>
      <c r="L14" s="78">
        <f t="shared" si="2"/>
        <v>700</v>
      </c>
    </row>
    <row r="15" spans="1:12" x14ac:dyDescent="0.25">
      <c r="A15" s="122">
        <v>14</v>
      </c>
      <c r="B15" s="10" t="s">
        <v>81</v>
      </c>
      <c r="C15" s="11">
        <f>VLOOKUP(TBLYESKOREA[NAMA BAHAN],[2]!TBLREKAPBAHAN[[NAMA BAHAN]:[MODAL SATUAN]],2,FALSE)</f>
        <v>30000</v>
      </c>
      <c r="D15" s="11">
        <f>VLOOKUP(TBLYESKOREA[NAMA BAHAN],[2]!TBLREKAPBAHAN[[NAMA BAHAN]:[MODAL SATUAN]],3,FALSE)</f>
        <v>30</v>
      </c>
      <c r="E15" s="12">
        <f>VLOOKUP(TBLYESKOREA[NAMA BAHAN],[2]!TBLREKAPBAHAN[[NAMA BAHAN]:[MODAL SATUAN]],4,FALSE)</f>
        <v>1000</v>
      </c>
      <c r="F15" s="12">
        <f>VLOOKUP(TBLYESKOREA[NAMA BAHAN],[2]!TBLREKAPBAHAN[[NAMA BAHAN]:[MODAL SATUAN]],4,FALSE)</f>
        <v>1000</v>
      </c>
      <c r="G15" s="77">
        <v>1</v>
      </c>
      <c r="H15" s="78">
        <f t="shared" si="0"/>
        <v>1000</v>
      </c>
      <c r="I15" s="77">
        <v>1</v>
      </c>
      <c r="J15" s="78">
        <f t="shared" si="1"/>
        <v>1000</v>
      </c>
      <c r="K15" s="77">
        <v>1</v>
      </c>
      <c r="L15" s="78">
        <f t="shared" si="2"/>
        <v>1000</v>
      </c>
    </row>
    <row r="16" spans="1:12" x14ac:dyDescent="0.25">
      <c r="A16" s="122">
        <v>15</v>
      </c>
      <c r="B16" s="10" t="s">
        <v>82</v>
      </c>
      <c r="C16" s="11">
        <f>VLOOKUP(TBLYESKOREA[NAMA BAHAN],[2]!TBLREKAPBAHAN[[NAMA BAHAN]:[MODAL SATUAN]],2,FALSE)</f>
        <v>15000</v>
      </c>
      <c r="D16" s="11">
        <f>VLOOKUP(TBLYESKOREA[NAMA BAHAN],[2]!TBLREKAPBAHAN[[NAMA BAHAN]:[MODAL SATUAN]],3,FALSE)</f>
        <v>80</v>
      </c>
      <c r="E16" s="12">
        <f>VLOOKUP(TBLYESKOREA[NAMA BAHAN],[2]!TBLREKAPBAHAN[[NAMA BAHAN]:[MODAL SATUAN]],4,FALSE)</f>
        <v>187.5</v>
      </c>
      <c r="F16" s="12">
        <f>VLOOKUP(TBLYESKOREA[NAMA BAHAN],[2]!TBLREKAPBAHAN[[NAMA BAHAN]:[MODAL SATUAN]],4,FALSE)</f>
        <v>187.5</v>
      </c>
      <c r="G16" s="77">
        <v>3</v>
      </c>
      <c r="H16" s="78">
        <f t="shared" si="0"/>
        <v>562.5</v>
      </c>
      <c r="I16" s="77">
        <v>3</v>
      </c>
      <c r="J16" s="78">
        <f t="shared" si="1"/>
        <v>562.5</v>
      </c>
      <c r="K16" s="77">
        <v>3</v>
      </c>
      <c r="L16" s="78">
        <f t="shared" si="2"/>
        <v>562.5</v>
      </c>
    </row>
    <row r="17" spans="1:12" x14ac:dyDescent="0.25">
      <c r="A17" s="122">
        <v>16</v>
      </c>
      <c r="B17" s="10" t="s">
        <v>83</v>
      </c>
      <c r="C17" s="11">
        <f>VLOOKUP(TBLYESKOREA[NAMA BAHAN],[2]!TBLREKAPBAHAN[[NAMA BAHAN]:[MODAL SATUAN]],2,FALSE)</f>
        <v>5000</v>
      </c>
      <c r="D17" s="11">
        <f>VLOOKUP(TBLYESKOREA[NAMA BAHAN],[2]!TBLREKAPBAHAN[[NAMA BAHAN]:[MODAL SATUAN]],3,FALSE)</f>
        <v>8</v>
      </c>
      <c r="E17" s="12">
        <f>VLOOKUP(TBLYESKOREA[NAMA BAHAN],[2]!TBLREKAPBAHAN[[NAMA BAHAN]:[MODAL SATUAN]],4,FALSE)</f>
        <v>625</v>
      </c>
      <c r="F17" s="12">
        <f>VLOOKUP(TBLYESKOREA[NAMA BAHAN],[2]!TBLREKAPBAHAN[[NAMA BAHAN]:[MODAL SATUAN]],4,FALSE)</f>
        <v>625</v>
      </c>
      <c r="G17" s="77">
        <v>2</v>
      </c>
      <c r="H17" s="78">
        <f t="shared" si="0"/>
        <v>1250</v>
      </c>
      <c r="I17" s="77">
        <v>2</v>
      </c>
      <c r="J17" s="78">
        <f t="shared" si="1"/>
        <v>1250</v>
      </c>
      <c r="K17" s="77">
        <v>2</v>
      </c>
      <c r="L17" s="78">
        <f t="shared" si="2"/>
        <v>1250</v>
      </c>
    </row>
    <row r="18" spans="1:12" x14ac:dyDescent="0.25">
      <c r="A18" s="122">
        <v>17</v>
      </c>
      <c r="B18" s="10" t="s">
        <v>15</v>
      </c>
      <c r="C18" s="11">
        <f>VLOOKUP(TBLYESKOREA[NAMA BAHAN],[2]!TBLREKAPBAHAN[[NAMA BAHAN]:[MODAL SATUAN]],2,FALSE)</f>
        <v>25000</v>
      </c>
      <c r="D18" s="11">
        <f>VLOOKUP(TBLYESKOREA[NAMA BAHAN],[2]!TBLREKAPBAHAN[[NAMA BAHAN]:[MODAL SATUAN]],3,FALSE)</f>
        <v>100</v>
      </c>
      <c r="E18" s="12">
        <f>VLOOKUP(TBLYESKOREA[NAMA BAHAN],[2]!TBLREKAPBAHAN[[NAMA BAHAN]:[MODAL SATUAN]],4,FALSE)</f>
        <v>250</v>
      </c>
      <c r="F18" s="12">
        <f>VLOOKUP(TBLYESKOREA[NAMA BAHAN],[2]!TBLREKAPBAHAN[[NAMA BAHAN]:[MODAL SATUAN]],4,FALSE)</f>
        <v>250</v>
      </c>
      <c r="G18" s="77">
        <v>0</v>
      </c>
      <c r="H18" s="78">
        <f t="shared" si="0"/>
        <v>0</v>
      </c>
      <c r="I18" s="77">
        <v>0</v>
      </c>
      <c r="J18" s="78">
        <f t="shared" si="1"/>
        <v>0</v>
      </c>
      <c r="K18" s="77">
        <v>0</v>
      </c>
      <c r="L18" s="78">
        <f t="shared" si="2"/>
        <v>0</v>
      </c>
    </row>
    <row r="19" spans="1:12" x14ac:dyDescent="0.25">
      <c r="A19" s="122">
        <v>18</v>
      </c>
      <c r="B19" s="10" t="s">
        <v>13</v>
      </c>
      <c r="C19" s="11">
        <f>VLOOKUP(TBLYESKOREA[NAMA BAHAN],[2]!TBLREKAPBAHAN[[NAMA BAHAN]:[MODAL SATUAN]],2,FALSE)</f>
        <v>2000</v>
      </c>
      <c r="D19" s="11">
        <f>VLOOKUP(TBLYESKOREA[NAMA BAHAN],[2]!TBLREKAPBAHAN[[NAMA BAHAN]:[MODAL SATUAN]],3,FALSE)</f>
        <v>10</v>
      </c>
      <c r="E19" s="12">
        <f>VLOOKUP(TBLYESKOREA[NAMA BAHAN],[2]!TBLREKAPBAHAN[[NAMA BAHAN]:[MODAL SATUAN]],4,FALSE)</f>
        <v>200</v>
      </c>
      <c r="F19" s="12">
        <f>VLOOKUP(TBLYESKOREA[NAMA BAHAN],[2]!TBLREKAPBAHAN[[NAMA BAHAN]:[MODAL SATUAN]],4,FALSE)</f>
        <v>200</v>
      </c>
      <c r="G19" s="77">
        <v>3</v>
      </c>
      <c r="H19" s="78">
        <f t="shared" si="0"/>
        <v>600</v>
      </c>
      <c r="I19" s="77">
        <v>3</v>
      </c>
      <c r="J19" s="78">
        <f t="shared" si="1"/>
        <v>600</v>
      </c>
      <c r="K19" s="77">
        <v>3</v>
      </c>
      <c r="L19" s="78">
        <f t="shared" si="2"/>
        <v>600</v>
      </c>
    </row>
    <row r="20" spans="1:12" x14ac:dyDescent="0.25">
      <c r="A20" s="122">
        <v>19</v>
      </c>
      <c r="B20" s="10" t="s">
        <v>16</v>
      </c>
      <c r="C20" s="11">
        <f>VLOOKUP(TBLYESKOREA[NAMA BAHAN],[2]!TBLREKAPBAHAN[[NAMA BAHAN]:[MODAL SATUAN]],2,FALSE)</f>
        <v>3000</v>
      </c>
      <c r="D20" s="11">
        <f>VLOOKUP(TBLYESKOREA[NAMA BAHAN],[2]!TBLREKAPBAHAN[[NAMA BAHAN]:[MODAL SATUAN]],3,FALSE)</f>
        <v>2</v>
      </c>
      <c r="E20" s="12">
        <f>VLOOKUP(TBLYESKOREA[NAMA BAHAN],[2]!TBLREKAPBAHAN[[NAMA BAHAN]:[MODAL SATUAN]],4,FALSE)</f>
        <v>1500</v>
      </c>
      <c r="F20" s="12">
        <f>VLOOKUP(TBLYESKOREA[NAMA BAHAN],[2]!TBLREKAPBAHAN[[NAMA BAHAN]:[MODAL SATUAN]],4,FALSE)</f>
        <v>1500</v>
      </c>
      <c r="G20" s="77">
        <v>0.5</v>
      </c>
      <c r="H20" s="78">
        <f t="shared" si="0"/>
        <v>750</v>
      </c>
      <c r="I20" s="77">
        <v>0.5</v>
      </c>
      <c r="J20" s="78">
        <f t="shared" si="1"/>
        <v>750</v>
      </c>
      <c r="K20" s="77">
        <v>0.5</v>
      </c>
      <c r="L20" s="78">
        <f t="shared" si="2"/>
        <v>750</v>
      </c>
    </row>
    <row r="21" spans="1:12" x14ac:dyDescent="0.25">
      <c r="A21" s="122">
        <v>20</v>
      </c>
      <c r="B21" s="10" t="s">
        <v>41</v>
      </c>
      <c r="C21" s="11">
        <f>VLOOKUP(TBLYESKOREA[NAMA BAHAN],[2]!TBLREKAPBAHAN[[NAMA BAHAN]:[MODAL SATUAN]],2,FALSE)</f>
        <v>9000</v>
      </c>
      <c r="D21" s="11">
        <f>VLOOKUP(TBLYESKOREA[NAMA BAHAN],[2]!TBLREKAPBAHAN[[NAMA BAHAN]:[MODAL SATUAN]],3,FALSE)</f>
        <v>10</v>
      </c>
      <c r="E21" s="12">
        <f>VLOOKUP(TBLYESKOREA[NAMA BAHAN],[2]!TBLREKAPBAHAN[[NAMA BAHAN]:[MODAL SATUAN]],4,FALSE)</f>
        <v>900</v>
      </c>
      <c r="F21" s="12">
        <f>VLOOKUP(TBLYESKOREA[NAMA BAHAN],[2]!TBLREKAPBAHAN[[NAMA BAHAN]:[MODAL SATUAN]],4,FALSE)</f>
        <v>900</v>
      </c>
      <c r="G21" s="77">
        <v>2</v>
      </c>
      <c r="H21" s="78">
        <f t="shared" si="0"/>
        <v>1800</v>
      </c>
      <c r="I21" s="77">
        <v>2</v>
      </c>
      <c r="J21" s="78">
        <f t="shared" si="1"/>
        <v>1800</v>
      </c>
      <c r="K21" s="77">
        <v>2</v>
      </c>
      <c r="L21" s="78">
        <f t="shared" si="2"/>
        <v>1800</v>
      </c>
    </row>
    <row r="22" spans="1:12" x14ac:dyDescent="0.25">
      <c r="A22" s="122">
        <v>21</v>
      </c>
      <c r="B22" s="10" t="s">
        <v>141</v>
      </c>
      <c r="C22" s="11">
        <f>VLOOKUP(TBLYESKOREA[NAMA BAHAN],[2]!TBLREKAPBAHAN[[NAMA BAHAN]:[MODAL SATUAN]],2,FALSE)</f>
        <v>10000</v>
      </c>
      <c r="D22" s="11">
        <f>VLOOKUP(TBLYESKOREA[NAMA BAHAN],[2]!TBLREKAPBAHAN[[NAMA BAHAN]:[MODAL SATUAN]],3,FALSE)</f>
        <v>100</v>
      </c>
      <c r="E22" s="12">
        <f>VLOOKUP(TBLYESKOREA[NAMA BAHAN],[2]!TBLREKAPBAHAN[[NAMA BAHAN]:[MODAL SATUAN]],4,FALSE)</f>
        <v>100</v>
      </c>
      <c r="F22" s="12">
        <f>VLOOKUP(TBLYESKOREA[NAMA BAHAN],[2]!TBLREKAPBAHAN[[NAMA BAHAN]:[MODAL SATUAN]],4,FALSE)</f>
        <v>100</v>
      </c>
      <c r="G22" s="77">
        <v>10</v>
      </c>
      <c r="H22" s="78">
        <f t="shared" si="0"/>
        <v>1000</v>
      </c>
      <c r="I22" s="77">
        <v>10</v>
      </c>
      <c r="J22" s="78">
        <f t="shared" si="1"/>
        <v>1000</v>
      </c>
      <c r="K22" s="77">
        <v>10</v>
      </c>
      <c r="L22" s="78">
        <f t="shared" si="2"/>
        <v>1000</v>
      </c>
    </row>
    <row r="23" spans="1:12" x14ac:dyDescent="0.25">
      <c r="A23" s="122">
        <v>22</v>
      </c>
      <c r="B23" s="10" t="s">
        <v>42</v>
      </c>
      <c r="C23" s="11">
        <f>VLOOKUP(TBLYESKOREA[NAMA BAHAN],[2]!TBLREKAPBAHAN[[NAMA BAHAN]:[MODAL SATUAN]],2,FALSE)</f>
        <v>12000</v>
      </c>
      <c r="D23" s="11">
        <f>VLOOKUP(TBLYESKOREA[NAMA BAHAN],[2]!TBLREKAPBAHAN[[NAMA BAHAN]:[MODAL SATUAN]],3,FALSE)</f>
        <v>10</v>
      </c>
      <c r="E23" s="12">
        <f>VLOOKUP(TBLYESKOREA[NAMA BAHAN],[2]!TBLREKAPBAHAN[[NAMA BAHAN]:[MODAL SATUAN]],4,FALSE)</f>
        <v>1200</v>
      </c>
      <c r="F23" s="12">
        <f>VLOOKUP(TBLYESKOREA[NAMA BAHAN],[2]!TBLREKAPBAHAN[[NAMA BAHAN]:[MODAL SATUAN]],4,FALSE)</f>
        <v>1200</v>
      </c>
      <c r="G23" s="77">
        <v>0.5</v>
      </c>
      <c r="H23" s="78">
        <f t="shared" si="0"/>
        <v>600</v>
      </c>
      <c r="I23" s="77">
        <v>0.5</v>
      </c>
      <c r="J23" s="78">
        <f t="shared" si="1"/>
        <v>600</v>
      </c>
      <c r="K23" s="77">
        <v>0.5</v>
      </c>
      <c r="L23" s="78">
        <f t="shared" si="2"/>
        <v>600</v>
      </c>
    </row>
    <row r="24" spans="1:12" x14ac:dyDescent="0.25">
      <c r="A24" s="122">
        <v>23</v>
      </c>
      <c r="B24" s="54" t="s">
        <v>155</v>
      </c>
      <c r="C24" s="11">
        <f>VLOOKUP(TBLYESKOREA[NAMA BAHAN],[2]!TBLREKAPBAHAN[[NAMA BAHAN]:[MODAL SATUAN]],2,FALSE)</f>
        <v>17000</v>
      </c>
      <c r="D24" s="11">
        <f>VLOOKUP(TBLYESKOREA[NAMA BAHAN],[2]!TBLREKAPBAHAN[[NAMA BAHAN]:[MODAL SATUAN]],3,FALSE)</f>
        <v>19000</v>
      </c>
      <c r="E24" s="12">
        <f>VLOOKUP(TBLYESKOREA[NAMA BAHAN],[2]!TBLREKAPBAHAN[[NAMA BAHAN]:[MODAL SATUAN]],4,FALSE)</f>
        <v>0.89473684210526316</v>
      </c>
      <c r="F24" s="12">
        <f>VLOOKUP(TBLYESKOREA[NAMA BAHAN],[2]!TBLREKAPBAHAN[[NAMA BAHAN]:[MODAL SATUAN]],4,FALSE)</f>
        <v>0.89473684210526316</v>
      </c>
      <c r="G24" s="77">
        <v>60</v>
      </c>
      <c r="H24" s="78">
        <f t="shared" si="0"/>
        <v>53.684210526315788</v>
      </c>
      <c r="I24" s="77">
        <v>60</v>
      </c>
      <c r="J24" s="78">
        <f t="shared" si="1"/>
        <v>53.684210526315788</v>
      </c>
      <c r="K24" s="77">
        <v>60</v>
      </c>
      <c r="L24" s="78">
        <f t="shared" si="2"/>
        <v>53.684210526315788</v>
      </c>
    </row>
    <row r="25" spans="1:12" x14ac:dyDescent="0.25">
      <c r="A25" s="122">
        <v>24</v>
      </c>
      <c r="B25" s="10" t="s">
        <v>55</v>
      </c>
      <c r="C25" s="11">
        <f>VLOOKUP(TBLYESKOREA[NAMA BAHAN],[2]!TBLREKAPBAHAN[[NAMA BAHAN]:[MODAL SATUAN]],2,FALSE)</f>
        <v>23000</v>
      </c>
      <c r="D25" s="11">
        <f>VLOOKUP(TBLYESKOREA[NAMA BAHAN],[2]!TBLREKAPBAHAN[[NAMA BAHAN]:[MODAL SATUAN]],3,FALSE)</f>
        <v>3000</v>
      </c>
      <c r="E25" s="12">
        <f>VLOOKUP(TBLYESKOREA[NAMA BAHAN],[2]!TBLREKAPBAHAN[[NAMA BAHAN]:[MODAL SATUAN]],4,FALSE)</f>
        <v>7.666666666666667</v>
      </c>
      <c r="F25" s="12">
        <f>VLOOKUP(TBLYESKOREA[NAMA BAHAN],[2]!TBLREKAPBAHAN[[NAMA BAHAN]:[MODAL SATUAN]],4,FALSE)</f>
        <v>7.666666666666667</v>
      </c>
      <c r="G25" s="77">
        <v>50</v>
      </c>
      <c r="H25" s="78">
        <f t="shared" si="0"/>
        <v>383.33333333333337</v>
      </c>
      <c r="I25" s="77">
        <v>50</v>
      </c>
      <c r="J25" s="78">
        <f t="shared" si="1"/>
        <v>383.33333333333337</v>
      </c>
      <c r="K25" s="77">
        <v>50</v>
      </c>
      <c r="L25" s="78">
        <f t="shared" si="2"/>
        <v>383.33333333333337</v>
      </c>
    </row>
    <row r="26" spans="1:12" x14ac:dyDescent="0.25">
      <c r="A26" s="122">
        <v>25</v>
      </c>
      <c r="B26" s="2" t="s">
        <v>183</v>
      </c>
      <c r="C26" s="11">
        <f>VLOOKUP(TBLYESKOREA[NAMA BAHAN],[2]!TBLREKAPBAHAN[[NAMA BAHAN]:[MODAL SATUAN]],2,FALSE)</f>
        <v>10000</v>
      </c>
      <c r="D26" s="11">
        <f>VLOOKUP(TBLYESKOREA[NAMA BAHAN],[2]!TBLREKAPBAHAN[[NAMA BAHAN]:[MODAL SATUAN]],3,FALSE)</f>
        <v>50</v>
      </c>
      <c r="E26" s="12">
        <f>VLOOKUP(TBLYESKOREA[NAMA BAHAN],[2]!TBLREKAPBAHAN[[NAMA BAHAN]:[MODAL SATUAN]],4,FALSE)</f>
        <v>200</v>
      </c>
      <c r="F26" s="12">
        <f>VLOOKUP(TBLYESKOREA[NAMA BAHAN],[2]!TBLREKAPBAHAN[[NAMA BAHAN]:[MODAL SATUAN]],4,FALSE)</f>
        <v>200</v>
      </c>
      <c r="G26" s="77">
        <v>1</v>
      </c>
      <c r="H26" s="78">
        <f t="shared" si="0"/>
        <v>200</v>
      </c>
      <c r="I26" s="77">
        <v>1</v>
      </c>
      <c r="J26" s="78">
        <f t="shared" si="1"/>
        <v>200</v>
      </c>
      <c r="K26" s="77">
        <v>1</v>
      </c>
      <c r="L26" s="78">
        <f t="shared" si="2"/>
        <v>200</v>
      </c>
    </row>
    <row r="27" spans="1:12" x14ac:dyDescent="0.25">
      <c r="A27" s="122">
        <v>26</v>
      </c>
      <c r="B27" s="10" t="s">
        <v>88</v>
      </c>
      <c r="C27" s="11">
        <f>VLOOKUP(TBLYESKOREA[NAMA BAHAN],[2]!TBLREKAPBAHAN[[NAMA BAHAN]:[MODAL SATUAN]],2,FALSE)</f>
        <v>2000</v>
      </c>
      <c r="D27" s="11">
        <f>VLOOKUP(TBLYESKOREA[NAMA BAHAN],[2]!TBLREKAPBAHAN[[NAMA BAHAN]:[MODAL SATUAN]],3,FALSE)</f>
        <v>1</v>
      </c>
      <c r="E27" s="12">
        <f>VLOOKUP(TBLYESKOREA[NAMA BAHAN],[2]!TBLREKAPBAHAN[[NAMA BAHAN]:[MODAL SATUAN]],4,FALSE)</f>
        <v>2000</v>
      </c>
      <c r="F27" s="12">
        <f>VLOOKUP(TBLYESKOREA[NAMA BAHAN],[2]!TBLREKAPBAHAN[[NAMA BAHAN]:[MODAL SATUAN]],4,FALSE)</f>
        <v>2000</v>
      </c>
      <c r="G27" s="77">
        <v>1</v>
      </c>
      <c r="H27" s="78">
        <f t="shared" si="0"/>
        <v>2000</v>
      </c>
      <c r="I27" s="77">
        <v>1</v>
      </c>
      <c r="J27" s="78">
        <f t="shared" si="1"/>
        <v>2000</v>
      </c>
      <c r="K27" s="77">
        <v>1</v>
      </c>
      <c r="L27" s="78">
        <f t="shared" si="2"/>
        <v>2000</v>
      </c>
    </row>
    <row r="28" spans="1:12" x14ac:dyDescent="0.25">
      <c r="A28" s="122">
        <v>27</v>
      </c>
      <c r="B28" s="10" t="s">
        <v>85</v>
      </c>
      <c r="C28" s="11">
        <f>VLOOKUP(TBLYESKOREA[NAMA BAHAN],[2]!TBLREKAPBAHAN[[NAMA BAHAN]:[MODAL SATUAN]],2,FALSE)</f>
        <v>37500</v>
      </c>
      <c r="D28" s="11">
        <f>VLOOKUP(TBLYESKOREA[NAMA BAHAN],[2]!TBLREKAPBAHAN[[NAMA BAHAN]:[MODAL SATUAN]],3,FALSE)</f>
        <v>300</v>
      </c>
      <c r="E28" s="12">
        <f>VLOOKUP(TBLYESKOREA[NAMA BAHAN],[2]!TBLREKAPBAHAN[[NAMA BAHAN]:[MODAL SATUAN]],4,FALSE)</f>
        <v>125</v>
      </c>
      <c r="F28" s="12">
        <f>VLOOKUP(TBLYESKOREA[NAMA BAHAN],[2]!TBLREKAPBAHAN[[NAMA BAHAN]:[MODAL SATUAN]],4,FALSE)</f>
        <v>125</v>
      </c>
      <c r="G28" s="77">
        <v>1</v>
      </c>
      <c r="H28" s="78">
        <f>F28*G28</f>
        <v>125</v>
      </c>
      <c r="I28" s="77">
        <v>1</v>
      </c>
      <c r="J28" s="78">
        <f t="shared" si="1"/>
        <v>125</v>
      </c>
      <c r="K28" s="77">
        <v>1</v>
      </c>
      <c r="L28" s="78">
        <f t="shared" si="2"/>
        <v>125</v>
      </c>
    </row>
    <row r="29" spans="1:12" x14ac:dyDescent="0.25">
      <c r="A29" s="122">
        <v>28</v>
      </c>
      <c r="B29" s="10" t="s">
        <v>87</v>
      </c>
      <c r="C29" s="11">
        <f>VLOOKUP(TBLYESKOREA[NAMA BAHAN],[2]!TBLREKAPBAHAN[[NAMA BAHAN]:[MODAL SATUAN]],2,FALSE)</f>
        <v>1000</v>
      </c>
      <c r="D29" s="11">
        <f>VLOOKUP(TBLYESKOREA[NAMA BAHAN],[2]!TBLREKAPBAHAN[[NAMA BAHAN]:[MODAL SATUAN]],3,FALSE)</f>
        <v>2</v>
      </c>
      <c r="E29" s="12">
        <f>VLOOKUP(TBLYESKOREA[NAMA BAHAN],[2]!TBLREKAPBAHAN[[NAMA BAHAN]:[MODAL SATUAN]],4,FALSE)</f>
        <v>500</v>
      </c>
      <c r="F29" s="12">
        <f>VLOOKUP(TBLYESKOREA[NAMA BAHAN],[2]!TBLREKAPBAHAN[[NAMA BAHAN]:[MODAL SATUAN]],4,FALSE)</f>
        <v>500</v>
      </c>
      <c r="G29" s="77">
        <v>1</v>
      </c>
      <c r="H29" s="78">
        <f t="shared" si="0"/>
        <v>500</v>
      </c>
      <c r="I29" s="77">
        <v>1</v>
      </c>
      <c r="J29" s="78">
        <f t="shared" si="1"/>
        <v>500</v>
      </c>
      <c r="K29" s="77">
        <v>1</v>
      </c>
      <c r="L29" s="78">
        <f t="shared" si="2"/>
        <v>500</v>
      </c>
    </row>
    <row r="30" spans="1:12" x14ac:dyDescent="0.25">
      <c r="A30" s="148"/>
      <c r="B30" s="148"/>
      <c r="C30" s="148"/>
      <c r="D30" s="148"/>
      <c r="E30" s="148"/>
      <c r="F30" s="148"/>
      <c r="G30" s="83"/>
      <c r="H30" s="84">
        <f>SUM(H2:H29)</f>
        <v>34905.888357256779</v>
      </c>
      <c r="I30" s="83"/>
      <c r="J30" s="84">
        <f>SUM(J2:J29)</f>
        <v>35468.388357256779</v>
      </c>
      <c r="K30" s="83"/>
      <c r="L30" s="84">
        <f>SUM(L2:L29)</f>
        <v>34905.888357256779</v>
      </c>
    </row>
    <row r="32" spans="1:12" s="17" customFormat="1" ht="15.75" customHeight="1" x14ac:dyDescent="0.25">
      <c r="G32" s="82"/>
      <c r="I32" s="82"/>
      <c r="K32" s="82"/>
    </row>
  </sheetData>
  <mergeCells count="1">
    <mergeCell ref="A30:F30"/>
  </mergeCells>
  <pageMargins left="0.70866141732283472" right="0.70866141732283472" top="0.74803149606299213" bottom="0.74803149606299213" header="0.31496062992125984" footer="0.31496062992125984"/>
  <pageSetup paperSize="5" scale="80" fitToWidth="0" fitToHeight="0"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8" sqref="F28"/>
    </sheetView>
  </sheetViews>
  <sheetFormatPr defaultRowHeight="15" x14ac:dyDescent="0.25"/>
  <cols>
    <col min="1" max="1" width="15.140625" style="9" customWidth="1"/>
    <col min="2" max="2" width="35" style="9" customWidth="1"/>
    <col min="3" max="3" width="15.7109375" style="1" customWidth="1"/>
    <col min="4" max="4" width="12.42578125" style="1" customWidth="1"/>
    <col min="5" max="5" width="23" style="1" customWidth="1"/>
    <col min="6" max="6" width="17.5703125" style="1" customWidth="1"/>
    <col min="7" max="7" width="7.7109375" style="1" customWidth="1"/>
    <col min="8" max="8" width="53.7109375" style="1" customWidth="1"/>
    <col min="9" max="9" width="8.140625" style="1" customWidth="1"/>
    <col min="10" max="10" width="51.85546875" style="1" customWidth="1"/>
    <col min="11" max="11" width="8.140625" style="1" customWidth="1"/>
    <col min="12" max="12" width="36.140625" style="1" customWidth="1"/>
    <col min="13" max="16384" width="9.140625" style="9"/>
  </cols>
  <sheetData>
    <row r="1" spans="1:12" s="56" customFormat="1" ht="64.5" customHeight="1" x14ac:dyDescent="0.25">
      <c r="A1" s="53" t="s">
        <v>90</v>
      </c>
      <c r="B1" s="54" t="s">
        <v>0</v>
      </c>
      <c r="C1" s="53" t="s">
        <v>4</v>
      </c>
      <c r="D1" s="53" t="s">
        <v>3</v>
      </c>
      <c r="E1" s="53" t="s">
        <v>1</v>
      </c>
      <c r="F1" s="53" t="s">
        <v>2</v>
      </c>
      <c r="G1" s="53" t="s">
        <v>5</v>
      </c>
      <c r="H1" s="53" t="s">
        <v>43</v>
      </c>
      <c r="I1" s="53" t="s">
        <v>146</v>
      </c>
      <c r="J1" s="53" t="s">
        <v>44</v>
      </c>
      <c r="K1" s="53" t="s">
        <v>147</v>
      </c>
      <c r="L1" s="53" t="s">
        <v>45</v>
      </c>
    </row>
    <row r="2" spans="1:12" x14ac:dyDescent="0.25">
      <c r="A2" s="123">
        <v>1</v>
      </c>
      <c r="B2" s="10" t="s">
        <v>71</v>
      </c>
      <c r="C2" s="11">
        <f>VLOOKUP(TBLYUHUKOREA[NAMA BAHAN],[2]!TBLREKAPBAHAN[[NAMA BAHAN]:[MODAL SATUAN]],2,FALSE)</f>
        <v>12000</v>
      </c>
      <c r="D2" s="11">
        <f>VLOOKUP(TBLYUHUKOREA[NAMA BAHAN],[2]!TBLREKAPBAHAN[[NAMA BAHAN]:[MODAL SATUAN]],3,FALSE)</f>
        <v>250</v>
      </c>
      <c r="E2" s="12">
        <f>VLOOKUP(TBLYUHUKOREA[NAMA BAHAN],[2]!TBLREKAPBAHAN[[NAMA BAHAN]:[MODAL SATUAN]],4,FALSE)</f>
        <v>48</v>
      </c>
      <c r="F2" s="12">
        <f>VLOOKUP(TBLYUHUKOREA[NAMA BAHAN],[2]!TBLREKAPBAHAN[[NAMA BAHAN]:[MODAL SATUAN]],4,FALSE)</f>
        <v>48</v>
      </c>
      <c r="G2" s="85">
        <v>70</v>
      </c>
      <c r="H2" s="86">
        <f>F2*G2</f>
        <v>3360</v>
      </c>
      <c r="I2" s="85">
        <v>70</v>
      </c>
      <c r="J2" s="86">
        <f>F2*I2</f>
        <v>3360</v>
      </c>
      <c r="K2" s="85">
        <v>70</v>
      </c>
      <c r="L2" s="86">
        <f>F2*K2</f>
        <v>3360</v>
      </c>
    </row>
    <row r="3" spans="1:12" x14ac:dyDescent="0.25">
      <c r="A3" s="123">
        <v>2</v>
      </c>
      <c r="B3" s="10" t="s">
        <v>74</v>
      </c>
      <c r="C3" s="11">
        <f>VLOOKUP(TBLYUHUKOREA[NAMA BAHAN],[2]!TBLREKAPBAHAN[[NAMA BAHAN]:[MODAL SATUAN]],2,FALSE)</f>
        <v>7000</v>
      </c>
      <c r="D3" s="11">
        <f>VLOOKUP(TBLYUHUKOREA[NAMA BAHAN],[2]!TBLREKAPBAHAN[[NAMA BAHAN]:[MODAL SATUAN]],3,FALSE)</f>
        <v>24</v>
      </c>
      <c r="E3" s="12">
        <f>VLOOKUP(TBLYUHUKOREA[NAMA BAHAN],[2]!TBLREKAPBAHAN[[NAMA BAHAN]:[MODAL SATUAN]],4,FALSE)</f>
        <v>291.66666666666669</v>
      </c>
      <c r="F3" s="12">
        <f>VLOOKUP(TBLYUHUKOREA[NAMA BAHAN],[2]!TBLREKAPBAHAN[[NAMA BAHAN]:[MODAL SATUAN]],4,FALSE)</f>
        <v>291.66666666666669</v>
      </c>
      <c r="G3" s="85">
        <v>3</v>
      </c>
      <c r="H3" s="86">
        <f>F3*G3</f>
        <v>875</v>
      </c>
      <c r="I3" s="85">
        <v>3</v>
      </c>
      <c r="J3" s="86">
        <f>F3*I3</f>
        <v>875</v>
      </c>
      <c r="K3" s="85">
        <v>3</v>
      </c>
      <c r="L3" s="86">
        <f>F3*K3</f>
        <v>875</v>
      </c>
    </row>
    <row r="4" spans="1:12" x14ac:dyDescent="0.25">
      <c r="A4" s="123">
        <v>3</v>
      </c>
      <c r="B4" s="10" t="s">
        <v>28</v>
      </c>
      <c r="C4" s="11">
        <f>VLOOKUP(TBLYUHUKOREA[NAMA BAHAN],[2]!TBLREKAPBAHAN[[NAMA BAHAN]:[MODAL SATUAN]],2,FALSE)</f>
        <v>8000</v>
      </c>
      <c r="D4" s="11">
        <f>VLOOKUP(TBLYUHUKOREA[NAMA BAHAN],[2]!TBLREKAPBAHAN[[NAMA BAHAN]:[MODAL SATUAN]],3,FALSE)</f>
        <v>24</v>
      </c>
      <c r="E4" s="12">
        <f>VLOOKUP(TBLYUHUKOREA[NAMA BAHAN],[2]!TBLREKAPBAHAN[[NAMA BAHAN]:[MODAL SATUAN]],4,FALSE)</f>
        <v>333.33333333333331</v>
      </c>
      <c r="F4" s="12">
        <f>VLOOKUP(TBLYUHUKOREA[NAMA BAHAN],[2]!TBLREKAPBAHAN[[NAMA BAHAN]:[MODAL SATUAN]],4,FALSE)</f>
        <v>333.33333333333331</v>
      </c>
      <c r="G4" s="85">
        <v>3</v>
      </c>
      <c r="H4" s="86">
        <f t="shared" ref="H4:H29" si="0">F4*G4</f>
        <v>1000</v>
      </c>
      <c r="I4" s="85">
        <v>3</v>
      </c>
      <c r="J4" s="86">
        <f t="shared" ref="J4:J29" si="1">F4*I4</f>
        <v>1000</v>
      </c>
      <c r="K4" s="85">
        <v>3</v>
      </c>
      <c r="L4" s="86">
        <f t="shared" ref="L4:L29" si="2">F4*K4</f>
        <v>1000</v>
      </c>
    </row>
    <row r="5" spans="1:12" x14ac:dyDescent="0.25">
      <c r="A5" s="123">
        <v>4</v>
      </c>
      <c r="B5" s="10" t="s">
        <v>190</v>
      </c>
      <c r="C5" s="11">
        <f>VLOOKUP(TBLYUHUKOREA[NAMA BAHAN],[2]!TBLREKAPBAHAN[[NAMA BAHAN]:[MODAL SATUAN]],2,FALSE)</f>
        <v>90000</v>
      </c>
      <c r="D5" s="11">
        <f>VLOOKUP(TBLYUHUKOREA[NAMA BAHAN],[2]!TBLREKAPBAHAN[[NAMA BAHAN]:[MODAL SATUAN]],3,FALSE)</f>
        <v>500</v>
      </c>
      <c r="E5" s="12">
        <f>VLOOKUP(TBLYUHUKOREA[NAMA BAHAN],[2]!TBLREKAPBAHAN[[NAMA BAHAN]:[MODAL SATUAN]],4,FALSE)</f>
        <v>180</v>
      </c>
      <c r="F5" s="12">
        <f>VLOOKUP(TBLYUHUKOREA[NAMA BAHAN],[2]!TBLREKAPBAHAN[[NAMA BAHAN]:[MODAL SATUAN]],4,FALSE)</f>
        <v>180</v>
      </c>
      <c r="G5" s="85">
        <v>96</v>
      </c>
      <c r="H5" s="86">
        <f t="shared" si="0"/>
        <v>17280</v>
      </c>
      <c r="I5" s="85">
        <v>96</v>
      </c>
      <c r="J5" s="86">
        <f t="shared" si="1"/>
        <v>17280</v>
      </c>
      <c r="K5" s="85">
        <v>96</v>
      </c>
      <c r="L5" s="86">
        <f t="shared" si="2"/>
        <v>17280</v>
      </c>
    </row>
    <row r="6" spans="1:12" x14ac:dyDescent="0.25">
      <c r="A6" s="123">
        <v>5</v>
      </c>
      <c r="B6" s="10" t="s">
        <v>57</v>
      </c>
      <c r="C6" s="11">
        <f>VLOOKUP(TBLYUHUKOREA[NAMA BAHAN],[2]!TBLREKAPBAHAN[[NAMA BAHAN]:[MODAL SATUAN]],2,FALSE)</f>
        <v>35000</v>
      </c>
      <c r="D6" s="11">
        <f>VLOOKUP(TBLYUHUKOREA[NAMA BAHAN],[2]!TBLREKAPBAHAN[[NAMA BAHAN]:[MODAL SATUAN]],3,FALSE)</f>
        <v>38</v>
      </c>
      <c r="E6" s="12">
        <f>VLOOKUP(TBLYUHUKOREA[NAMA BAHAN],[2]!TBLREKAPBAHAN[[NAMA BAHAN]:[MODAL SATUAN]],4,FALSE)</f>
        <v>921.0526315789474</v>
      </c>
      <c r="F6" s="12">
        <f>VLOOKUP(TBLYUHUKOREA[NAMA BAHAN],[2]!TBLREKAPBAHAN[[NAMA BAHAN]:[MODAL SATUAN]],4,FALSE)</f>
        <v>921.0526315789474</v>
      </c>
      <c r="G6" s="85">
        <v>2</v>
      </c>
      <c r="H6" s="86">
        <f t="shared" si="0"/>
        <v>1842.1052631578948</v>
      </c>
      <c r="I6" s="85">
        <v>2</v>
      </c>
      <c r="J6" s="86">
        <f t="shared" si="1"/>
        <v>1842.1052631578948</v>
      </c>
      <c r="K6" s="85">
        <v>2</v>
      </c>
      <c r="L6" s="86">
        <f t="shared" si="2"/>
        <v>1842.1052631578948</v>
      </c>
    </row>
    <row r="7" spans="1:12" x14ac:dyDescent="0.25">
      <c r="A7" s="123">
        <v>6</v>
      </c>
      <c r="B7" s="10" t="s">
        <v>58</v>
      </c>
      <c r="C7" s="11">
        <f>VLOOKUP(TBLYUHUKOREA[NAMA BAHAN],[2]!TBLREKAPBAHAN[[NAMA BAHAN]:[MODAL SATUAN]],2,FALSE)</f>
        <v>45000</v>
      </c>
      <c r="D7" s="11">
        <f>VLOOKUP(TBLYUHUKOREA[NAMA BAHAN],[2]!TBLREKAPBAHAN[[NAMA BAHAN]:[MODAL SATUAN]],3,FALSE)</f>
        <v>400</v>
      </c>
      <c r="E7" s="12">
        <f>VLOOKUP(TBLYUHUKOREA[NAMA BAHAN],[2]!TBLREKAPBAHAN[[NAMA BAHAN]:[MODAL SATUAN]],4,FALSE)</f>
        <v>112.5</v>
      </c>
      <c r="F7" s="12">
        <f>VLOOKUP(TBLYUHUKOREA[NAMA BAHAN],[2]!TBLREKAPBAHAN[[NAMA BAHAN]:[MODAL SATUAN]],4,FALSE)</f>
        <v>112.5</v>
      </c>
      <c r="G7" s="85">
        <v>20</v>
      </c>
      <c r="H7" s="86">
        <f t="shared" si="0"/>
        <v>2250</v>
      </c>
      <c r="I7" s="85">
        <v>40</v>
      </c>
      <c r="J7" s="86">
        <f t="shared" si="1"/>
        <v>4500</v>
      </c>
      <c r="K7" s="85">
        <v>30</v>
      </c>
      <c r="L7" s="86">
        <f t="shared" si="2"/>
        <v>3375</v>
      </c>
    </row>
    <row r="8" spans="1:12" ht="15.75" x14ac:dyDescent="0.25">
      <c r="A8" s="123">
        <v>7</v>
      </c>
      <c r="B8" s="10" t="s">
        <v>54</v>
      </c>
      <c r="C8" s="11">
        <f>VLOOKUP(TBLYUHUKOREA[NAMA BAHAN],[2]!TBLREKAPBAHAN[[NAMA BAHAN]:[MODAL SATUAN]],2,FALSE)</f>
        <v>35000</v>
      </c>
      <c r="D8" s="11">
        <f>VLOOKUP(TBLYUHUKOREA[NAMA BAHAN],[2]!TBLREKAPBAHAN[[NAMA BAHAN]:[MODAL SATUAN]],3,FALSE)</f>
        <v>1000</v>
      </c>
      <c r="E8" s="12">
        <f>VLOOKUP(TBLYUHUKOREA[NAMA BAHAN],[2]!TBLREKAPBAHAN[[NAMA BAHAN]:[MODAL SATUAN]],4,FALSE)</f>
        <v>35</v>
      </c>
      <c r="F8" s="12">
        <f>VLOOKUP(TBLYUHUKOREA[NAMA BAHAN],[2]!TBLREKAPBAHAN[[NAMA BAHAN]:[MODAL SATUAN]],4,FALSE)</f>
        <v>35</v>
      </c>
      <c r="G8" s="124">
        <v>22</v>
      </c>
      <c r="H8" s="86">
        <f t="shared" si="0"/>
        <v>770</v>
      </c>
      <c r="I8" s="124">
        <v>22</v>
      </c>
      <c r="J8" s="86">
        <f t="shared" si="1"/>
        <v>770</v>
      </c>
      <c r="K8" s="124">
        <v>22</v>
      </c>
      <c r="L8" s="86">
        <f t="shared" si="2"/>
        <v>770</v>
      </c>
    </row>
    <row r="9" spans="1:12" ht="15.75" x14ac:dyDescent="0.25">
      <c r="A9" s="123">
        <v>8</v>
      </c>
      <c r="B9" s="10" t="s">
        <v>75</v>
      </c>
      <c r="C9" s="11">
        <f>VLOOKUP(TBLYUHUKOREA[NAMA BAHAN],[2]!TBLREKAPBAHAN[[NAMA BAHAN]:[MODAL SATUAN]],2,FALSE)</f>
        <v>18000</v>
      </c>
      <c r="D9" s="11">
        <f>VLOOKUP(TBLYUHUKOREA[NAMA BAHAN],[2]!TBLREKAPBAHAN[[NAMA BAHAN]:[MODAL SATUAN]],3,FALSE)</f>
        <v>1000</v>
      </c>
      <c r="E9" s="12">
        <f>VLOOKUP(TBLYUHUKOREA[NAMA BAHAN],[2]!TBLREKAPBAHAN[[NAMA BAHAN]:[MODAL SATUAN]],4,FALSE)</f>
        <v>18</v>
      </c>
      <c r="F9" s="12">
        <f>VLOOKUP(TBLYUHUKOREA[NAMA BAHAN],[2]!TBLREKAPBAHAN[[NAMA BAHAN]:[MODAL SATUAN]],4,FALSE)</f>
        <v>18</v>
      </c>
      <c r="G9" s="124">
        <v>18</v>
      </c>
      <c r="H9" s="86">
        <f t="shared" si="0"/>
        <v>324</v>
      </c>
      <c r="I9" s="124">
        <v>18</v>
      </c>
      <c r="J9" s="86">
        <f t="shared" si="1"/>
        <v>324</v>
      </c>
      <c r="K9" s="124">
        <v>18</v>
      </c>
      <c r="L9" s="86">
        <f t="shared" si="2"/>
        <v>324</v>
      </c>
    </row>
    <row r="10" spans="1:12" ht="15.75" x14ac:dyDescent="0.25">
      <c r="A10" s="123">
        <v>9</v>
      </c>
      <c r="B10" s="10" t="s">
        <v>76</v>
      </c>
      <c r="C10" s="11">
        <f>VLOOKUP(TBLYUHUKOREA[NAMA BAHAN],[2]!TBLREKAPBAHAN[[NAMA BAHAN]:[MODAL SATUAN]],2,FALSE)</f>
        <v>4000</v>
      </c>
      <c r="D10" s="11">
        <f>VLOOKUP(TBLYUHUKOREA[NAMA BAHAN],[2]!TBLREKAPBAHAN[[NAMA BAHAN]:[MODAL SATUAN]],3,FALSE)</f>
        <v>250</v>
      </c>
      <c r="E10" s="12">
        <f>VLOOKUP(TBLYUHUKOREA[NAMA BAHAN],[2]!TBLREKAPBAHAN[[NAMA BAHAN]:[MODAL SATUAN]],4,FALSE)</f>
        <v>16</v>
      </c>
      <c r="F10" s="12">
        <f>VLOOKUP(TBLYUHUKOREA[NAMA BAHAN],[2]!TBLREKAPBAHAN[[NAMA BAHAN]:[MODAL SATUAN]],4,FALSE)</f>
        <v>16</v>
      </c>
      <c r="G10" s="124">
        <v>5</v>
      </c>
      <c r="H10" s="86">
        <f t="shared" si="0"/>
        <v>80</v>
      </c>
      <c r="I10" s="124">
        <v>5</v>
      </c>
      <c r="J10" s="86">
        <f t="shared" si="1"/>
        <v>80</v>
      </c>
      <c r="K10" s="124">
        <v>5</v>
      </c>
      <c r="L10" s="86">
        <f t="shared" si="2"/>
        <v>80</v>
      </c>
    </row>
    <row r="11" spans="1:12" ht="15.75" x14ac:dyDescent="0.25">
      <c r="A11" s="123">
        <v>10</v>
      </c>
      <c r="B11" s="10" t="s">
        <v>77</v>
      </c>
      <c r="C11" s="11">
        <f>VLOOKUP(TBLYUHUKOREA[NAMA BAHAN],[2]!TBLREKAPBAHAN[[NAMA BAHAN]:[MODAL SATUAN]],2,FALSE)</f>
        <v>7000</v>
      </c>
      <c r="D11" s="11">
        <f>VLOOKUP(TBLYUHUKOREA[NAMA BAHAN],[2]!TBLREKAPBAHAN[[NAMA BAHAN]:[MODAL SATUAN]],3,FALSE)</f>
        <v>11</v>
      </c>
      <c r="E11" s="12">
        <f>VLOOKUP(TBLYUHUKOREA[NAMA BAHAN],[2]!TBLREKAPBAHAN[[NAMA BAHAN]:[MODAL SATUAN]],4,FALSE)</f>
        <v>636.36363636363637</v>
      </c>
      <c r="F11" s="12">
        <f>VLOOKUP(TBLYUHUKOREA[NAMA BAHAN],[2]!TBLREKAPBAHAN[[NAMA BAHAN]:[MODAL SATUAN]],4,FALSE)</f>
        <v>636.36363636363637</v>
      </c>
      <c r="G11" s="124">
        <v>7</v>
      </c>
      <c r="H11" s="86">
        <f t="shared" si="0"/>
        <v>4454.545454545455</v>
      </c>
      <c r="I11" s="124">
        <v>7</v>
      </c>
      <c r="J11" s="86">
        <f t="shared" si="1"/>
        <v>4454.545454545455</v>
      </c>
      <c r="K11" s="124">
        <v>7</v>
      </c>
      <c r="L11" s="86">
        <f t="shared" si="2"/>
        <v>4454.545454545455</v>
      </c>
    </row>
    <row r="12" spans="1:12" ht="15.75" x14ac:dyDescent="0.25">
      <c r="A12" s="123">
        <v>11</v>
      </c>
      <c r="B12" s="10" t="s">
        <v>78</v>
      </c>
      <c r="C12" s="11">
        <f>VLOOKUP(TBLYUHUKOREA[NAMA BAHAN],[2]!TBLREKAPBAHAN[[NAMA BAHAN]:[MODAL SATUAN]],2,FALSE)</f>
        <v>18000</v>
      </c>
      <c r="D12" s="11">
        <f>VLOOKUP(TBLYUHUKOREA[NAMA BAHAN],[2]!TBLREKAPBAHAN[[NAMA BAHAN]:[MODAL SATUAN]],3,FALSE)</f>
        <v>250</v>
      </c>
      <c r="E12" s="12">
        <f>VLOOKUP(TBLYUHUKOREA[NAMA BAHAN],[2]!TBLREKAPBAHAN[[NAMA BAHAN]:[MODAL SATUAN]],4,FALSE)</f>
        <v>72</v>
      </c>
      <c r="F12" s="12">
        <f>VLOOKUP(TBLYUHUKOREA[NAMA BAHAN],[2]!TBLREKAPBAHAN[[NAMA BAHAN]:[MODAL SATUAN]],4,FALSE)</f>
        <v>72</v>
      </c>
      <c r="G12" s="124">
        <v>20</v>
      </c>
      <c r="H12" s="86">
        <f t="shared" si="0"/>
        <v>1440</v>
      </c>
      <c r="I12" s="124">
        <v>20</v>
      </c>
      <c r="J12" s="86">
        <f t="shared" si="1"/>
        <v>1440</v>
      </c>
      <c r="K12" s="124">
        <v>20</v>
      </c>
      <c r="L12" s="86">
        <f t="shared" si="2"/>
        <v>1440</v>
      </c>
    </row>
    <row r="13" spans="1:12" ht="15.75" x14ac:dyDescent="0.25">
      <c r="A13" s="123">
        <v>12</v>
      </c>
      <c r="B13" s="10" t="s">
        <v>79</v>
      </c>
      <c r="C13" s="11">
        <f>VLOOKUP(TBLYUHUKOREA[NAMA BAHAN],[2]!TBLREKAPBAHAN[[NAMA BAHAN]:[MODAL SATUAN]],2,FALSE)</f>
        <v>14000</v>
      </c>
      <c r="D13" s="11">
        <f>VLOOKUP(TBLYUHUKOREA[NAMA BAHAN],[2]!TBLREKAPBAHAN[[NAMA BAHAN]:[MODAL SATUAN]],3,FALSE)</f>
        <v>1000</v>
      </c>
      <c r="E13" s="12">
        <f>VLOOKUP(TBLYUHUKOREA[NAMA BAHAN],[2]!TBLREKAPBAHAN[[NAMA BAHAN]:[MODAL SATUAN]],4,FALSE)</f>
        <v>14</v>
      </c>
      <c r="F13" s="12">
        <f>VLOOKUP(TBLYUHUKOREA[NAMA BAHAN],[2]!TBLREKAPBAHAN[[NAMA BAHAN]:[MODAL SATUAN]],4,FALSE)</f>
        <v>14</v>
      </c>
      <c r="G13" s="124">
        <v>40</v>
      </c>
      <c r="H13" s="86">
        <f t="shared" si="0"/>
        <v>560</v>
      </c>
      <c r="I13" s="124">
        <v>40</v>
      </c>
      <c r="J13" s="86">
        <f t="shared" si="1"/>
        <v>560</v>
      </c>
      <c r="K13" s="124">
        <v>40</v>
      </c>
      <c r="L13" s="86">
        <f t="shared" si="2"/>
        <v>560</v>
      </c>
    </row>
    <row r="14" spans="1:12" ht="15.75" x14ac:dyDescent="0.25">
      <c r="A14" s="123">
        <v>13</v>
      </c>
      <c r="B14" s="10" t="s">
        <v>80</v>
      </c>
      <c r="C14" s="11">
        <f>VLOOKUP(TBLYUHUKOREA[NAMA BAHAN],[2]!TBLREKAPBAHAN[[NAMA BAHAN]:[MODAL SATUAN]],2,FALSE)</f>
        <v>14000</v>
      </c>
      <c r="D14" s="11">
        <f>VLOOKUP(TBLYUHUKOREA[NAMA BAHAN],[2]!TBLREKAPBAHAN[[NAMA BAHAN]:[MODAL SATUAN]],3,FALSE)</f>
        <v>1000</v>
      </c>
      <c r="E14" s="12">
        <f>VLOOKUP(TBLYUHUKOREA[NAMA BAHAN],[2]!TBLREKAPBAHAN[[NAMA BAHAN]:[MODAL SATUAN]],4,FALSE)</f>
        <v>14</v>
      </c>
      <c r="F14" s="12">
        <f>VLOOKUP(TBLYUHUKOREA[NAMA BAHAN],[2]!TBLREKAPBAHAN[[NAMA BAHAN]:[MODAL SATUAN]],4,FALSE)</f>
        <v>14</v>
      </c>
      <c r="G14" s="124">
        <v>80</v>
      </c>
      <c r="H14" s="86">
        <f t="shared" si="0"/>
        <v>1120</v>
      </c>
      <c r="I14" s="124">
        <v>80</v>
      </c>
      <c r="J14" s="86">
        <f t="shared" si="1"/>
        <v>1120</v>
      </c>
      <c r="K14" s="124">
        <v>80</v>
      </c>
      <c r="L14" s="86">
        <f t="shared" si="2"/>
        <v>1120</v>
      </c>
    </row>
    <row r="15" spans="1:12" ht="15.75" x14ac:dyDescent="0.25">
      <c r="A15" s="123">
        <v>14</v>
      </c>
      <c r="B15" s="10" t="s">
        <v>81</v>
      </c>
      <c r="C15" s="11">
        <f>VLOOKUP(TBLYUHUKOREA[NAMA BAHAN],[2]!TBLREKAPBAHAN[[NAMA BAHAN]:[MODAL SATUAN]],2,FALSE)</f>
        <v>30000</v>
      </c>
      <c r="D15" s="11">
        <f>VLOOKUP(TBLYUHUKOREA[NAMA BAHAN],[2]!TBLREKAPBAHAN[[NAMA BAHAN]:[MODAL SATUAN]],3,FALSE)</f>
        <v>30</v>
      </c>
      <c r="E15" s="12">
        <f>VLOOKUP(TBLYUHUKOREA[NAMA BAHAN],[2]!TBLREKAPBAHAN[[NAMA BAHAN]:[MODAL SATUAN]],4,FALSE)</f>
        <v>1000</v>
      </c>
      <c r="F15" s="12">
        <f>VLOOKUP(TBLYUHUKOREA[NAMA BAHAN],[2]!TBLREKAPBAHAN[[NAMA BAHAN]:[MODAL SATUAN]],4,FALSE)</f>
        <v>1000</v>
      </c>
      <c r="G15" s="124">
        <v>2</v>
      </c>
      <c r="H15" s="86">
        <f t="shared" si="0"/>
        <v>2000</v>
      </c>
      <c r="I15" s="124">
        <v>2</v>
      </c>
      <c r="J15" s="86">
        <f t="shared" si="1"/>
        <v>2000</v>
      </c>
      <c r="K15" s="124">
        <v>2</v>
      </c>
      <c r="L15" s="86">
        <f t="shared" si="2"/>
        <v>2000</v>
      </c>
    </row>
    <row r="16" spans="1:12" ht="15.75" x14ac:dyDescent="0.25">
      <c r="A16" s="123">
        <v>15</v>
      </c>
      <c r="B16" s="10" t="s">
        <v>82</v>
      </c>
      <c r="C16" s="11">
        <f>VLOOKUP(TBLYUHUKOREA[NAMA BAHAN],[2]!TBLREKAPBAHAN[[NAMA BAHAN]:[MODAL SATUAN]],2,FALSE)</f>
        <v>15000</v>
      </c>
      <c r="D16" s="11">
        <f>VLOOKUP(TBLYUHUKOREA[NAMA BAHAN],[2]!TBLREKAPBAHAN[[NAMA BAHAN]:[MODAL SATUAN]],3,FALSE)</f>
        <v>80</v>
      </c>
      <c r="E16" s="12">
        <f>VLOOKUP(TBLYUHUKOREA[NAMA BAHAN],[2]!TBLREKAPBAHAN[[NAMA BAHAN]:[MODAL SATUAN]],4,FALSE)</f>
        <v>187.5</v>
      </c>
      <c r="F16" s="12">
        <f>VLOOKUP(TBLYUHUKOREA[NAMA BAHAN],[2]!TBLREKAPBAHAN[[NAMA BAHAN]:[MODAL SATUAN]],4,FALSE)</f>
        <v>187.5</v>
      </c>
      <c r="G16" s="124">
        <v>0</v>
      </c>
      <c r="H16" s="86">
        <f t="shared" si="0"/>
        <v>0</v>
      </c>
      <c r="I16" s="124">
        <v>0</v>
      </c>
      <c r="J16" s="86">
        <f t="shared" si="1"/>
        <v>0</v>
      </c>
      <c r="K16" s="124">
        <v>0</v>
      </c>
      <c r="L16" s="86">
        <f t="shared" si="2"/>
        <v>0</v>
      </c>
    </row>
    <row r="17" spans="1:12" ht="15.75" x14ac:dyDescent="0.25">
      <c r="A17" s="123">
        <v>16</v>
      </c>
      <c r="B17" s="10" t="s">
        <v>83</v>
      </c>
      <c r="C17" s="11">
        <f>VLOOKUP(TBLYUHUKOREA[NAMA BAHAN],[2]!TBLREKAPBAHAN[[NAMA BAHAN]:[MODAL SATUAN]],2,FALSE)</f>
        <v>5000</v>
      </c>
      <c r="D17" s="11">
        <f>VLOOKUP(TBLYUHUKOREA[NAMA BAHAN],[2]!TBLREKAPBAHAN[[NAMA BAHAN]:[MODAL SATUAN]],3,FALSE)</f>
        <v>8</v>
      </c>
      <c r="E17" s="12">
        <f>VLOOKUP(TBLYUHUKOREA[NAMA BAHAN],[2]!TBLREKAPBAHAN[[NAMA BAHAN]:[MODAL SATUAN]],4,FALSE)</f>
        <v>625</v>
      </c>
      <c r="F17" s="12">
        <f>VLOOKUP(TBLYUHUKOREA[NAMA BAHAN],[2]!TBLREKAPBAHAN[[NAMA BAHAN]:[MODAL SATUAN]],4,FALSE)</f>
        <v>625</v>
      </c>
      <c r="G17" s="124">
        <v>3</v>
      </c>
      <c r="H17" s="86">
        <f t="shared" si="0"/>
        <v>1875</v>
      </c>
      <c r="I17" s="124">
        <v>3</v>
      </c>
      <c r="J17" s="86">
        <f t="shared" si="1"/>
        <v>1875</v>
      </c>
      <c r="K17" s="124">
        <v>3</v>
      </c>
      <c r="L17" s="86">
        <f t="shared" si="2"/>
        <v>1875</v>
      </c>
    </row>
    <row r="18" spans="1:12" x14ac:dyDescent="0.25">
      <c r="A18" s="123">
        <v>17</v>
      </c>
      <c r="B18" s="10" t="s">
        <v>15</v>
      </c>
      <c r="C18" s="11">
        <f>VLOOKUP(TBLYUHUKOREA[NAMA BAHAN],[2]!TBLREKAPBAHAN[[NAMA BAHAN]:[MODAL SATUAN]],2,FALSE)</f>
        <v>25000</v>
      </c>
      <c r="D18" s="11">
        <f>VLOOKUP(TBLYUHUKOREA[NAMA BAHAN],[2]!TBLREKAPBAHAN[[NAMA BAHAN]:[MODAL SATUAN]],3,FALSE)</f>
        <v>100</v>
      </c>
      <c r="E18" s="12">
        <f>VLOOKUP(TBLYUHUKOREA[NAMA BAHAN],[2]!TBLREKAPBAHAN[[NAMA BAHAN]:[MODAL SATUAN]],4,FALSE)</f>
        <v>250</v>
      </c>
      <c r="F18" s="12">
        <f>VLOOKUP(TBLYUHUKOREA[NAMA BAHAN],[2]!TBLREKAPBAHAN[[NAMA BAHAN]:[MODAL SATUAN]],4,FALSE)</f>
        <v>250</v>
      </c>
      <c r="G18" s="85">
        <v>0</v>
      </c>
      <c r="H18" s="86">
        <f t="shared" si="0"/>
        <v>0</v>
      </c>
      <c r="I18" s="85">
        <v>0</v>
      </c>
      <c r="J18" s="86">
        <f t="shared" si="1"/>
        <v>0</v>
      </c>
      <c r="K18" s="85">
        <v>0</v>
      </c>
      <c r="L18" s="86">
        <f t="shared" si="2"/>
        <v>0</v>
      </c>
    </row>
    <row r="19" spans="1:12" x14ac:dyDescent="0.25">
      <c r="A19" s="123">
        <v>18</v>
      </c>
      <c r="B19" s="10" t="s">
        <v>13</v>
      </c>
      <c r="C19" s="11">
        <f>VLOOKUP(TBLYUHUKOREA[NAMA BAHAN],[2]!TBLREKAPBAHAN[[NAMA BAHAN]:[MODAL SATUAN]],2,FALSE)</f>
        <v>2000</v>
      </c>
      <c r="D19" s="11">
        <f>VLOOKUP(TBLYUHUKOREA[NAMA BAHAN],[2]!TBLREKAPBAHAN[[NAMA BAHAN]:[MODAL SATUAN]],3,FALSE)</f>
        <v>10</v>
      </c>
      <c r="E19" s="12">
        <f>VLOOKUP(TBLYUHUKOREA[NAMA BAHAN],[2]!TBLREKAPBAHAN[[NAMA BAHAN]:[MODAL SATUAN]],4,FALSE)</f>
        <v>200</v>
      </c>
      <c r="F19" s="12">
        <f>VLOOKUP(TBLYUHUKOREA[NAMA BAHAN],[2]!TBLREKAPBAHAN[[NAMA BAHAN]:[MODAL SATUAN]],4,FALSE)</f>
        <v>200</v>
      </c>
      <c r="G19" s="85">
        <v>5</v>
      </c>
      <c r="H19" s="86">
        <f t="shared" si="0"/>
        <v>1000</v>
      </c>
      <c r="I19" s="85">
        <v>5</v>
      </c>
      <c r="J19" s="86">
        <f t="shared" si="1"/>
        <v>1000</v>
      </c>
      <c r="K19" s="85">
        <v>5</v>
      </c>
      <c r="L19" s="86">
        <f t="shared" si="2"/>
        <v>1000</v>
      </c>
    </row>
    <row r="20" spans="1:12" x14ac:dyDescent="0.25">
      <c r="A20" s="123">
        <v>19</v>
      </c>
      <c r="B20" s="10" t="s">
        <v>16</v>
      </c>
      <c r="C20" s="11">
        <f>VLOOKUP(TBLYUHUKOREA[NAMA BAHAN],[2]!TBLREKAPBAHAN[[NAMA BAHAN]:[MODAL SATUAN]],2,FALSE)</f>
        <v>3000</v>
      </c>
      <c r="D20" s="11">
        <f>VLOOKUP(TBLYUHUKOREA[NAMA BAHAN],[2]!TBLREKAPBAHAN[[NAMA BAHAN]:[MODAL SATUAN]],3,FALSE)</f>
        <v>2</v>
      </c>
      <c r="E20" s="12">
        <f>VLOOKUP(TBLYUHUKOREA[NAMA BAHAN],[2]!TBLREKAPBAHAN[[NAMA BAHAN]:[MODAL SATUAN]],4,FALSE)</f>
        <v>1500</v>
      </c>
      <c r="F20" s="12">
        <f>VLOOKUP(TBLYUHUKOREA[NAMA BAHAN],[2]!TBLREKAPBAHAN[[NAMA BAHAN]:[MODAL SATUAN]],4,FALSE)</f>
        <v>1500</v>
      </c>
      <c r="G20" s="85">
        <v>1</v>
      </c>
      <c r="H20" s="86">
        <f t="shared" si="0"/>
        <v>1500</v>
      </c>
      <c r="I20" s="85">
        <v>1</v>
      </c>
      <c r="J20" s="86">
        <f t="shared" si="1"/>
        <v>1500</v>
      </c>
      <c r="K20" s="85">
        <v>1</v>
      </c>
      <c r="L20" s="86">
        <f t="shared" si="2"/>
        <v>1500</v>
      </c>
    </row>
    <row r="21" spans="1:12" x14ac:dyDescent="0.25">
      <c r="A21" s="123">
        <v>20</v>
      </c>
      <c r="B21" s="10" t="s">
        <v>41</v>
      </c>
      <c r="C21" s="11">
        <f>VLOOKUP(TBLYUHUKOREA[NAMA BAHAN],[2]!TBLREKAPBAHAN[[NAMA BAHAN]:[MODAL SATUAN]],2,FALSE)</f>
        <v>9000</v>
      </c>
      <c r="D21" s="11">
        <f>VLOOKUP(TBLYUHUKOREA[NAMA BAHAN],[2]!TBLREKAPBAHAN[[NAMA BAHAN]:[MODAL SATUAN]],3,FALSE)</f>
        <v>10</v>
      </c>
      <c r="E21" s="12">
        <f>VLOOKUP(TBLYUHUKOREA[NAMA BAHAN],[2]!TBLREKAPBAHAN[[NAMA BAHAN]:[MODAL SATUAN]],4,FALSE)</f>
        <v>900</v>
      </c>
      <c r="F21" s="12">
        <f>VLOOKUP(TBLYUHUKOREA[NAMA BAHAN],[2]!TBLREKAPBAHAN[[NAMA BAHAN]:[MODAL SATUAN]],4,FALSE)</f>
        <v>900</v>
      </c>
      <c r="G21" s="85">
        <v>6</v>
      </c>
      <c r="H21" s="86">
        <f t="shared" si="0"/>
        <v>5400</v>
      </c>
      <c r="I21" s="85">
        <v>6</v>
      </c>
      <c r="J21" s="86">
        <f t="shared" si="1"/>
        <v>5400</v>
      </c>
      <c r="K21" s="85">
        <v>6</v>
      </c>
      <c r="L21" s="86">
        <f t="shared" si="2"/>
        <v>5400</v>
      </c>
    </row>
    <row r="22" spans="1:12" x14ac:dyDescent="0.25">
      <c r="A22" s="123">
        <v>21</v>
      </c>
      <c r="B22" s="10" t="s">
        <v>141</v>
      </c>
      <c r="C22" s="11">
        <f>VLOOKUP(TBLYUHUKOREA[NAMA BAHAN],[2]!TBLREKAPBAHAN[[NAMA BAHAN]:[MODAL SATUAN]],2,FALSE)</f>
        <v>10000</v>
      </c>
      <c r="D22" s="11">
        <f>VLOOKUP(TBLYUHUKOREA[NAMA BAHAN],[2]!TBLREKAPBAHAN[[NAMA BAHAN]:[MODAL SATUAN]],3,FALSE)</f>
        <v>100</v>
      </c>
      <c r="E22" s="12">
        <f>VLOOKUP(TBLYUHUKOREA[NAMA BAHAN],[2]!TBLREKAPBAHAN[[NAMA BAHAN]:[MODAL SATUAN]],4,FALSE)</f>
        <v>100</v>
      </c>
      <c r="F22" s="12">
        <f>VLOOKUP(TBLYUHUKOREA[NAMA BAHAN],[2]!TBLREKAPBAHAN[[NAMA BAHAN]:[MODAL SATUAN]],4,FALSE)</f>
        <v>100</v>
      </c>
      <c r="G22" s="85">
        <v>7</v>
      </c>
      <c r="H22" s="86">
        <f t="shared" si="0"/>
        <v>700</v>
      </c>
      <c r="I22" s="85">
        <v>7</v>
      </c>
      <c r="J22" s="86">
        <f t="shared" si="1"/>
        <v>700</v>
      </c>
      <c r="K22" s="85">
        <v>7</v>
      </c>
      <c r="L22" s="86">
        <f t="shared" si="2"/>
        <v>700</v>
      </c>
    </row>
    <row r="23" spans="1:12" x14ac:dyDescent="0.25">
      <c r="A23" s="123">
        <v>22</v>
      </c>
      <c r="B23" s="10" t="s">
        <v>42</v>
      </c>
      <c r="C23" s="11">
        <f>VLOOKUP(TBLYUHUKOREA[NAMA BAHAN],[2]!TBLREKAPBAHAN[[NAMA BAHAN]:[MODAL SATUAN]],2,FALSE)</f>
        <v>12000</v>
      </c>
      <c r="D23" s="11">
        <f>VLOOKUP(TBLYUHUKOREA[NAMA BAHAN],[2]!TBLREKAPBAHAN[[NAMA BAHAN]:[MODAL SATUAN]],3,FALSE)</f>
        <v>10</v>
      </c>
      <c r="E23" s="12">
        <f>VLOOKUP(TBLYUHUKOREA[NAMA BAHAN],[2]!TBLREKAPBAHAN[[NAMA BAHAN]:[MODAL SATUAN]],4,FALSE)</f>
        <v>1200</v>
      </c>
      <c r="F23" s="12">
        <f>VLOOKUP(TBLYUHUKOREA[NAMA BAHAN],[2]!TBLREKAPBAHAN[[NAMA BAHAN]:[MODAL SATUAN]],4,FALSE)</f>
        <v>1200</v>
      </c>
      <c r="G23" s="85">
        <v>0.5</v>
      </c>
      <c r="H23" s="86">
        <f t="shared" si="0"/>
        <v>600</v>
      </c>
      <c r="I23" s="85">
        <v>0.5</v>
      </c>
      <c r="J23" s="86">
        <f t="shared" si="1"/>
        <v>600</v>
      </c>
      <c r="K23" s="85">
        <v>1</v>
      </c>
      <c r="L23" s="86">
        <f t="shared" si="2"/>
        <v>1200</v>
      </c>
    </row>
    <row r="24" spans="1:12" x14ac:dyDescent="0.25">
      <c r="A24" s="123">
        <v>23</v>
      </c>
      <c r="B24" s="54" t="s">
        <v>155</v>
      </c>
      <c r="C24" s="11">
        <f>VLOOKUP(TBLYUHUKOREA[NAMA BAHAN],[2]!TBLREKAPBAHAN[[NAMA BAHAN]:[MODAL SATUAN]],2,FALSE)</f>
        <v>17000</v>
      </c>
      <c r="D24" s="11">
        <f>VLOOKUP(TBLYUHUKOREA[NAMA BAHAN],[2]!TBLREKAPBAHAN[[NAMA BAHAN]:[MODAL SATUAN]],3,FALSE)</f>
        <v>19000</v>
      </c>
      <c r="E24" s="12">
        <f>VLOOKUP(TBLYUHUKOREA[NAMA BAHAN],[2]!TBLREKAPBAHAN[[NAMA BAHAN]:[MODAL SATUAN]],4,FALSE)</f>
        <v>0.89473684210526316</v>
      </c>
      <c r="F24" s="12">
        <f>VLOOKUP(TBLYUHUKOREA[NAMA BAHAN],[2]!TBLREKAPBAHAN[[NAMA BAHAN]:[MODAL SATUAN]],4,FALSE)</f>
        <v>0.89473684210526316</v>
      </c>
      <c r="G24" s="85">
        <v>80</v>
      </c>
      <c r="H24" s="86">
        <f t="shared" si="0"/>
        <v>71.578947368421055</v>
      </c>
      <c r="I24" s="85">
        <v>80</v>
      </c>
      <c r="J24" s="86">
        <f t="shared" si="1"/>
        <v>71.578947368421055</v>
      </c>
      <c r="K24" s="85">
        <v>80</v>
      </c>
      <c r="L24" s="86">
        <f t="shared" si="2"/>
        <v>71.578947368421055</v>
      </c>
    </row>
    <row r="25" spans="1:12" x14ac:dyDescent="0.25">
      <c r="A25" s="123">
        <v>24</v>
      </c>
      <c r="B25" s="10" t="s">
        <v>55</v>
      </c>
      <c r="C25" s="11">
        <f>VLOOKUP(TBLYUHUKOREA[NAMA BAHAN],[2]!TBLREKAPBAHAN[[NAMA BAHAN]:[MODAL SATUAN]],2,FALSE)</f>
        <v>23000</v>
      </c>
      <c r="D25" s="11">
        <f>VLOOKUP(TBLYUHUKOREA[NAMA BAHAN],[2]!TBLREKAPBAHAN[[NAMA BAHAN]:[MODAL SATUAN]],3,FALSE)</f>
        <v>3000</v>
      </c>
      <c r="E25" s="12">
        <f>VLOOKUP(TBLYUHUKOREA[NAMA BAHAN],[2]!TBLREKAPBAHAN[[NAMA BAHAN]:[MODAL SATUAN]],4,FALSE)</f>
        <v>7.666666666666667</v>
      </c>
      <c r="F25" s="12">
        <f>VLOOKUP(TBLYUHUKOREA[NAMA BAHAN],[2]!TBLREKAPBAHAN[[NAMA BAHAN]:[MODAL SATUAN]],4,FALSE)</f>
        <v>7.666666666666667</v>
      </c>
      <c r="G25" s="85">
        <v>80</v>
      </c>
      <c r="H25" s="86">
        <f t="shared" si="0"/>
        <v>613.33333333333337</v>
      </c>
      <c r="I25" s="85">
        <v>80</v>
      </c>
      <c r="J25" s="86">
        <f t="shared" si="1"/>
        <v>613.33333333333337</v>
      </c>
      <c r="K25" s="85">
        <v>80</v>
      </c>
      <c r="L25" s="86">
        <f t="shared" si="2"/>
        <v>613.33333333333337</v>
      </c>
    </row>
    <row r="26" spans="1:12" x14ac:dyDescent="0.25">
      <c r="A26" s="123">
        <v>25</v>
      </c>
      <c r="B26" s="2" t="s">
        <v>183</v>
      </c>
      <c r="C26" s="11">
        <f>VLOOKUP(TBLYUHUKOREA[NAMA BAHAN],[2]!TBLREKAPBAHAN[[NAMA BAHAN]:[MODAL SATUAN]],2,FALSE)</f>
        <v>10000</v>
      </c>
      <c r="D26" s="11">
        <f>VLOOKUP(TBLYUHUKOREA[NAMA BAHAN],[2]!TBLREKAPBAHAN[[NAMA BAHAN]:[MODAL SATUAN]],3,FALSE)</f>
        <v>50</v>
      </c>
      <c r="E26" s="12">
        <f>VLOOKUP(TBLYUHUKOREA[NAMA BAHAN],[2]!TBLREKAPBAHAN[[NAMA BAHAN]:[MODAL SATUAN]],4,FALSE)</f>
        <v>200</v>
      </c>
      <c r="F26" s="12">
        <f>VLOOKUP(TBLYUHUKOREA[NAMA BAHAN],[2]!TBLREKAPBAHAN[[NAMA BAHAN]:[MODAL SATUAN]],4,FALSE)</f>
        <v>200</v>
      </c>
      <c r="G26" s="85">
        <v>1</v>
      </c>
      <c r="H26" s="86">
        <f t="shared" si="0"/>
        <v>200</v>
      </c>
      <c r="I26" s="85">
        <v>1</v>
      </c>
      <c r="J26" s="86">
        <f t="shared" si="1"/>
        <v>200</v>
      </c>
      <c r="K26" s="85">
        <v>1</v>
      </c>
      <c r="L26" s="86">
        <f t="shared" si="2"/>
        <v>200</v>
      </c>
    </row>
    <row r="27" spans="1:12" x14ac:dyDescent="0.25">
      <c r="A27" s="123">
        <v>26</v>
      </c>
      <c r="B27" s="10" t="s">
        <v>89</v>
      </c>
      <c r="C27" s="11">
        <f>VLOOKUP(TBLYUHUKOREA[NAMA BAHAN],[2]!TBLREKAPBAHAN[[NAMA BAHAN]:[MODAL SATUAN]],2,FALSE)</f>
        <v>2500</v>
      </c>
      <c r="D27" s="11">
        <f>VLOOKUP(TBLYUHUKOREA[NAMA BAHAN],[2]!TBLREKAPBAHAN[[NAMA BAHAN]:[MODAL SATUAN]],3,FALSE)</f>
        <v>1</v>
      </c>
      <c r="E27" s="12">
        <f>VLOOKUP(TBLYUHUKOREA[NAMA BAHAN],[2]!TBLREKAPBAHAN[[NAMA BAHAN]:[MODAL SATUAN]],4,FALSE)</f>
        <v>2500</v>
      </c>
      <c r="F27" s="12">
        <f>VLOOKUP(TBLYUHUKOREA[NAMA BAHAN],[2]!TBLREKAPBAHAN[[NAMA BAHAN]:[MODAL SATUAN]],4,FALSE)</f>
        <v>2500</v>
      </c>
      <c r="G27" s="85">
        <v>1</v>
      </c>
      <c r="H27" s="86">
        <f t="shared" si="0"/>
        <v>2500</v>
      </c>
      <c r="I27" s="85">
        <v>1</v>
      </c>
      <c r="J27" s="86">
        <f t="shared" si="1"/>
        <v>2500</v>
      </c>
      <c r="K27" s="85">
        <v>1</v>
      </c>
      <c r="L27" s="86">
        <f t="shared" si="2"/>
        <v>2500</v>
      </c>
    </row>
    <row r="28" spans="1:12" x14ac:dyDescent="0.25">
      <c r="A28" s="123">
        <v>27</v>
      </c>
      <c r="B28" s="10" t="s">
        <v>85</v>
      </c>
      <c r="C28" s="11">
        <f>VLOOKUP(TBLYUHUKOREA[NAMA BAHAN],[2]!TBLREKAPBAHAN[[NAMA BAHAN]:[MODAL SATUAN]],2,FALSE)</f>
        <v>37500</v>
      </c>
      <c r="D28" s="11">
        <f>VLOOKUP(TBLYUHUKOREA[NAMA BAHAN],[2]!TBLREKAPBAHAN[[NAMA BAHAN]:[MODAL SATUAN]],3,FALSE)</f>
        <v>300</v>
      </c>
      <c r="E28" s="12">
        <f>VLOOKUP(TBLYUHUKOREA[NAMA BAHAN],[2]!TBLREKAPBAHAN[[NAMA BAHAN]:[MODAL SATUAN]],4,FALSE)</f>
        <v>125</v>
      </c>
      <c r="F28" s="12">
        <f>VLOOKUP(TBLYUHUKOREA[NAMA BAHAN],[2]!TBLREKAPBAHAN[[NAMA BAHAN]:[MODAL SATUAN]],4,FALSE)</f>
        <v>125</v>
      </c>
      <c r="G28" s="85">
        <v>1</v>
      </c>
      <c r="H28" s="86">
        <f t="shared" si="0"/>
        <v>125</v>
      </c>
      <c r="I28" s="85">
        <v>1</v>
      </c>
      <c r="J28" s="86">
        <f t="shared" si="1"/>
        <v>125</v>
      </c>
      <c r="K28" s="85">
        <v>1</v>
      </c>
      <c r="L28" s="86">
        <f t="shared" si="2"/>
        <v>125</v>
      </c>
    </row>
    <row r="29" spans="1:12" x14ac:dyDescent="0.25">
      <c r="A29" s="123">
        <v>28</v>
      </c>
      <c r="B29" s="10" t="s">
        <v>87</v>
      </c>
      <c r="C29" s="11">
        <f>VLOOKUP(TBLYUHUKOREA[NAMA BAHAN],[2]!TBLREKAPBAHAN[[NAMA BAHAN]:[MODAL SATUAN]],2,FALSE)</f>
        <v>1000</v>
      </c>
      <c r="D29" s="11">
        <f>VLOOKUP(TBLYUHUKOREA[NAMA BAHAN],[2]!TBLREKAPBAHAN[[NAMA BAHAN]:[MODAL SATUAN]],3,FALSE)</f>
        <v>2</v>
      </c>
      <c r="E29" s="12">
        <f>VLOOKUP(TBLYUHUKOREA[NAMA BAHAN],[2]!TBLREKAPBAHAN[[NAMA BAHAN]:[MODAL SATUAN]],4,FALSE)</f>
        <v>500</v>
      </c>
      <c r="F29" s="12">
        <f>VLOOKUP(TBLYUHUKOREA[NAMA BAHAN],[2]!TBLREKAPBAHAN[[NAMA BAHAN]:[MODAL SATUAN]],4,FALSE)</f>
        <v>500</v>
      </c>
      <c r="G29" s="85">
        <v>1</v>
      </c>
      <c r="H29" s="86">
        <f t="shared" si="0"/>
        <v>500</v>
      </c>
      <c r="I29" s="85">
        <v>1</v>
      </c>
      <c r="J29" s="86">
        <f t="shared" si="1"/>
        <v>500</v>
      </c>
      <c r="K29" s="85">
        <v>1</v>
      </c>
      <c r="L29" s="86">
        <f t="shared" si="2"/>
        <v>500</v>
      </c>
    </row>
    <row r="30" spans="1:12" s="17" customFormat="1" ht="15.75" customHeight="1" x14ac:dyDescent="0.25">
      <c r="A30" s="147" t="s">
        <v>20</v>
      </c>
      <c r="B30" s="147"/>
      <c r="C30" s="147"/>
      <c r="D30" s="147"/>
      <c r="E30" s="147"/>
      <c r="F30" s="147"/>
      <c r="G30" s="45"/>
      <c r="H30" s="45">
        <f>SUM(H2:H29)</f>
        <v>52440.562998405105</v>
      </c>
      <c r="I30" s="45"/>
      <c r="J30" s="45">
        <f>SUM(J2:J29)</f>
        <v>54690.562998405105</v>
      </c>
      <c r="K30" s="45"/>
      <c r="L30" s="45">
        <f>SUM(L2:L29)</f>
        <v>54165.562998405105</v>
      </c>
    </row>
  </sheetData>
  <mergeCells count="1">
    <mergeCell ref="A30:F30"/>
  </mergeCells>
  <pageMargins left="0.70866141732283472" right="0.70866141732283472" top="0.74803149606299213" bottom="0.74803149606299213" header="0.31496062992125984" footer="0.31496062992125984"/>
  <pageSetup paperSize="5" scale="80" fitToWidth="0" fitToHeight="0"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70" zoomScaleNormal="70" workbookViewId="0">
      <selection activeCell="K29" sqref="K29"/>
    </sheetView>
  </sheetViews>
  <sheetFormatPr defaultRowHeight="15" x14ac:dyDescent="0.25"/>
  <cols>
    <col min="1" max="2" width="25.7109375" style="9" customWidth="1"/>
    <col min="3" max="3" width="15.28515625" style="9" customWidth="1"/>
    <col min="4" max="4" width="9.140625" style="9"/>
    <col min="5" max="5" width="10" style="9" customWidth="1"/>
    <col min="6" max="6" width="11.28515625" style="9" customWidth="1"/>
    <col min="7" max="7" width="9.140625" style="18"/>
    <col min="8" max="8" width="19.7109375" style="9" customWidth="1"/>
    <col min="9" max="9" width="9.140625" style="18"/>
    <col min="10" max="10" width="14.140625" style="9" customWidth="1"/>
    <col min="11" max="11" width="8.140625" style="18" customWidth="1"/>
    <col min="12" max="12" width="14.5703125" style="9" customWidth="1"/>
    <col min="13" max="15" width="9.140625" style="9"/>
    <col min="16" max="16" width="20.7109375" style="9" customWidth="1"/>
    <col min="17" max="16384" width="9.140625" style="9"/>
  </cols>
  <sheetData>
    <row r="1" spans="1:16" s="56" customFormat="1" ht="86.25" customHeight="1" x14ac:dyDescent="0.25">
      <c r="A1" s="53" t="s">
        <v>90</v>
      </c>
      <c r="B1" s="54" t="s">
        <v>0</v>
      </c>
      <c r="C1" s="53" t="s">
        <v>4</v>
      </c>
      <c r="D1" s="53" t="s">
        <v>3</v>
      </c>
      <c r="E1" s="53" t="s">
        <v>1</v>
      </c>
      <c r="F1" s="53" t="s">
        <v>2</v>
      </c>
      <c r="G1" s="55" t="s">
        <v>5</v>
      </c>
      <c r="H1" s="53" t="s">
        <v>49</v>
      </c>
      <c r="I1" s="55" t="s">
        <v>146</v>
      </c>
      <c r="J1" s="53" t="s">
        <v>50</v>
      </c>
      <c r="K1" s="55" t="s">
        <v>147</v>
      </c>
      <c r="L1" s="53" t="s">
        <v>51</v>
      </c>
      <c r="O1" s="9">
        <v>40</v>
      </c>
      <c r="P1" s="1">
        <f>85*O1</f>
        <v>3400</v>
      </c>
    </row>
    <row r="2" spans="1:16" x14ac:dyDescent="0.25">
      <c r="A2" s="123">
        <v>1</v>
      </c>
      <c r="B2" s="10" t="s">
        <v>71</v>
      </c>
      <c r="C2" s="11">
        <f>VLOOKUP(TBLSIPKOREA[NAMA BAHAN],[2]!TBLREKAPBAHAN[[NAMA BAHAN]:[MODAL SATUAN]],2,FALSE)</f>
        <v>12000</v>
      </c>
      <c r="D2" s="11">
        <f>VLOOKUP(TBLSIPKOREA[NAMA BAHAN],[2]!TBLREKAPBAHAN[[NAMA BAHAN]:[MODAL SATUAN]],3,FALSE)</f>
        <v>250</v>
      </c>
      <c r="E2" s="12">
        <f>VLOOKUP(TBLSIPKOREA[NAMA BAHAN],[2]!TBLREKAPBAHAN[[NAMA BAHAN]:[MODAL SATUAN]],4,FALSE)</f>
        <v>48</v>
      </c>
      <c r="F2" s="12">
        <f>VLOOKUP(TBLSIPKOREA[NAMA BAHAN],[2]!TBLREKAPBAHAN[[NAMA BAHAN]:[MODAL SATUAN]],4,FALSE)</f>
        <v>48</v>
      </c>
      <c r="G2" s="87">
        <v>130</v>
      </c>
      <c r="H2" s="88">
        <f>F2*G2</f>
        <v>6240</v>
      </c>
      <c r="I2" s="87">
        <v>130</v>
      </c>
      <c r="J2" s="88">
        <f>F2*I2</f>
        <v>6240</v>
      </c>
      <c r="K2" s="87">
        <v>130</v>
      </c>
      <c r="L2" s="88">
        <f>F2*K2</f>
        <v>6240</v>
      </c>
      <c r="O2" s="136">
        <v>130</v>
      </c>
      <c r="P2" s="137">
        <f t="shared" ref="P2:P29" si="0">F2*O2</f>
        <v>6240</v>
      </c>
    </row>
    <row r="3" spans="1:16" x14ac:dyDescent="0.25">
      <c r="A3" s="123">
        <v>2</v>
      </c>
      <c r="B3" s="10" t="s">
        <v>74</v>
      </c>
      <c r="C3" s="11">
        <f>VLOOKUP(TBLSIPKOREA[NAMA BAHAN],[2]!TBLREKAPBAHAN[[NAMA BAHAN]:[MODAL SATUAN]],2,FALSE)</f>
        <v>7000</v>
      </c>
      <c r="D3" s="11">
        <f>VLOOKUP(TBLSIPKOREA[NAMA BAHAN],[2]!TBLREKAPBAHAN[[NAMA BAHAN]:[MODAL SATUAN]],3,FALSE)</f>
        <v>24</v>
      </c>
      <c r="E3" s="12">
        <f>VLOOKUP(TBLSIPKOREA[NAMA BAHAN],[2]!TBLREKAPBAHAN[[NAMA BAHAN]:[MODAL SATUAN]],4,FALSE)</f>
        <v>291.66666666666669</v>
      </c>
      <c r="F3" s="12">
        <f>VLOOKUP(TBLSIPKOREA[NAMA BAHAN],[2]!TBLREKAPBAHAN[[NAMA BAHAN]:[MODAL SATUAN]],4,FALSE)</f>
        <v>291.66666666666669</v>
      </c>
      <c r="G3" s="87">
        <v>4</v>
      </c>
      <c r="H3" s="88">
        <f>F3*G3</f>
        <v>1166.6666666666667</v>
      </c>
      <c r="I3" s="87">
        <v>4</v>
      </c>
      <c r="J3" s="88">
        <f>F3*I3</f>
        <v>1166.6666666666667</v>
      </c>
      <c r="K3" s="87">
        <v>4</v>
      </c>
      <c r="L3" s="88">
        <f>F3*K3</f>
        <v>1166.6666666666667</v>
      </c>
      <c r="O3" s="136">
        <v>4</v>
      </c>
      <c r="P3" s="137">
        <f t="shared" si="0"/>
        <v>1166.6666666666667</v>
      </c>
    </row>
    <row r="4" spans="1:16" x14ac:dyDescent="0.25">
      <c r="A4" s="123">
        <v>3</v>
      </c>
      <c r="B4" s="10" t="s">
        <v>28</v>
      </c>
      <c r="C4" s="11">
        <f>VLOOKUP(TBLSIPKOREA[NAMA BAHAN],[2]!TBLREKAPBAHAN[[NAMA BAHAN]:[MODAL SATUAN]],2,FALSE)</f>
        <v>8000</v>
      </c>
      <c r="D4" s="11">
        <f>VLOOKUP(TBLSIPKOREA[NAMA BAHAN],[2]!TBLREKAPBAHAN[[NAMA BAHAN]:[MODAL SATUAN]],3,FALSE)</f>
        <v>24</v>
      </c>
      <c r="E4" s="12">
        <f>VLOOKUP(TBLSIPKOREA[NAMA BAHAN],[2]!TBLREKAPBAHAN[[NAMA BAHAN]:[MODAL SATUAN]],4,FALSE)</f>
        <v>333.33333333333331</v>
      </c>
      <c r="F4" s="12">
        <f>VLOOKUP(TBLSIPKOREA[NAMA BAHAN],[2]!TBLREKAPBAHAN[[NAMA BAHAN]:[MODAL SATUAN]],4,FALSE)</f>
        <v>333.33333333333331</v>
      </c>
      <c r="G4" s="87">
        <v>4</v>
      </c>
      <c r="H4" s="88">
        <f t="shared" ref="H4:H29" si="1">F4*G4</f>
        <v>1333.3333333333333</v>
      </c>
      <c r="I4" s="87">
        <v>4</v>
      </c>
      <c r="J4" s="88">
        <f t="shared" ref="J4:J29" si="2">F4*I4</f>
        <v>1333.3333333333333</v>
      </c>
      <c r="K4" s="87">
        <v>4</v>
      </c>
      <c r="L4" s="88">
        <f t="shared" ref="L4:L29" si="3">F4*K4</f>
        <v>1333.3333333333333</v>
      </c>
      <c r="O4" s="136">
        <v>4</v>
      </c>
      <c r="P4" s="137">
        <f t="shared" si="0"/>
        <v>1333.3333333333333</v>
      </c>
    </row>
    <row r="5" spans="1:16" x14ac:dyDescent="0.25">
      <c r="A5" s="123">
        <v>4</v>
      </c>
      <c r="B5" s="10" t="s">
        <v>190</v>
      </c>
      <c r="C5" s="11">
        <f>VLOOKUP(TBLSIPKOREA[NAMA BAHAN],[2]!TBLREKAPBAHAN[[NAMA BAHAN]:[MODAL SATUAN]],2,FALSE)</f>
        <v>90000</v>
      </c>
      <c r="D5" s="11">
        <f>VLOOKUP(TBLSIPKOREA[NAMA BAHAN],[2]!TBLREKAPBAHAN[[NAMA BAHAN]:[MODAL SATUAN]],3,FALSE)</f>
        <v>500</v>
      </c>
      <c r="E5" s="12">
        <f>VLOOKUP(TBLSIPKOREA[NAMA BAHAN],[2]!TBLREKAPBAHAN[[NAMA BAHAN]:[MODAL SATUAN]],4,FALSE)</f>
        <v>180</v>
      </c>
      <c r="F5" s="12">
        <f>VLOOKUP(TBLSIPKOREA[NAMA BAHAN],[2]!TBLREKAPBAHAN[[NAMA BAHAN]:[MODAL SATUAN]],4,FALSE)</f>
        <v>180</v>
      </c>
      <c r="G5" s="87">
        <v>130</v>
      </c>
      <c r="H5" s="88">
        <f t="shared" si="1"/>
        <v>23400</v>
      </c>
      <c r="I5" s="87">
        <v>130</v>
      </c>
      <c r="J5" s="88">
        <f t="shared" si="2"/>
        <v>23400</v>
      </c>
      <c r="K5" s="87">
        <v>130</v>
      </c>
      <c r="L5" s="88">
        <f t="shared" si="3"/>
        <v>23400</v>
      </c>
      <c r="O5" s="136">
        <v>130</v>
      </c>
      <c r="P5" s="137">
        <f t="shared" si="0"/>
        <v>23400</v>
      </c>
    </row>
    <row r="6" spans="1:16" x14ac:dyDescent="0.25">
      <c r="A6" s="123">
        <v>5</v>
      </c>
      <c r="B6" s="10" t="s">
        <v>57</v>
      </c>
      <c r="C6" s="11">
        <f>VLOOKUP(TBLSIPKOREA[NAMA BAHAN],[2]!TBLREKAPBAHAN[[NAMA BAHAN]:[MODAL SATUAN]],2,FALSE)</f>
        <v>35000</v>
      </c>
      <c r="D6" s="11">
        <f>VLOOKUP(TBLSIPKOREA[NAMA BAHAN],[2]!TBLREKAPBAHAN[[NAMA BAHAN]:[MODAL SATUAN]],3,FALSE)</f>
        <v>38</v>
      </c>
      <c r="E6" s="12">
        <f>VLOOKUP(TBLSIPKOREA[NAMA BAHAN],[2]!TBLREKAPBAHAN[[NAMA BAHAN]:[MODAL SATUAN]],4,FALSE)</f>
        <v>921.0526315789474</v>
      </c>
      <c r="F6" s="12">
        <f>VLOOKUP(TBLSIPKOREA[NAMA BAHAN],[2]!TBLREKAPBAHAN[[NAMA BAHAN]:[MODAL SATUAN]],4,FALSE)</f>
        <v>921.0526315789474</v>
      </c>
      <c r="G6" s="87">
        <v>3</v>
      </c>
      <c r="H6" s="88">
        <f t="shared" si="1"/>
        <v>2763.1578947368421</v>
      </c>
      <c r="I6" s="87">
        <v>3</v>
      </c>
      <c r="J6" s="88">
        <f t="shared" si="2"/>
        <v>2763.1578947368421</v>
      </c>
      <c r="K6" s="87">
        <v>3</v>
      </c>
      <c r="L6" s="88">
        <f t="shared" si="3"/>
        <v>2763.1578947368421</v>
      </c>
      <c r="O6" s="136">
        <v>0</v>
      </c>
      <c r="P6" s="137">
        <f t="shared" si="0"/>
        <v>0</v>
      </c>
    </row>
    <row r="7" spans="1:16" x14ac:dyDescent="0.25">
      <c r="A7" s="123">
        <v>6</v>
      </c>
      <c r="B7" s="10" t="s">
        <v>58</v>
      </c>
      <c r="C7" s="11">
        <f>VLOOKUP(TBLSIPKOREA[NAMA BAHAN],[2]!TBLREKAPBAHAN[[NAMA BAHAN]:[MODAL SATUAN]],2,FALSE)</f>
        <v>45000</v>
      </c>
      <c r="D7" s="11">
        <f>VLOOKUP(TBLSIPKOREA[NAMA BAHAN],[2]!TBLREKAPBAHAN[[NAMA BAHAN]:[MODAL SATUAN]],3,FALSE)</f>
        <v>400</v>
      </c>
      <c r="E7" s="12">
        <f>VLOOKUP(TBLSIPKOREA[NAMA BAHAN],[2]!TBLREKAPBAHAN[[NAMA BAHAN]:[MODAL SATUAN]],4,FALSE)</f>
        <v>112.5</v>
      </c>
      <c r="F7" s="12">
        <f>VLOOKUP(TBLSIPKOREA[NAMA BAHAN],[2]!TBLREKAPBAHAN[[NAMA BAHAN]:[MODAL SATUAN]],4,FALSE)</f>
        <v>112.5</v>
      </c>
      <c r="G7" s="87">
        <v>30</v>
      </c>
      <c r="H7" s="88">
        <f t="shared" si="1"/>
        <v>3375</v>
      </c>
      <c r="I7" s="87">
        <v>50</v>
      </c>
      <c r="J7" s="88">
        <f t="shared" si="2"/>
        <v>5625</v>
      </c>
      <c r="K7" s="87">
        <v>40</v>
      </c>
      <c r="L7" s="88">
        <f t="shared" si="3"/>
        <v>4500</v>
      </c>
      <c r="O7" s="136">
        <v>40</v>
      </c>
      <c r="P7" s="137">
        <f t="shared" si="0"/>
        <v>4500</v>
      </c>
    </row>
    <row r="8" spans="1:16" x14ac:dyDescent="0.25">
      <c r="A8" s="123">
        <v>7</v>
      </c>
      <c r="B8" s="10" t="s">
        <v>54</v>
      </c>
      <c r="C8" s="11">
        <f>VLOOKUP(TBLSIPKOREA[NAMA BAHAN],[2]!TBLREKAPBAHAN[[NAMA BAHAN]:[MODAL SATUAN]],2,FALSE)</f>
        <v>35000</v>
      </c>
      <c r="D8" s="11">
        <f>VLOOKUP(TBLSIPKOREA[NAMA BAHAN],[2]!TBLREKAPBAHAN[[NAMA BAHAN]:[MODAL SATUAN]],3,FALSE)</f>
        <v>1000</v>
      </c>
      <c r="E8" s="12">
        <f>VLOOKUP(TBLSIPKOREA[NAMA BAHAN],[2]!TBLREKAPBAHAN[[NAMA BAHAN]:[MODAL SATUAN]],4,FALSE)</f>
        <v>35</v>
      </c>
      <c r="F8" s="12">
        <f>VLOOKUP(TBLSIPKOREA[NAMA BAHAN],[2]!TBLREKAPBAHAN[[NAMA BAHAN]:[MODAL SATUAN]],4,FALSE)</f>
        <v>35</v>
      </c>
      <c r="G8" s="125">
        <v>35</v>
      </c>
      <c r="H8" s="88">
        <f t="shared" si="1"/>
        <v>1225</v>
      </c>
      <c r="I8" s="125">
        <v>35</v>
      </c>
      <c r="J8" s="88">
        <f t="shared" si="2"/>
        <v>1225</v>
      </c>
      <c r="K8" s="125">
        <v>35</v>
      </c>
      <c r="L8" s="88">
        <f t="shared" si="3"/>
        <v>1225</v>
      </c>
      <c r="O8" s="136">
        <v>35</v>
      </c>
      <c r="P8" s="137">
        <f t="shared" si="0"/>
        <v>1225</v>
      </c>
    </row>
    <row r="9" spans="1:16" x14ac:dyDescent="0.25">
      <c r="A9" s="123">
        <v>8</v>
      </c>
      <c r="B9" s="10" t="s">
        <v>75</v>
      </c>
      <c r="C9" s="11">
        <f>VLOOKUP(TBLSIPKOREA[NAMA BAHAN],[2]!TBLREKAPBAHAN[[NAMA BAHAN]:[MODAL SATUAN]],2,FALSE)</f>
        <v>18000</v>
      </c>
      <c r="D9" s="11">
        <f>VLOOKUP(TBLSIPKOREA[NAMA BAHAN],[2]!TBLREKAPBAHAN[[NAMA BAHAN]:[MODAL SATUAN]],3,FALSE)</f>
        <v>1000</v>
      </c>
      <c r="E9" s="12">
        <f>VLOOKUP(TBLSIPKOREA[NAMA BAHAN],[2]!TBLREKAPBAHAN[[NAMA BAHAN]:[MODAL SATUAN]],4,FALSE)</f>
        <v>18</v>
      </c>
      <c r="F9" s="12">
        <f>VLOOKUP(TBLSIPKOREA[NAMA BAHAN],[2]!TBLREKAPBAHAN[[NAMA BAHAN]:[MODAL SATUAN]],4,FALSE)</f>
        <v>18</v>
      </c>
      <c r="G9" s="125">
        <v>27</v>
      </c>
      <c r="H9" s="88">
        <f t="shared" si="1"/>
        <v>486</v>
      </c>
      <c r="I9" s="125">
        <v>27</v>
      </c>
      <c r="J9" s="88">
        <f t="shared" si="2"/>
        <v>486</v>
      </c>
      <c r="K9" s="125">
        <v>27</v>
      </c>
      <c r="L9" s="88">
        <f t="shared" si="3"/>
        <v>486</v>
      </c>
      <c r="O9" s="136">
        <v>27</v>
      </c>
      <c r="P9" s="137">
        <f t="shared" si="0"/>
        <v>486</v>
      </c>
    </row>
    <row r="10" spans="1:16" x14ac:dyDescent="0.25">
      <c r="A10" s="123">
        <v>9</v>
      </c>
      <c r="B10" s="10" t="s">
        <v>76</v>
      </c>
      <c r="C10" s="11">
        <f>VLOOKUP(TBLSIPKOREA[NAMA BAHAN],[2]!TBLREKAPBAHAN[[NAMA BAHAN]:[MODAL SATUAN]],2,FALSE)</f>
        <v>4000</v>
      </c>
      <c r="D10" s="11">
        <f>VLOOKUP(TBLSIPKOREA[NAMA BAHAN],[2]!TBLREKAPBAHAN[[NAMA BAHAN]:[MODAL SATUAN]],3,FALSE)</f>
        <v>250</v>
      </c>
      <c r="E10" s="12">
        <f>VLOOKUP(TBLSIPKOREA[NAMA BAHAN],[2]!TBLREKAPBAHAN[[NAMA BAHAN]:[MODAL SATUAN]],4,FALSE)</f>
        <v>16</v>
      </c>
      <c r="F10" s="12">
        <f>VLOOKUP(TBLSIPKOREA[NAMA BAHAN],[2]!TBLREKAPBAHAN[[NAMA BAHAN]:[MODAL SATUAN]],4,FALSE)</f>
        <v>16</v>
      </c>
      <c r="G10" s="125">
        <v>10</v>
      </c>
      <c r="H10" s="88">
        <f t="shared" si="1"/>
        <v>160</v>
      </c>
      <c r="I10" s="125">
        <v>10</v>
      </c>
      <c r="J10" s="88">
        <f t="shared" si="2"/>
        <v>160</v>
      </c>
      <c r="K10" s="125">
        <v>10</v>
      </c>
      <c r="L10" s="88">
        <f t="shared" si="3"/>
        <v>160</v>
      </c>
      <c r="O10" s="136">
        <v>10</v>
      </c>
      <c r="P10" s="137">
        <f t="shared" si="0"/>
        <v>160</v>
      </c>
    </row>
    <row r="11" spans="1:16" x14ac:dyDescent="0.25">
      <c r="A11" s="123">
        <v>10</v>
      </c>
      <c r="B11" s="10" t="s">
        <v>77</v>
      </c>
      <c r="C11" s="11">
        <f>VLOOKUP(TBLSIPKOREA[NAMA BAHAN],[2]!TBLREKAPBAHAN[[NAMA BAHAN]:[MODAL SATUAN]],2,FALSE)</f>
        <v>7000</v>
      </c>
      <c r="D11" s="11">
        <f>VLOOKUP(TBLSIPKOREA[NAMA BAHAN],[2]!TBLREKAPBAHAN[[NAMA BAHAN]:[MODAL SATUAN]],3,FALSE)</f>
        <v>11</v>
      </c>
      <c r="E11" s="12">
        <f>VLOOKUP(TBLSIPKOREA[NAMA BAHAN],[2]!TBLREKAPBAHAN[[NAMA BAHAN]:[MODAL SATUAN]],4,FALSE)</f>
        <v>636.36363636363637</v>
      </c>
      <c r="F11" s="12">
        <f>VLOOKUP(TBLSIPKOREA[NAMA BAHAN],[2]!TBLREKAPBAHAN[[NAMA BAHAN]:[MODAL SATUAN]],4,FALSE)</f>
        <v>636.36363636363637</v>
      </c>
      <c r="G11" s="125">
        <v>7</v>
      </c>
      <c r="H11" s="88">
        <f t="shared" si="1"/>
        <v>4454.545454545455</v>
      </c>
      <c r="I11" s="125">
        <v>7</v>
      </c>
      <c r="J11" s="88">
        <f t="shared" si="2"/>
        <v>4454.545454545455</v>
      </c>
      <c r="K11" s="125">
        <v>7</v>
      </c>
      <c r="L11" s="88">
        <f t="shared" si="3"/>
        <v>4454.545454545455</v>
      </c>
      <c r="O11" s="136">
        <v>7</v>
      </c>
      <c r="P11" s="137">
        <f t="shared" si="0"/>
        <v>4454.545454545455</v>
      </c>
    </row>
    <row r="12" spans="1:16" x14ac:dyDescent="0.25">
      <c r="A12" s="123">
        <v>11</v>
      </c>
      <c r="B12" s="10" t="s">
        <v>78</v>
      </c>
      <c r="C12" s="11">
        <f>VLOOKUP(TBLSIPKOREA[NAMA BAHAN],[2]!TBLREKAPBAHAN[[NAMA BAHAN]:[MODAL SATUAN]],2,FALSE)</f>
        <v>18000</v>
      </c>
      <c r="D12" s="11">
        <f>VLOOKUP(TBLSIPKOREA[NAMA BAHAN],[2]!TBLREKAPBAHAN[[NAMA BAHAN]:[MODAL SATUAN]],3,FALSE)</f>
        <v>250</v>
      </c>
      <c r="E12" s="12">
        <f>VLOOKUP(TBLSIPKOREA[NAMA BAHAN],[2]!TBLREKAPBAHAN[[NAMA BAHAN]:[MODAL SATUAN]],4,FALSE)</f>
        <v>72</v>
      </c>
      <c r="F12" s="12">
        <f>VLOOKUP(TBLSIPKOREA[NAMA BAHAN],[2]!TBLREKAPBAHAN[[NAMA BAHAN]:[MODAL SATUAN]],4,FALSE)</f>
        <v>72</v>
      </c>
      <c r="G12" s="125">
        <v>30</v>
      </c>
      <c r="H12" s="88">
        <f t="shared" si="1"/>
        <v>2160</v>
      </c>
      <c r="I12" s="125">
        <v>30</v>
      </c>
      <c r="J12" s="88">
        <f t="shared" si="2"/>
        <v>2160</v>
      </c>
      <c r="K12" s="125">
        <v>30</v>
      </c>
      <c r="L12" s="88">
        <f t="shared" si="3"/>
        <v>2160</v>
      </c>
      <c r="O12" s="136">
        <v>30</v>
      </c>
      <c r="P12" s="137">
        <f t="shared" si="0"/>
        <v>2160</v>
      </c>
    </row>
    <row r="13" spans="1:16" x14ac:dyDescent="0.25">
      <c r="A13" s="123">
        <v>12</v>
      </c>
      <c r="B13" s="10" t="s">
        <v>79</v>
      </c>
      <c r="C13" s="11">
        <f>VLOOKUP(TBLSIPKOREA[NAMA BAHAN],[2]!TBLREKAPBAHAN[[NAMA BAHAN]:[MODAL SATUAN]],2,FALSE)</f>
        <v>14000</v>
      </c>
      <c r="D13" s="11">
        <f>VLOOKUP(TBLSIPKOREA[NAMA BAHAN],[2]!TBLREKAPBAHAN[[NAMA BAHAN]:[MODAL SATUAN]],3,FALSE)</f>
        <v>1000</v>
      </c>
      <c r="E13" s="12">
        <f>VLOOKUP(TBLSIPKOREA[NAMA BAHAN],[2]!TBLREKAPBAHAN[[NAMA BAHAN]:[MODAL SATUAN]],4,FALSE)</f>
        <v>14</v>
      </c>
      <c r="F13" s="12">
        <f>VLOOKUP(TBLSIPKOREA[NAMA BAHAN],[2]!TBLREKAPBAHAN[[NAMA BAHAN]:[MODAL SATUAN]],4,FALSE)</f>
        <v>14</v>
      </c>
      <c r="G13" s="125">
        <v>60</v>
      </c>
      <c r="H13" s="88">
        <f t="shared" si="1"/>
        <v>840</v>
      </c>
      <c r="I13" s="125">
        <v>60</v>
      </c>
      <c r="J13" s="88">
        <f t="shared" si="2"/>
        <v>840</v>
      </c>
      <c r="K13" s="125">
        <v>60</v>
      </c>
      <c r="L13" s="88">
        <f t="shared" si="3"/>
        <v>840</v>
      </c>
      <c r="O13" s="136">
        <v>60</v>
      </c>
      <c r="P13" s="137">
        <f t="shared" si="0"/>
        <v>840</v>
      </c>
    </row>
    <row r="14" spans="1:16" x14ac:dyDescent="0.25">
      <c r="A14" s="123">
        <v>13</v>
      </c>
      <c r="B14" s="10" t="s">
        <v>80</v>
      </c>
      <c r="C14" s="11">
        <f>VLOOKUP(TBLSIPKOREA[NAMA BAHAN],[2]!TBLREKAPBAHAN[[NAMA BAHAN]:[MODAL SATUAN]],2,FALSE)</f>
        <v>14000</v>
      </c>
      <c r="D14" s="11">
        <f>VLOOKUP(TBLSIPKOREA[NAMA BAHAN],[2]!TBLREKAPBAHAN[[NAMA BAHAN]:[MODAL SATUAN]],3,FALSE)</f>
        <v>1000</v>
      </c>
      <c r="E14" s="12">
        <f>VLOOKUP(TBLSIPKOREA[NAMA BAHAN],[2]!TBLREKAPBAHAN[[NAMA BAHAN]:[MODAL SATUAN]],4,FALSE)</f>
        <v>14</v>
      </c>
      <c r="F14" s="12">
        <f>VLOOKUP(TBLSIPKOREA[NAMA BAHAN],[2]!TBLREKAPBAHAN[[NAMA BAHAN]:[MODAL SATUAN]],4,FALSE)</f>
        <v>14</v>
      </c>
      <c r="G14" s="125">
        <v>120</v>
      </c>
      <c r="H14" s="88">
        <f t="shared" si="1"/>
        <v>1680</v>
      </c>
      <c r="I14" s="125">
        <v>120</v>
      </c>
      <c r="J14" s="88">
        <f t="shared" si="2"/>
        <v>1680</v>
      </c>
      <c r="K14" s="125">
        <v>120</v>
      </c>
      <c r="L14" s="88">
        <f t="shared" si="3"/>
        <v>1680</v>
      </c>
      <c r="O14" s="136">
        <v>120</v>
      </c>
      <c r="P14" s="137">
        <f t="shared" si="0"/>
        <v>1680</v>
      </c>
    </row>
    <row r="15" spans="1:16" x14ac:dyDescent="0.25">
      <c r="A15" s="123">
        <v>14</v>
      </c>
      <c r="B15" s="10" t="s">
        <v>81</v>
      </c>
      <c r="C15" s="11">
        <f>VLOOKUP(TBLSIPKOREA[NAMA BAHAN],[2]!TBLREKAPBAHAN[[NAMA BAHAN]:[MODAL SATUAN]],2,FALSE)</f>
        <v>30000</v>
      </c>
      <c r="D15" s="11">
        <f>VLOOKUP(TBLSIPKOREA[NAMA BAHAN],[2]!TBLREKAPBAHAN[[NAMA BAHAN]:[MODAL SATUAN]],3,FALSE)</f>
        <v>30</v>
      </c>
      <c r="E15" s="12">
        <f>VLOOKUP(TBLSIPKOREA[NAMA BAHAN],[2]!TBLREKAPBAHAN[[NAMA BAHAN]:[MODAL SATUAN]],4,FALSE)</f>
        <v>1000</v>
      </c>
      <c r="F15" s="12">
        <f>VLOOKUP(TBLSIPKOREA[NAMA BAHAN],[2]!TBLREKAPBAHAN[[NAMA BAHAN]:[MODAL SATUAN]],4,FALSE)</f>
        <v>1000</v>
      </c>
      <c r="G15" s="125">
        <v>3</v>
      </c>
      <c r="H15" s="88">
        <f t="shared" si="1"/>
        <v>3000</v>
      </c>
      <c r="I15" s="125">
        <v>3</v>
      </c>
      <c r="J15" s="88">
        <f t="shared" si="2"/>
        <v>3000</v>
      </c>
      <c r="K15" s="125">
        <v>3</v>
      </c>
      <c r="L15" s="88">
        <f t="shared" si="3"/>
        <v>3000</v>
      </c>
      <c r="O15" s="136">
        <v>3</v>
      </c>
      <c r="P15" s="137">
        <f t="shared" si="0"/>
        <v>3000</v>
      </c>
    </row>
    <row r="16" spans="1:16" x14ac:dyDescent="0.25">
      <c r="A16" s="123">
        <v>15</v>
      </c>
      <c r="B16" s="10" t="s">
        <v>82</v>
      </c>
      <c r="C16" s="11">
        <f>VLOOKUP(TBLSIPKOREA[NAMA BAHAN],[2]!TBLREKAPBAHAN[[NAMA BAHAN]:[MODAL SATUAN]],2,FALSE)</f>
        <v>15000</v>
      </c>
      <c r="D16" s="11">
        <f>VLOOKUP(TBLSIPKOREA[NAMA BAHAN],[2]!TBLREKAPBAHAN[[NAMA BAHAN]:[MODAL SATUAN]],3,FALSE)</f>
        <v>80</v>
      </c>
      <c r="E16" s="12">
        <f>VLOOKUP(TBLSIPKOREA[NAMA BAHAN],[2]!TBLREKAPBAHAN[[NAMA BAHAN]:[MODAL SATUAN]],4,FALSE)</f>
        <v>187.5</v>
      </c>
      <c r="F16" s="12">
        <f>VLOOKUP(TBLSIPKOREA[NAMA BAHAN],[2]!TBLREKAPBAHAN[[NAMA BAHAN]:[MODAL SATUAN]],4,FALSE)</f>
        <v>187.5</v>
      </c>
      <c r="G16" s="125">
        <v>6</v>
      </c>
      <c r="H16" s="88">
        <f t="shared" si="1"/>
        <v>1125</v>
      </c>
      <c r="I16" s="125">
        <v>6</v>
      </c>
      <c r="J16" s="88">
        <f t="shared" si="2"/>
        <v>1125</v>
      </c>
      <c r="K16" s="125">
        <v>6</v>
      </c>
      <c r="L16" s="88">
        <f t="shared" si="3"/>
        <v>1125</v>
      </c>
      <c r="O16" s="136">
        <v>6</v>
      </c>
      <c r="P16" s="137">
        <f t="shared" si="0"/>
        <v>1125</v>
      </c>
    </row>
    <row r="17" spans="1:16" x14ac:dyDescent="0.25">
      <c r="A17" s="123">
        <v>16</v>
      </c>
      <c r="B17" s="10" t="s">
        <v>83</v>
      </c>
      <c r="C17" s="11">
        <f>VLOOKUP(TBLSIPKOREA[NAMA BAHAN],[2]!TBLREKAPBAHAN[[NAMA BAHAN]:[MODAL SATUAN]],2,FALSE)</f>
        <v>5000</v>
      </c>
      <c r="D17" s="11">
        <f>VLOOKUP(TBLSIPKOREA[NAMA BAHAN],[2]!TBLREKAPBAHAN[[NAMA BAHAN]:[MODAL SATUAN]],3,FALSE)</f>
        <v>8</v>
      </c>
      <c r="E17" s="12">
        <f>VLOOKUP(TBLSIPKOREA[NAMA BAHAN],[2]!TBLREKAPBAHAN[[NAMA BAHAN]:[MODAL SATUAN]],4,FALSE)</f>
        <v>625</v>
      </c>
      <c r="F17" s="12">
        <f>VLOOKUP(TBLSIPKOREA[NAMA BAHAN],[2]!TBLREKAPBAHAN[[NAMA BAHAN]:[MODAL SATUAN]],4,FALSE)</f>
        <v>625</v>
      </c>
      <c r="G17" s="125">
        <v>3</v>
      </c>
      <c r="H17" s="88">
        <f t="shared" si="1"/>
        <v>1875</v>
      </c>
      <c r="I17" s="125">
        <v>3</v>
      </c>
      <c r="J17" s="88">
        <f t="shared" si="2"/>
        <v>1875</v>
      </c>
      <c r="K17" s="125">
        <v>3</v>
      </c>
      <c r="L17" s="88">
        <f t="shared" si="3"/>
        <v>1875</v>
      </c>
      <c r="O17" s="136">
        <v>3</v>
      </c>
      <c r="P17" s="137">
        <f t="shared" si="0"/>
        <v>1875</v>
      </c>
    </row>
    <row r="18" spans="1:16" x14ac:dyDescent="0.25">
      <c r="A18" s="123">
        <v>17</v>
      </c>
      <c r="B18" s="10" t="s">
        <v>15</v>
      </c>
      <c r="C18" s="11">
        <f>VLOOKUP(TBLSIPKOREA[NAMA BAHAN],[2]!TBLREKAPBAHAN[[NAMA BAHAN]:[MODAL SATUAN]],2,FALSE)</f>
        <v>25000</v>
      </c>
      <c r="D18" s="11">
        <f>VLOOKUP(TBLSIPKOREA[NAMA BAHAN],[2]!TBLREKAPBAHAN[[NAMA BAHAN]:[MODAL SATUAN]],3,FALSE)</f>
        <v>100</v>
      </c>
      <c r="E18" s="12">
        <f>VLOOKUP(TBLSIPKOREA[NAMA BAHAN],[2]!TBLREKAPBAHAN[[NAMA BAHAN]:[MODAL SATUAN]],4,FALSE)</f>
        <v>250</v>
      </c>
      <c r="F18" s="12">
        <f>VLOOKUP(TBLSIPKOREA[NAMA BAHAN],[2]!TBLREKAPBAHAN[[NAMA BAHAN]:[MODAL SATUAN]],4,FALSE)</f>
        <v>250</v>
      </c>
      <c r="G18" s="87">
        <v>0</v>
      </c>
      <c r="H18" s="88">
        <f t="shared" si="1"/>
        <v>0</v>
      </c>
      <c r="I18" s="87">
        <v>0</v>
      </c>
      <c r="J18" s="88">
        <f t="shared" si="2"/>
        <v>0</v>
      </c>
      <c r="K18" s="87">
        <v>0</v>
      </c>
      <c r="L18" s="88">
        <f t="shared" si="3"/>
        <v>0</v>
      </c>
      <c r="O18" s="136">
        <v>0</v>
      </c>
      <c r="P18" s="137">
        <f t="shared" si="0"/>
        <v>0</v>
      </c>
    </row>
    <row r="19" spans="1:16" x14ac:dyDescent="0.25">
      <c r="A19" s="123">
        <v>18</v>
      </c>
      <c r="B19" s="10" t="s">
        <v>13</v>
      </c>
      <c r="C19" s="11">
        <f>VLOOKUP(TBLSIPKOREA[NAMA BAHAN],[2]!TBLREKAPBAHAN[[NAMA BAHAN]:[MODAL SATUAN]],2,FALSE)</f>
        <v>2000</v>
      </c>
      <c r="D19" s="11">
        <f>VLOOKUP(TBLSIPKOREA[NAMA BAHAN],[2]!TBLREKAPBAHAN[[NAMA BAHAN]:[MODAL SATUAN]],3,FALSE)</f>
        <v>10</v>
      </c>
      <c r="E19" s="12">
        <f>VLOOKUP(TBLSIPKOREA[NAMA BAHAN],[2]!TBLREKAPBAHAN[[NAMA BAHAN]:[MODAL SATUAN]],4,FALSE)</f>
        <v>200</v>
      </c>
      <c r="F19" s="12">
        <f>VLOOKUP(TBLSIPKOREA[NAMA BAHAN],[2]!TBLREKAPBAHAN[[NAMA BAHAN]:[MODAL SATUAN]],4,FALSE)</f>
        <v>200</v>
      </c>
      <c r="G19" s="87">
        <v>6</v>
      </c>
      <c r="H19" s="88">
        <f t="shared" si="1"/>
        <v>1200</v>
      </c>
      <c r="I19" s="87">
        <v>6</v>
      </c>
      <c r="J19" s="88">
        <f t="shared" si="2"/>
        <v>1200</v>
      </c>
      <c r="K19" s="87">
        <v>6</v>
      </c>
      <c r="L19" s="88">
        <f t="shared" si="3"/>
        <v>1200</v>
      </c>
      <c r="O19" s="136">
        <v>6</v>
      </c>
      <c r="P19" s="137">
        <f t="shared" si="0"/>
        <v>1200</v>
      </c>
    </row>
    <row r="20" spans="1:16" x14ac:dyDescent="0.25">
      <c r="A20" s="123">
        <v>19</v>
      </c>
      <c r="B20" s="10" t="s">
        <v>16</v>
      </c>
      <c r="C20" s="11">
        <f>VLOOKUP(TBLSIPKOREA[NAMA BAHAN],[2]!TBLREKAPBAHAN[[NAMA BAHAN]:[MODAL SATUAN]],2,FALSE)</f>
        <v>3000</v>
      </c>
      <c r="D20" s="11">
        <f>VLOOKUP(TBLSIPKOREA[NAMA BAHAN],[2]!TBLREKAPBAHAN[[NAMA BAHAN]:[MODAL SATUAN]],3,FALSE)</f>
        <v>2</v>
      </c>
      <c r="E20" s="12">
        <f>VLOOKUP(TBLSIPKOREA[NAMA BAHAN],[2]!TBLREKAPBAHAN[[NAMA BAHAN]:[MODAL SATUAN]],4,FALSE)</f>
        <v>1500</v>
      </c>
      <c r="F20" s="12">
        <f>VLOOKUP(TBLSIPKOREA[NAMA BAHAN],[2]!TBLREKAPBAHAN[[NAMA BAHAN]:[MODAL SATUAN]],4,FALSE)</f>
        <v>1500</v>
      </c>
      <c r="G20" s="87">
        <v>1</v>
      </c>
      <c r="H20" s="88">
        <f t="shared" si="1"/>
        <v>1500</v>
      </c>
      <c r="I20" s="87">
        <v>1</v>
      </c>
      <c r="J20" s="88">
        <f t="shared" si="2"/>
        <v>1500</v>
      </c>
      <c r="K20" s="87">
        <v>1</v>
      </c>
      <c r="L20" s="88">
        <f>F20*K20</f>
        <v>1500</v>
      </c>
      <c r="O20" s="136">
        <v>1</v>
      </c>
      <c r="P20" s="137">
        <f t="shared" si="0"/>
        <v>1500</v>
      </c>
    </row>
    <row r="21" spans="1:16" x14ac:dyDescent="0.25">
      <c r="A21" s="123">
        <v>20</v>
      </c>
      <c r="B21" s="10" t="s">
        <v>41</v>
      </c>
      <c r="C21" s="11">
        <f>VLOOKUP(TBLSIPKOREA[NAMA BAHAN],[2]!TBLREKAPBAHAN[[NAMA BAHAN]:[MODAL SATUAN]],2,FALSE)</f>
        <v>9000</v>
      </c>
      <c r="D21" s="11">
        <f>VLOOKUP(TBLSIPKOREA[NAMA BAHAN],[2]!TBLREKAPBAHAN[[NAMA BAHAN]:[MODAL SATUAN]],3,FALSE)</f>
        <v>10</v>
      </c>
      <c r="E21" s="12">
        <f>VLOOKUP(TBLSIPKOREA[NAMA BAHAN],[2]!TBLREKAPBAHAN[[NAMA BAHAN]:[MODAL SATUAN]],4,FALSE)</f>
        <v>900</v>
      </c>
      <c r="F21" s="12">
        <f>VLOOKUP(TBLSIPKOREA[NAMA BAHAN],[2]!TBLREKAPBAHAN[[NAMA BAHAN]:[MODAL SATUAN]],4,FALSE)</f>
        <v>900</v>
      </c>
      <c r="G21" s="87">
        <v>7</v>
      </c>
      <c r="H21" s="88">
        <f t="shared" si="1"/>
        <v>6300</v>
      </c>
      <c r="I21" s="87">
        <v>7</v>
      </c>
      <c r="J21" s="88">
        <f t="shared" si="2"/>
        <v>6300</v>
      </c>
      <c r="K21" s="87">
        <v>7</v>
      </c>
      <c r="L21" s="88">
        <f t="shared" si="3"/>
        <v>6300</v>
      </c>
      <c r="O21" s="136">
        <v>7</v>
      </c>
      <c r="P21" s="137">
        <f t="shared" si="0"/>
        <v>6300</v>
      </c>
    </row>
    <row r="22" spans="1:16" x14ac:dyDescent="0.25">
      <c r="A22" s="123">
        <v>21</v>
      </c>
      <c r="B22" s="10" t="s">
        <v>141</v>
      </c>
      <c r="C22" s="11">
        <f>VLOOKUP(TBLSIPKOREA[NAMA BAHAN],[2]!TBLREKAPBAHAN[[NAMA BAHAN]:[MODAL SATUAN]],2,FALSE)</f>
        <v>10000</v>
      </c>
      <c r="D22" s="11">
        <f>VLOOKUP(TBLSIPKOREA[NAMA BAHAN],[2]!TBLREKAPBAHAN[[NAMA BAHAN]:[MODAL SATUAN]],3,FALSE)</f>
        <v>100</v>
      </c>
      <c r="E22" s="12">
        <f>VLOOKUP(TBLSIPKOREA[NAMA BAHAN],[2]!TBLREKAPBAHAN[[NAMA BAHAN]:[MODAL SATUAN]],4,FALSE)</f>
        <v>100</v>
      </c>
      <c r="F22" s="12">
        <f>VLOOKUP(TBLSIPKOREA[NAMA BAHAN],[2]!TBLREKAPBAHAN[[NAMA BAHAN]:[MODAL SATUAN]],4,FALSE)</f>
        <v>100</v>
      </c>
      <c r="G22" s="87">
        <v>10</v>
      </c>
      <c r="H22" s="88">
        <f t="shared" si="1"/>
        <v>1000</v>
      </c>
      <c r="I22" s="87">
        <v>10</v>
      </c>
      <c r="J22" s="88">
        <f t="shared" si="2"/>
        <v>1000</v>
      </c>
      <c r="K22" s="87">
        <v>10</v>
      </c>
      <c r="L22" s="88">
        <f t="shared" si="3"/>
        <v>1000</v>
      </c>
      <c r="O22" s="136">
        <v>10</v>
      </c>
      <c r="P22" s="137">
        <f t="shared" si="0"/>
        <v>1000</v>
      </c>
    </row>
    <row r="23" spans="1:16" x14ac:dyDescent="0.25">
      <c r="A23" s="123">
        <v>22</v>
      </c>
      <c r="B23" s="10" t="s">
        <v>42</v>
      </c>
      <c r="C23" s="11">
        <f>VLOOKUP(TBLSIPKOREA[NAMA BAHAN],[2]!TBLREKAPBAHAN[[NAMA BAHAN]:[MODAL SATUAN]],2,FALSE)</f>
        <v>12000</v>
      </c>
      <c r="D23" s="11">
        <f>VLOOKUP(TBLSIPKOREA[NAMA BAHAN],[2]!TBLREKAPBAHAN[[NAMA BAHAN]:[MODAL SATUAN]],3,FALSE)</f>
        <v>10</v>
      </c>
      <c r="E23" s="12">
        <f>VLOOKUP(TBLSIPKOREA[NAMA BAHAN],[2]!TBLREKAPBAHAN[[NAMA BAHAN]:[MODAL SATUAN]],4,FALSE)</f>
        <v>1200</v>
      </c>
      <c r="F23" s="12">
        <f>VLOOKUP(TBLSIPKOREA[NAMA BAHAN],[2]!TBLREKAPBAHAN[[NAMA BAHAN]:[MODAL SATUAN]],4,FALSE)</f>
        <v>1200</v>
      </c>
      <c r="G23" s="87">
        <v>2</v>
      </c>
      <c r="H23" s="88">
        <f t="shared" si="1"/>
        <v>2400</v>
      </c>
      <c r="I23" s="87">
        <v>2</v>
      </c>
      <c r="J23" s="88">
        <f t="shared" si="2"/>
        <v>2400</v>
      </c>
      <c r="K23" s="87">
        <v>2</v>
      </c>
      <c r="L23" s="88">
        <f t="shared" si="3"/>
        <v>2400</v>
      </c>
      <c r="O23" s="136">
        <v>2</v>
      </c>
      <c r="P23" s="137">
        <f t="shared" si="0"/>
        <v>2400</v>
      </c>
    </row>
    <row r="24" spans="1:16" x14ac:dyDescent="0.25">
      <c r="A24" s="123">
        <v>23</v>
      </c>
      <c r="B24" s="54" t="s">
        <v>155</v>
      </c>
      <c r="C24" s="11">
        <f>VLOOKUP(TBLSIPKOREA[NAMA BAHAN],[2]!TBLREKAPBAHAN[[NAMA BAHAN]:[MODAL SATUAN]],2,FALSE)</f>
        <v>17000</v>
      </c>
      <c r="D24" s="11">
        <f>VLOOKUP(TBLSIPKOREA[NAMA BAHAN],[2]!TBLREKAPBAHAN[[NAMA BAHAN]:[MODAL SATUAN]],3,FALSE)</f>
        <v>19000</v>
      </c>
      <c r="E24" s="12">
        <f>VLOOKUP(TBLSIPKOREA[NAMA BAHAN],[2]!TBLREKAPBAHAN[[NAMA BAHAN]:[MODAL SATUAN]],4,FALSE)</f>
        <v>0.89473684210526316</v>
      </c>
      <c r="F24" s="12">
        <f>VLOOKUP(TBLSIPKOREA[NAMA BAHAN],[2]!TBLREKAPBAHAN[[NAMA BAHAN]:[MODAL SATUAN]],4,FALSE)</f>
        <v>0.89473684210526316</v>
      </c>
      <c r="G24" s="87">
        <v>130</v>
      </c>
      <c r="H24" s="88">
        <f t="shared" si="1"/>
        <v>116.31578947368421</v>
      </c>
      <c r="I24" s="87">
        <v>130</v>
      </c>
      <c r="J24" s="88">
        <f t="shared" si="2"/>
        <v>116.31578947368421</v>
      </c>
      <c r="K24" s="87">
        <v>130</v>
      </c>
      <c r="L24" s="88">
        <f t="shared" si="3"/>
        <v>116.31578947368421</v>
      </c>
      <c r="O24" s="136">
        <v>130</v>
      </c>
      <c r="P24" s="137">
        <f t="shared" si="0"/>
        <v>116.31578947368421</v>
      </c>
    </row>
    <row r="25" spans="1:16" x14ac:dyDescent="0.25">
      <c r="A25" s="123">
        <v>24</v>
      </c>
      <c r="B25" s="10" t="s">
        <v>55</v>
      </c>
      <c r="C25" s="11">
        <f>VLOOKUP(TBLSIPKOREA[NAMA BAHAN],[2]!TBLREKAPBAHAN[[NAMA BAHAN]:[MODAL SATUAN]],2,FALSE)</f>
        <v>23000</v>
      </c>
      <c r="D25" s="11">
        <f>VLOOKUP(TBLSIPKOREA[NAMA BAHAN],[2]!TBLREKAPBAHAN[[NAMA BAHAN]:[MODAL SATUAN]],3,FALSE)</f>
        <v>3000</v>
      </c>
      <c r="E25" s="12">
        <f>VLOOKUP(TBLSIPKOREA[NAMA BAHAN],[2]!TBLREKAPBAHAN[[NAMA BAHAN]:[MODAL SATUAN]],4,FALSE)</f>
        <v>7.666666666666667</v>
      </c>
      <c r="F25" s="12">
        <f>VLOOKUP(TBLSIPKOREA[NAMA BAHAN],[2]!TBLREKAPBAHAN[[NAMA BAHAN]:[MODAL SATUAN]],4,FALSE)</f>
        <v>7.666666666666667</v>
      </c>
      <c r="G25" s="87">
        <v>100</v>
      </c>
      <c r="H25" s="88">
        <f t="shared" si="1"/>
        <v>766.66666666666674</v>
      </c>
      <c r="I25" s="87">
        <v>100</v>
      </c>
      <c r="J25" s="88">
        <f t="shared" si="2"/>
        <v>766.66666666666674</v>
      </c>
      <c r="K25" s="87">
        <v>100</v>
      </c>
      <c r="L25" s="88">
        <f t="shared" si="3"/>
        <v>766.66666666666674</v>
      </c>
      <c r="O25" s="136">
        <v>100</v>
      </c>
      <c r="P25" s="137">
        <f t="shared" si="0"/>
        <v>766.66666666666674</v>
      </c>
    </row>
    <row r="26" spans="1:16" x14ac:dyDescent="0.25">
      <c r="A26" s="123">
        <v>25</v>
      </c>
      <c r="B26" s="2" t="s">
        <v>183</v>
      </c>
      <c r="C26" s="11">
        <f>VLOOKUP(TBLSIPKOREA[NAMA BAHAN],[2]!TBLREKAPBAHAN[[NAMA BAHAN]:[MODAL SATUAN]],2,FALSE)</f>
        <v>10000</v>
      </c>
      <c r="D26" s="11">
        <f>VLOOKUP(TBLSIPKOREA[NAMA BAHAN],[2]!TBLREKAPBAHAN[[NAMA BAHAN]:[MODAL SATUAN]],3,FALSE)</f>
        <v>50</v>
      </c>
      <c r="E26" s="12">
        <f>VLOOKUP(TBLSIPKOREA[NAMA BAHAN],[2]!TBLREKAPBAHAN[[NAMA BAHAN]:[MODAL SATUAN]],4,FALSE)</f>
        <v>200</v>
      </c>
      <c r="F26" s="12">
        <f>VLOOKUP(TBLSIPKOREA[NAMA BAHAN],[2]!TBLREKAPBAHAN[[NAMA BAHAN]:[MODAL SATUAN]],4,FALSE)</f>
        <v>200</v>
      </c>
      <c r="G26" s="87">
        <v>1</v>
      </c>
      <c r="H26" s="88">
        <f t="shared" si="1"/>
        <v>200</v>
      </c>
      <c r="I26" s="87">
        <v>1</v>
      </c>
      <c r="J26" s="88">
        <f t="shared" si="2"/>
        <v>200</v>
      </c>
      <c r="K26" s="87">
        <v>1</v>
      </c>
      <c r="L26" s="88">
        <f t="shared" si="3"/>
        <v>200</v>
      </c>
      <c r="O26" s="136">
        <v>1</v>
      </c>
      <c r="P26" s="137">
        <f t="shared" si="0"/>
        <v>200</v>
      </c>
    </row>
    <row r="27" spans="1:16" x14ac:dyDescent="0.25">
      <c r="A27" s="123">
        <v>26</v>
      </c>
      <c r="B27" s="10" t="s">
        <v>84</v>
      </c>
      <c r="C27" s="11">
        <f>VLOOKUP(TBLSIPKOREA[NAMA BAHAN],[2]!TBLREKAPBAHAN[[NAMA BAHAN]:[MODAL SATUAN]],2,FALSE)</f>
        <v>3000</v>
      </c>
      <c r="D27" s="11">
        <f>VLOOKUP(TBLSIPKOREA[NAMA BAHAN],[2]!TBLREKAPBAHAN[[NAMA BAHAN]:[MODAL SATUAN]],3,FALSE)</f>
        <v>1</v>
      </c>
      <c r="E27" s="12">
        <f>VLOOKUP(TBLSIPKOREA[NAMA BAHAN],[2]!TBLREKAPBAHAN[[NAMA BAHAN]:[MODAL SATUAN]],4,FALSE)</f>
        <v>3000</v>
      </c>
      <c r="F27" s="12">
        <f>VLOOKUP(TBLSIPKOREA[NAMA BAHAN],[2]!TBLREKAPBAHAN[[NAMA BAHAN]:[MODAL SATUAN]],4,FALSE)</f>
        <v>3000</v>
      </c>
      <c r="G27" s="87">
        <v>1</v>
      </c>
      <c r="H27" s="88">
        <f t="shared" si="1"/>
        <v>3000</v>
      </c>
      <c r="I27" s="87">
        <v>1</v>
      </c>
      <c r="J27" s="88">
        <f t="shared" si="2"/>
        <v>3000</v>
      </c>
      <c r="K27" s="87">
        <v>1</v>
      </c>
      <c r="L27" s="88">
        <f t="shared" si="3"/>
        <v>3000</v>
      </c>
      <c r="O27" s="136">
        <v>1</v>
      </c>
      <c r="P27" s="137">
        <f t="shared" si="0"/>
        <v>3000</v>
      </c>
    </row>
    <row r="28" spans="1:16" x14ac:dyDescent="0.25">
      <c r="A28" s="123">
        <v>27</v>
      </c>
      <c r="B28" s="10" t="s">
        <v>85</v>
      </c>
      <c r="C28" s="11">
        <f>VLOOKUP(TBLSIPKOREA[NAMA BAHAN],[2]!TBLREKAPBAHAN[[NAMA BAHAN]:[MODAL SATUAN]],2,FALSE)</f>
        <v>37500</v>
      </c>
      <c r="D28" s="11">
        <f>VLOOKUP(TBLSIPKOREA[NAMA BAHAN],[2]!TBLREKAPBAHAN[[NAMA BAHAN]:[MODAL SATUAN]],3,FALSE)</f>
        <v>300</v>
      </c>
      <c r="E28" s="12">
        <f>VLOOKUP(TBLSIPKOREA[NAMA BAHAN],[2]!TBLREKAPBAHAN[[NAMA BAHAN]:[MODAL SATUAN]],4,FALSE)</f>
        <v>125</v>
      </c>
      <c r="F28" s="12">
        <f>VLOOKUP(TBLSIPKOREA[NAMA BAHAN],[2]!TBLREKAPBAHAN[[NAMA BAHAN]:[MODAL SATUAN]],4,FALSE)</f>
        <v>125</v>
      </c>
      <c r="G28" s="87">
        <v>1</v>
      </c>
      <c r="H28" s="88">
        <f t="shared" si="1"/>
        <v>125</v>
      </c>
      <c r="I28" s="87">
        <v>1</v>
      </c>
      <c r="J28" s="88">
        <f>F28*I28</f>
        <v>125</v>
      </c>
      <c r="K28" s="87">
        <v>1</v>
      </c>
      <c r="L28" s="88">
        <f t="shared" si="3"/>
        <v>125</v>
      </c>
      <c r="O28" s="136">
        <v>1</v>
      </c>
      <c r="P28" s="137">
        <f t="shared" si="0"/>
        <v>125</v>
      </c>
    </row>
    <row r="29" spans="1:16" x14ac:dyDescent="0.25">
      <c r="A29" s="123">
        <v>28</v>
      </c>
      <c r="B29" s="10" t="s">
        <v>86</v>
      </c>
      <c r="C29" s="11">
        <f>VLOOKUP(TBLSIPKOREA[NAMA BAHAN],[2]!TBLREKAPBAHAN[[NAMA BAHAN]:[MODAL SATUAN]],2,FALSE)</f>
        <v>1000</v>
      </c>
      <c r="D29" s="11">
        <f>VLOOKUP(TBLSIPKOREA[NAMA BAHAN],[2]!TBLREKAPBAHAN[[NAMA BAHAN]:[MODAL SATUAN]],3,FALSE)</f>
        <v>1</v>
      </c>
      <c r="E29" s="12">
        <f>VLOOKUP(TBLSIPKOREA[NAMA BAHAN],[2]!TBLREKAPBAHAN[[NAMA BAHAN]:[MODAL SATUAN]],4,FALSE)</f>
        <v>1000</v>
      </c>
      <c r="F29" s="12">
        <f>VLOOKUP(TBLSIPKOREA[NAMA BAHAN],[2]!TBLREKAPBAHAN[[NAMA BAHAN]:[MODAL SATUAN]],4,FALSE)</f>
        <v>1000</v>
      </c>
      <c r="G29" s="87">
        <v>1</v>
      </c>
      <c r="H29" s="88">
        <f t="shared" si="1"/>
        <v>1000</v>
      </c>
      <c r="I29" s="87">
        <v>1</v>
      </c>
      <c r="J29" s="88">
        <f t="shared" si="2"/>
        <v>1000</v>
      </c>
      <c r="K29" s="87">
        <v>1</v>
      </c>
      <c r="L29" s="88">
        <f t="shared" si="3"/>
        <v>1000</v>
      </c>
      <c r="O29" s="136">
        <v>1</v>
      </c>
      <c r="P29" s="137">
        <f t="shared" si="0"/>
        <v>1000</v>
      </c>
    </row>
    <row r="30" spans="1:16" x14ac:dyDescent="0.25">
      <c r="A30" s="152" t="s">
        <v>20</v>
      </c>
      <c r="B30" s="152"/>
      <c r="C30" s="152"/>
      <c r="D30" s="152"/>
      <c r="E30" s="152"/>
      <c r="F30" s="152"/>
      <c r="G30" s="83"/>
      <c r="H30" s="83">
        <f>SUM(H2:H29)</f>
        <v>72891.685805422647</v>
      </c>
      <c r="I30" s="83"/>
      <c r="J30" s="83">
        <f>SUM(J2:J29)</f>
        <v>75141.685805422647</v>
      </c>
      <c r="K30" s="83"/>
      <c r="L30" s="83">
        <f>SUM(L2:L29)</f>
        <v>74016.685805422647</v>
      </c>
      <c r="P30" s="1">
        <f>SUM(P1:P29)</f>
        <v>74653.527910685807</v>
      </c>
    </row>
    <row r="31" spans="1:16" s="17" customFormat="1" ht="15.75" customHeight="1" x14ac:dyDescent="0.25">
      <c r="G31" s="82"/>
      <c r="I31" s="82"/>
      <c r="K31" s="82"/>
    </row>
  </sheetData>
  <mergeCells count="1">
    <mergeCell ref="A30:F30"/>
  </mergeCells>
  <pageMargins left="0" right="0" top="0" bottom="0" header="0" footer="0"/>
  <pageSetup paperSize="9" scale="80" fitToWidth="0" fitToHeight="0" orientation="landscape" horizontalDpi="4294967293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70" zoomScaleNormal="70" workbookViewId="0">
      <selection activeCell="G6" sqref="G6"/>
    </sheetView>
  </sheetViews>
  <sheetFormatPr defaultRowHeight="15" x14ac:dyDescent="0.25"/>
  <cols>
    <col min="1" max="1" width="25.7109375" style="9" customWidth="1"/>
    <col min="2" max="2" width="41.28515625" style="9" customWidth="1"/>
    <col min="3" max="3" width="15.28515625" style="9" customWidth="1"/>
    <col min="4" max="4" width="9.140625" style="9"/>
    <col min="5" max="5" width="10" style="9" customWidth="1"/>
    <col min="6" max="6" width="11.28515625" style="9" customWidth="1"/>
    <col min="7" max="7" width="9.140625" style="18"/>
    <col min="8" max="8" width="19.7109375" style="9" customWidth="1"/>
    <col min="9" max="16384" width="9.140625" style="9"/>
  </cols>
  <sheetData>
    <row r="1" spans="1:8" s="56" customFormat="1" ht="86.25" customHeight="1" x14ac:dyDescent="0.25">
      <c r="A1" s="53" t="s">
        <v>90</v>
      </c>
      <c r="B1" s="54" t="s">
        <v>0</v>
      </c>
      <c r="C1" s="53" t="s">
        <v>4</v>
      </c>
      <c r="D1" s="53" t="s">
        <v>3</v>
      </c>
      <c r="E1" s="53" t="s">
        <v>1</v>
      </c>
      <c r="F1" s="53" t="s">
        <v>2</v>
      </c>
      <c r="G1" s="55" t="s">
        <v>5</v>
      </c>
      <c r="H1" s="53" t="s">
        <v>49</v>
      </c>
    </row>
    <row r="2" spans="1:8" x14ac:dyDescent="0.25">
      <c r="A2" s="123">
        <v>1</v>
      </c>
      <c r="B2" s="10" t="s">
        <v>71</v>
      </c>
      <c r="C2" s="11">
        <f>VLOOKUP(TBLPIZZAKULITKEBAB[NAMA BAHAN],[2]!TBLREKAPBAHAN[[NAMA BAHAN]:[MODAL SATUAN]],2,FALSE)</f>
        <v>12000</v>
      </c>
      <c r="D2" s="11">
        <f>VLOOKUP(TBLPIZZAKULITKEBAB[NAMA BAHAN],[2]!TBLREKAPBAHAN[[NAMA BAHAN]:[MODAL SATUAN]],3,FALSE)</f>
        <v>250</v>
      </c>
      <c r="E2" s="28">
        <f>VLOOKUP(TBLPIZZAKULITKEBAB[NAMA BAHAN],[2]!TBLREKAPBAHAN[[NAMA BAHAN]:[MODAL SATUAN]],4,FALSE)</f>
        <v>48</v>
      </c>
      <c r="F2" s="28">
        <f>VLOOKUP(TBLPIZZAKULITKEBAB[NAMA BAHAN],[2]!TBLREKAPBAHAN[[NAMA BAHAN]:[MODAL SATUAN]],4,FALSE)</f>
        <v>48</v>
      </c>
      <c r="G2" s="125">
        <v>30</v>
      </c>
      <c r="H2" s="132">
        <f>F2*G2</f>
        <v>1440</v>
      </c>
    </row>
    <row r="3" spans="1:8" x14ac:dyDescent="0.25">
      <c r="A3" s="123">
        <v>2</v>
      </c>
      <c r="B3" s="10" t="s">
        <v>74</v>
      </c>
      <c r="C3" s="11">
        <f>VLOOKUP(TBLPIZZAKULITKEBAB[NAMA BAHAN],[2]!TBLREKAPBAHAN[[NAMA BAHAN]:[MODAL SATUAN]],2,FALSE)</f>
        <v>7000</v>
      </c>
      <c r="D3" s="11">
        <f>VLOOKUP(TBLPIZZAKULITKEBAB[NAMA BAHAN],[2]!TBLREKAPBAHAN[[NAMA BAHAN]:[MODAL SATUAN]],3,FALSE)</f>
        <v>24</v>
      </c>
      <c r="E3" s="28">
        <f>VLOOKUP(TBLPIZZAKULITKEBAB[NAMA BAHAN],[2]!TBLREKAPBAHAN[[NAMA BAHAN]:[MODAL SATUAN]],4,FALSE)</f>
        <v>291.66666666666669</v>
      </c>
      <c r="F3" s="28">
        <f>VLOOKUP(TBLPIZZAKULITKEBAB[NAMA BAHAN],[2]!TBLREKAPBAHAN[[NAMA BAHAN]:[MODAL SATUAN]],4,FALSE)</f>
        <v>291.66666666666669</v>
      </c>
      <c r="G3" s="125">
        <v>2</v>
      </c>
      <c r="H3" s="132">
        <f>F3*G3</f>
        <v>583.33333333333337</v>
      </c>
    </row>
    <row r="4" spans="1:8" x14ac:dyDescent="0.25">
      <c r="A4" s="123">
        <v>3</v>
      </c>
      <c r="B4" s="10" t="s">
        <v>28</v>
      </c>
      <c r="C4" s="11">
        <f>VLOOKUP(TBLPIZZAKULITKEBAB[NAMA BAHAN],[2]!TBLREKAPBAHAN[[NAMA BAHAN]:[MODAL SATUAN]],2,FALSE)</f>
        <v>8000</v>
      </c>
      <c r="D4" s="11">
        <f>VLOOKUP(TBLPIZZAKULITKEBAB[NAMA BAHAN],[2]!TBLREKAPBAHAN[[NAMA BAHAN]:[MODAL SATUAN]],3,FALSE)</f>
        <v>24</v>
      </c>
      <c r="E4" s="28">
        <f>VLOOKUP(TBLPIZZAKULITKEBAB[NAMA BAHAN],[2]!TBLREKAPBAHAN[[NAMA BAHAN]:[MODAL SATUAN]],4,FALSE)</f>
        <v>333.33333333333331</v>
      </c>
      <c r="F4" s="28">
        <f>VLOOKUP(TBLPIZZAKULITKEBAB[NAMA BAHAN],[2]!TBLREKAPBAHAN[[NAMA BAHAN]:[MODAL SATUAN]],4,FALSE)</f>
        <v>333.33333333333331</v>
      </c>
      <c r="G4" s="125">
        <v>2</v>
      </c>
      <c r="H4" s="132">
        <f t="shared" ref="H4:H23" si="0">F4*G4</f>
        <v>666.66666666666663</v>
      </c>
    </row>
    <row r="5" spans="1:8" x14ac:dyDescent="0.25">
      <c r="A5" s="123">
        <v>4</v>
      </c>
      <c r="B5" s="10" t="s">
        <v>65</v>
      </c>
      <c r="C5" s="11">
        <f>VLOOKUP(TBLPIZZAKULITKEBAB[NAMA BAHAN],[2]!TBLREKAPBAHAN[[NAMA BAHAN]:[MODAL SATUAN]],2,FALSE)</f>
        <v>16000</v>
      </c>
      <c r="D5" s="11">
        <f>VLOOKUP(TBLPIZZAKULITKEBAB[NAMA BAHAN],[2]!TBLREKAPBAHAN[[NAMA BAHAN]:[MODAL SATUAN]],3,FALSE)</f>
        <v>12</v>
      </c>
      <c r="E5" s="28">
        <f>VLOOKUP(TBLPIZZAKULITKEBAB[NAMA BAHAN],[2]!TBLREKAPBAHAN[[NAMA BAHAN]:[MODAL SATUAN]],4,FALSE)</f>
        <v>1333.3333333333333</v>
      </c>
      <c r="F5" s="28">
        <f>VLOOKUP(TBLPIZZAKULITKEBAB[NAMA BAHAN],[2]!TBLREKAPBAHAN[[NAMA BAHAN]:[MODAL SATUAN]],4,FALSE)</f>
        <v>1333.3333333333333</v>
      </c>
      <c r="G5" s="125">
        <v>2</v>
      </c>
      <c r="H5" s="132">
        <f>F5*G5</f>
        <v>2666.6666666666665</v>
      </c>
    </row>
    <row r="6" spans="1:8" x14ac:dyDescent="0.25">
      <c r="A6" s="123">
        <v>5</v>
      </c>
      <c r="B6" s="10" t="s">
        <v>190</v>
      </c>
      <c r="C6" s="11">
        <f>VLOOKUP(TBLPIZZAKULITKEBAB[NAMA BAHAN],[2]!TBLREKAPBAHAN[[NAMA BAHAN]:[MODAL SATUAN]],2,FALSE)</f>
        <v>90000</v>
      </c>
      <c r="D6" s="11">
        <f>VLOOKUP(TBLPIZZAKULITKEBAB[NAMA BAHAN],[2]!TBLREKAPBAHAN[[NAMA BAHAN]:[MODAL SATUAN]],3,FALSE)</f>
        <v>500</v>
      </c>
      <c r="E6" s="28">
        <f>VLOOKUP(TBLPIZZAKULITKEBAB[NAMA BAHAN],[2]!TBLREKAPBAHAN[[NAMA BAHAN]:[MODAL SATUAN]],4,FALSE)</f>
        <v>180</v>
      </c>
      <c r="F6" s="28">
        <f>VLOOKUP(TBLPIZZAKULITKEBAB[NAMA BAHAN],[2]!TBLREKAPBAHAN[[NAMA BAHAN]:[MODAL SATUAN]],4,FALSE)</f>
        <v>180</v>
      </c>
      <c r="G6" s="125">
        <v>20</v>
      </c>
      <c r="H6" s="132">
        <f t="shared" si="0"/>
        <v>3600</v>
      </c>
    </row>
    <row r="7" spans="1:8" x14ac:dyDescent="0.25">
      <c r="A7" s="123">
        <v>6</v>
      </c>
      <c r="B7" s="10" t="s">
        <v>143</v>
      </c>
      <c r="C7" s="11">
        <f>VLOOKUP(TBLPIZZAKULITKEBAB[NAMA BAHAN],[2]!TBLREKAPBAHAN[[NAMA BAHAN]:[MODAL SATUAN]],2,FALSE)</f>
        <v>85000</v>
      </c>
      <c r="D7" s="11">
        <f>VLOOKUP(TBLPIZZAKULITKEBAB[NAMA BAHAN],[2]!TBLREKAPBAHAN[[NAMA BAHAN]:[MODAL SATUAN]],3,FALSE)</f>
        <v>1000</v>
      </c>
      <c r="E7" s="28">
        <f>VLOOKUP(TBLPIZZAKULITKEBAB[NAMA BAHAN],[2]!TBLREKAPBAHAN[[NAMA BAHAN]:[MODAL SATUAN]],4,FALSE)</f>
        <v>85</v>
      </c>
      <c r="F7" s="28">
        <f>VLOOKUP(TBLPIZZAKULITKEBAB[NAMA BAHAN],[2]!TBLREKAPBAHAN[[NAMA BAHAN]:[MODAL SATUAN]],4,FALSE)</f>
        <v>85</v>
      </c>
      <c r="G7" s="125">
        <v>50</v>
      </c>
      <c r="H7" s="132">
        <f t="shared" si="0"/>
        <v>4250</v>
      </c>
    </row>
    <row r="8" spans="1:8" x14ac:dyDescent="0.25">
      <c r="A8" s="123">
        <v>7</v>
      </c>
      <c r="B8" s="10" t="s">
        <v>57</v>
      </c>
      <c r="C8" s="11">
        <f>VLOOKUP(TBLPIZZAKULITKEBAB[NAMA BAHAN],[2]!TBLREKAPBAHAN[[NAMA BAHAN]:[MODAL SATUAN]],2,FALSE)</f>
        <v>35000</v>
      </c>
      <c r="D8" s="11">
        <f>VLOOKUP(TBLPIZZAKULITKEBAB[NAMA BAHAN],[2]!TBLREKAPBAHAN[[NAMA BAHAN]:[MODAL SATUAN]],3,FALSE)</f>
        <v>38</v>
      </c>
      <c r="E8" s="28">
        <f>VLOOKUP(TBLPIZZAKULITKEBAB[NAMA BAHAN],[2]!TBLREKAPBAHAN[[NAMA BAHAN]:[MODAL SATUAN]],4,FALSE)</f>
        <v>921.0526315789474</v>
      </c>
      <c r="F8" s="28">
        <f>VLOOKUP(TBLPIZZAKULITKEBAB[NAMA BAHAN],[2]!TBLREKAPBAHAN[[NAMA BAHAN]:[MODAL SATUAN]],4,FALSE)</f>
        <v>921.0526315789474</v>
      </c>
      <c r="G8" s="125">
        <v>0</v>
      </c>
      <c r="H8" s="132">
        <f>F8*G8</f>
        <v>0</v>
      </c>
    </row>
    <row r="9" spans="1:8" x14ac:dyDescent="0.25">
      <c r="A9" s="123">
        <v>8</v>
      </c>
      <c r="B9" s="10" t="s">
        <v>72</v>
      </c>
      <c r="C9" s="11">
        <f>VLOOKUP(TBLPIZZAKULITKEBAB[NAMA BAHAN],[2]!TBLREKAPBAHAN[[NAMA BAHAN]:[MODAL SATUAN]],2,FALSE)</f>
        <v>29000</v>
      </c>
      <c r="D9" s="11">
        <f>VLOOKUP(TBLPIZZAKULITKEBAB[NAMA BAHAN],[2]!TBLREKAPBAHAN[[NAMA BAHAN]:[MODAL SATUAN]],3,FALSE)</f>
        <v>20</v>
      </c>
      <c r="E9" s="28">
        <f>VLOOKUP(TBLPIZZAKULITKEBAB[NAMA BAHAN],[2]!TBLREKAPBAHAN[[NAMA BAHAN]:[MODAL SATUAN]],4,FALSE)</f>
        <v>1450</v>
      </c>
      <c r="F9" s="28">
        <f>VLOOKUP(TBLPIZZAKULITKEBAB[NAMA BAHAN],[2]!TBLREKAPBAHAN[[NAMA BAHAN]:[MODAL SATUAN]],4,FALSE)</f>
        <v>1450</v>
      </c>
      <c r="G9" s="125">
        <v>3</v>
      </c>
      <c r="H9" s="132">
        <f>F9*G9</f>
        <v>4350</v>
      </c>
    </row>
    <row r="10" spans="1:8" x14ac:dyDescent="0.25">
      <c r="A10" s="123">
        <v>9</v>
      </c>
      <c r="B10" s="10" t="s">
        <v>81</v>
      </c>
      <c r="C10" s="11">
        <f>VLOOKUP(TBLPIZZAKULITKEBAB[NAMA BAHAN],[2]!TBLREKAPBAHAN[[NAMA BAHAN]:[MODAL SATUAN]],2,FALSE)</f>
        <v>30000</v>
      </c>
      <c r="D10" s="11">
        <f>VLOOKUP(TBLPIZZAKULITKEBAB[NAMA BAHAN],[2]!TBLREKAPBAHAN[[NAMA BAHAN]:[MODAL SATUAN]],3,FALSE)</f>
        <v>30</v>
      </c>
      <c r="E10" s="28">
        <f>VLOOKUP(TBLPIZZAKULITKEBAB[NAMA BAHAN],[2]!TBLREKAPBAHAN[[NAMA BAHAN]:[MODAL SATUAN]],4,FALSE)</f>
        <v>1000</v>
      </c>
      <c r="F10" s="28">
        <f>VLOOKUP(TBLPIZZAKULITKEBAB[NAMA BAHAN],[2]!TBLREKAPBAHAN[[NAMA BAHAN]:[MODAL SATUAN]],4,FALSE)</f>
        <v>1000</v>
      </c>
      <c r="G10" s="125">
        <v>3</v>
      </c>
      <c r="H10" s="132">
        <f t="shared" si="0"/>
        <v>3000</v>
      </c>
    </row>
    <row r="11" spans="1:8" x14ac:dyDescent="0.25">
      <c r="A11" s="123">
        <v>10</v>
      </c>
      <c r="B11" s="10" t="s">
        <v>82</v>
      </c>
      <c r="C11" s="11">
        <f>VLOOKUP(TBLPIZZAKULITKEBAB[NAMA BAHAN],[2]!TBLREKAPBAHAN[[NAMA BAHAN]:[MODAL SATUAN]],2,FALSE)</f>
        <v>15000</v>
      </c>
      <c r="D11" s="11">
        <f>VLOOKUP(TBLPIZZAKULITKEBAB[NAMA BAHAN],[2]!TBLREKAPBAHAN[[NAMA BAHAN]:[MODAL SATUAN]],3,FALSE)</f>
        <v>80</v>
      </c>
      <c r="E11" s="28">
        <f>VLOOKUP(TBLPIZZAKULITKEBAB[NAMA BAHAN],[2]!TBLREKAPBAHAN[[NAMA BAHAN]:[MODAL SATUAN]],4,FALSE)</f>
        <v>187.5</v>
      </c>
      <c r="F11" s="28">
        <f>VLOOKUP(TBLPIZZAKULITKEBAB[NAMA BAHAN],[2]!TBLREKAPBAHAN[[NAMA BAHAN]:[MODAL SATUAN]],4,FALSE)</f>
        <v>187.5</v>
      </c>
      <c r="G11" s="125">
        <v>6</v>
      </c>
      <c r="H11" s="132">
        <f t="shared" si="0"/>
        <v>1125</v>
      </c>
    </row>
    <row r="12" spans="1:8" x14ac:dyDescent="0.25">
      <c r="A12" s="123">
        <v>11</v>
      </c>
      <c r="B12" s="10" t="s">
        <v>83</v>
      </c>
      <c r="C12" s="11">
        <f>VLOOKUP(TBLPIZZAKULITKEBAB[NAMA BAHAN],[2]!TBLREKAPBAHAN[[NAMA BAHAN]:[MODAL SATUAN]],2,FALSE)</f>
        <v>5000</v>
      </c>
      <c r="D12" s="11">
        <f>VLOOKUP(TBLPIZZAKULITKEBAB[NAMA BAHAN],[2]!TBLREKAPBAHAN[[NAMA BAHAN]:[MODAL SATUAN]],3,FALSE)</f>
        <v>8</v>
      </c>
      <c r="E12" s="28">
        <f>VLOOKUP(TBLPIZZAKULITKEBAB[NAMA BAHAN],[2]!TBLREKAPBAHAN[[NAMA BAHAN]:[MODAL SATUAN]],4,FALSE)</f>
        <v>625</v>
      </c>
      <c r="F12" s="28">
        <f>VLOOKUP(TBLPIZZAKULITKEBAB[NAMA BAHAN],[2]!TBLREKAPBAHAN[[NAMA BAHAN]:[MODAL SATUAN]],4,FALSE)</f>
        <v>625</v>
      </c>
      <c r="G12" s="125">
        <v>1</v>
      </c>
      <c r="H12" s="132">
        <f t="shared" si="0"/>
        <v>625</v>
      </c>
    </row>
    <row r="13" spans="1:8" x14ac:dyDescent="0.25">
      <c r="A13" s="123">
        <v>12</v>
      </c>
      <c r="B13" s="10" t="s">
        <v>15</v>
      </c>
      <c r="C13" s="11">
        <f>VLOOKUP(TBLPIZZAKULITKEBAB[NAMA BAHAN],[2]!TBLREKAPBAHAN[[NAMA BAHAN]:[MODAL SATUAN]],2,FALSE)</f>
        <v>25000</v>
      </c>
      <c r="D13" s="11">
        <f>VLOOKUP(TBLPIZZAKULITKEBAB[NAMA BAHAN],[2]!TBLREKAPBAHAN[[NAMA BAHAN]:[MODAL SATUAN]],3,FALSE)</f>
        <v>100</v>
      </c>
      <c r="E13" s="28">
        <f>VLOOKUP(TBLPIZZAKULITKEBAB[NAMA BAHAN],[2]!TBLREKAPBAHAN[[NAMA BAHAN]:[MODAL SATUAN]],4,FALSE)</f>
        <v>250</v>
      </c>
      <c r="F13" s="28">
        <f>VLOOKUP(TBLPIZZAKULITKEBAB[NAMA BAHAN],[2]!TBLREKAPBAHAN[[NAMA BAHAN]:[MODAL SATUAN]],4,FALSE)</f>
        <v>250</v>
      </c>
      <c r="G13" s="125">
        <v>0</v>
      </c>
      <c r="H13" s="132">
        <f t="shared" si="0"/>
        <v>0</v>
      </c>
    </row>
    <row r="14" spans="1:8" x14ac:dyDescent="0.25">
      <c r="A14" s="123">
        <v>13</v>
      </c>
      <c r="B14" s="10" t="s">
        <v>13</v>
      </c>
      <c r="C14" s="11">
        <f>VLOOKUP(TBLPIZZAKULITKEBAB[NAMA BAHAN],[2]!TBLREKAPBAHAN[[NAMA BAHAN]:[MODAL SATUAN]],2,FALSE)</f>
        <v>2000</v>
      </c>
      <c r="D14" s="11">
        <f>VLOOKUP(TBLPIZZAKULITKEBAB[NAMA BAHAN],[2]!TBLREKAPBAHAN[[NAMA BAHAN]:[MODAL SATUAN]],3,FALSE)</f>
        <v>10</v>
      </c>
      <c r="E14" s="28">
        <f>VLOOKUP(TBLPIZZAKULITKEBAB[NAMA BAHAN],[2]!TBLREKAPBAHAN[[NAMA BAHAN]:[MODAL SATUAN]],4,FALSE)</f>
        <v>200</v>
      </c>
      <c r="F14" s="28">
        <f>VLOOKUP(TBLPIZZAKULITKEBAB[NAMA BAHAN],[2]!TBLREKAPBAHAN[[NAMA BAHAN]:[MODAL SATUAN]],4,FALSE)</f>
        <v>200</v>
      </c>
      <c r="G14" s="125">
        <v>0</v>
      </c>
      <c r="H14" s="132">
        <f t="shared" si="0"/>
        <v>0</v>
      </c>
    </row>
    <row r="15" spans="1:8" x14ac:dyDescent="0.25">
      <c r="A15" s="123">
        <v>14</v>
      </c>
      <c r="B15" s="10" t="s">
        <v>16</v>
      </c>
      <c r="C15" s="11">
        <f>VLOOKUP(TBLPIZZAKULITKEBAB[NAMA BAHAN],[2]!TBLREKAPBAHAN[[NAMA BAHAN]:[MODAL SATUAN]],2,FALSE)</f>
        <v>3000</v>
      </c>
      <c r="D15" s="11">
        <f>VLOOKUP(TBLPIZZAKULITKEBAB[NAMA BAHAN],[2]!TBLREKAPBAHAN[[NAMA BAHAN]:[MODAL SATUAN]],3,FALSE)</f>
        <v>2</v>
      </c>
      <c r="E15" s="28">
        <f>VLOOKUP(TBLPIZZAKULITKEBAB[NAMA BAHAN],[2]!TBLREKAPBAHAN[[NAMA BAHAN]:[MODAL SATUAN]],4,FALSE)</f>
        <v>1500</v>
      </c>
      <c r="F15" s="28">
        <f>VLOOKUP(TBLPIZZAKULITKEBAB[NAMA BAHAN],[2]!TBLREKAPBAHAN[[NAMA BAHAN]:[MODAL SATUAN]],4,FALSE)</f>
        <v>1500</v>
      </c>
      <c r="G15" s="125">
        <v>0</v>
      </c>
      <c r="H15" s="132">
        <f t="shared" si="0"/>
        <v>0</v>
      </c>
    </row>
    <row r="16" spans="1:8" x14ac:dyDescent="0.25">
      <c r="A16" s="123">
        <v>15</v>
      </c>
      <c r="B16" s="10" t="s">
        <v>41</v>
      </c>
      <c r="C16" s="11">
        <f>VLOOKUP(TBLPIZZAKULITKEBAB[NAMA BAHAN],[2]!TBLREKAPBAHAN[[NAMA BAHAN]:[MODAL SATUAN]],2,FALSE)</f>
        <v>9000</v>
      </c>
      <c r="D16" s="11">
        <f>VLOOKUP(TBLPIZZAKULITKEBAB[NAMA BAHAN],[2]!TBLREKAPBAHAN[[NAMA BAHAN]:[MODAL SATUAN]],3,FALSE)</f>
        <v>10</v>
      </c>
      <c r="E16" s="28">
        <f>VLOOKUP(TBLPIZZAKULITKEBAB[NAMA BAHAN],[2]!TBLREKAPBAHAN[[NAMA BAHAN]:[MODAL SATUAN]],4,FALSE)</f>
        <v>900</v>
      </c>
      <c r="F16" s="28">
        <f>VLOOKUP(TBLPIZZAKULITKEBAB[NAMA BAHAN],[2]!TBLREKAPBAHAN[[NAMA BAHAN]:[MODAL SATUAN]],4,FALSE)</f>
        <v>900</v>
      </c>
      <c r="G16" s="125">
        <v>0</v>
      </c>
      <c r="H16" s="132">
        <f t="shared" si="0"/>
        <v>0</v>
      </c>
    </row>
    <row r="17" spans="1:8" x14ac:dyDescent="0.25">
      <c r="A17" s="123">
        <v>16</v>
      </c>
      <c r="B17" s="10" t="s">
        <v>141</v>
      </c>
      <c r="C17" s="11">
        <f>VLOOKUP(TBLPIZZAKULITKEBAB[NAMA BAHAN],[2]!TBLREKAPBAHAN[[NAMA BAHAN]:[MODAL SATUAN]],2,FALSE)</f>
        <v>10000</v>
      </c>
      <c r="D17" s="11">
        <f>VLOOKUP(TBLPIZZAKULITKEBAB[NAMA BAHAN],[2]!TBLREKAPBAHAN[[NAMA BAHAN]:[MODAL SATUAN]],3,FALSE)</f>
        <v>100</v>
      </c>
      <c r="E17" s="28">
        <f>VLOOKUP(TBLPIZZAKULITKEBAB[NAMA BAHAN],[2]!TBLREKAPBAHAN[[NAMA BAHAN]:[MODAL SATUAN]],4,FALSE)</f>
        <v>100</v>
      </c>
      <c r="F17" s="28">
        <f>VLOOKUP(TBLPIZZAKULITKEBAB[NAMA BAHAN],[2]!TBLREKAPBAHAN[[NAMA BAHAN]:[MODAL SATUAN]],4,FALSE)</f>
        <v>100</v>
      </c>
      <c r="G17" s="125">
        <v>20</v>
      </c>
      <c r="H17" s="132">
        <f t="shared" si="0"/>
        <v>2000</v>
      </c>
    </row>
    <row r="18" spans="1:8" x14ac:dyDescent="0.25">
      <c r="A18" s="123">
        <v>17</v>
      </c>
      <c r="B18" s="10" t="s">
        <v>42</v>
      </c>
      <c r="C18" s="11">
        <f>VLOOKUP(TBLPIZZAKULITKEBAB[NAMA BAHAN],[2]!TBLREKAPBAHAN[[NAMA BAHAN]:[MODAL SATUAN]],2,FALSE)</f>
        <v>12000</v>
      </c>
      <c r="D18" s="11">
        <f>VLOOKUP(TBLPIZZAKULITKEBAB[NAMA BAHAN],[2]!TBLREKAPBAHAN[[NAMA BAHAN]:[MODAL SATUAN]],3,FALSE)</f>
        <v>10</v>
      </c>
      <c r="E18" s="28">
        <f>VLOOKUP(TBLPIZZAKULITKEBAB[NAMA BAHAN],[2]!TBLREKAPBAHAN[[NAMA BAHAN]:[MODAL SATUAN]],4,FALSE)</f>
        <v>1200</v>
      </c>
      <c r="F18" s="28">
        <f>VLOOKUP(TBLPIZZAKULITKEBAB[NAMA BAHAN],[2]!TBLREKAPBAHAN[[NAMA BAHAN]:[MODAL SATUAN]],4,FALSE)</f>
        <v>1200</v>
      </c>
      <c r="G18" s="125">
        <v>0</v>
      </c>
      <c r="H18" s="132">
        <f t="shared" si="0"/>
        <v>0</v>
      </c>
    </row>
    <row r="19" spans="1:8" x14ac:dyDescent="0.25">
      <c r="A19" s="123">
        <v>18</v>
      </c>
      <c r="B19" s="10" t="s">
        <v>55</v>
      </c>
      <c r="C19" s="11">
        <f>VLOOKUP(TBLPIZZAKULITKEBAB[NAMA BAHAN],[2]!TBLREKAPBAHAN[[NAMA BAHAN]:[MODAL SATUAN]],2,FALSE)</f>
        <v>23000</v>
      </c>
      <c r="D19" s="11">
        <f>VLOOKUP(TBLPIZZAKULITKEBAB[NAMA BAHAN],[2]!TBLREKAPBAHAN[[NAMA BAHAN]:[MODAL SATUAN]],3,FALSE)</f>
        <v>3000</v>
      </c>
      <c r="E19" s="28">
        <f>VLOOKUP(TBLPIZZAKULITKEBAB[NAMA BAHAN],[2]!TBLREKAPBAHAN[[NAMA BAHAN]:[MODAL SATUAN]],4,FALSE)</f>
        <v>7.666666666666667</v>
      </c>
      <c r="F19" s="28">
        <f>VLOOKUP(TBLPIZZAKULITKEBAB[NAMA BAHAN],[2]!TBLREKAPBAHAN[[NAMA BAHAN]:[MODAL SATUAN]],4,FALSE)</f>
        <v>7.666666666666667</v>
      </c>
      <c r="G19" s="125">
        <v>30</v>
      </c>
      <c r="H19" s="132">
        <f t="shared" si="0"/>
        <v>230</v>
      </c>
    </row>
    <row r="20" spans="1:8" x14ac:dyDescent="0.25">
      <c r="A20" s="123">
        <v>19</v>
      </c>
      <c r="B20" s="2" t="s">
        <v>183</v>
      </c>
      <c r="C20" s="11">
        <f>VLOOKUP(TBLPIZZAKULITKEBAB[NAMA BAHAN],[2]!TBLREKAPBAHAN[[NAMA BAHAN]:[MODAL SATUAN]],2,FALSE)</f>
        <v>10000</v>
      </c>
      <c r="D20" s="11">
        <f>VLOOKUP(TBLPIZZAKULITKEBAB[NAMA BAHAN],[2]!TBLREKAPBAHAN[[NAMA BAHAN]:[MODAL SATUAN]],3,FALSE)</f>
        <v>50</v>
      </c>
      <c r="E20" s="28">
        <f>VLOOKUP(TBLPIZZAKULITKEBAB[NAMA BAHAN],[2]!TBLREKAPBAHAN[[NAMA BAHAN]:[MODAL SATUAN]],4,FALSE)</f>
        <v>200</v>
      </c>
      <c r="F20" s="28">
        <f>VLOOKUP(TBLPIZZAKULITKEBAB[NAMA BAHAN],[2]!TBLREKAPBAHAN[[NAMA BAHAN]:[MODAL SATUAN]],4,FALSE)</f>
        <v>200</v>
      </c>
      <c r="G20" s="125">
        <v>1</v>
      </c>
      <c r="H20" s="132">
        <f t="shared" si="0"/>
        <v>200</v>
      </c>
    </row>
    <row r="21" spans="1:8" x14ac:dyDescent="0.25">
      <c r="A21" s="123">
        <v>20</v>
      </c>
      <c r="B21" s="10" t="s">
        <v>89</v>
      </c>
      <c r="C21" s="11">
        <f>VLOOKUP(TBLPIZZAKULITKEBAB[NAMA BAHAN],[2]!TBLREKAPBAHAN[[NAMA BAHAN]:[MODAL SATUAN]],2,FALSE)</f>
        <v>2500</v>
      </c>
      <c r="D21" s="11">
        <f>VLOOKUP(TBLPIZZAKULITKEBAB[NAMA BAHAN],[2]!TBLREKAPBAHAN[[NAMA BAHAN]:[MODAL SATUAN]],3,FALSE)</f>
        <v>1</v>
      </c>
      <c r="E21" s="28">
        <f>VLOOKUP(TBLPIZZAKULITKEBAB[NAMA BAHAN],[2]!TBLREKAPBAHAN[[NAMA BAHAN]:[MODAL SATUAN]],4,FALSE)</f>
        <v>2500</v>
      </c>
      <c r="F21" s="28">
        <f>VLOOKUP(TBLPIZZAKULITKEBAB[NAMA BAHAN],[2]!TBLREKAPBAHAN[[NAMA BAHAN]:[MODAL SATUAN]],4,FALSE)</f>
        <v>2500</v>
      </c>
      <c r="G21" s="125">
        <v>1</v>
      </c>
      <c r="H21" s="132">
        <f t="shared" si="0"/>
        <v>2500</v>
      </c>
    </row>
    <row r="22" spans="1:8" x14ac:dyDescent="0.25">
      <c r="A22" s="123">
        <v>21</v>
      </c>
      <c r="B22" s="10" t="s">
        <v>85</v>
      </c>
      <c r="C22" s="11">
        <f>VLOOKUP(TBLPIZZAKULITKEBAB[NAMA BAHAN],[2]!TBLREKAPBAHAN[[NAMA BAHAN]:[MODAL SATUAN]],2,FALSE)</f>
        <v>37500</v>
      </c>
      <c r="D22" s="11">
        <f>VLOOKUP(TBLPIZZAKULITKEBAB[NAMA BAHAN],[2]!TBLREKAPBAHAN[[NAMA BAHAN]:[MODAL SATUAN]],3,FALSE)</f>
        <v>300</v>
      </c>
      <c r="E22" s="28">
        <f>VLOOKUP(TBLPIZZAKULITKEBAB[NAMA BAHAN],[2]!TBLREKAPBAHAN[[NAMA BAHAN]:[MODAL SATUAN]],4,FALSE)</f>
        <v>125</v>
      </c>
      <c r="F22" s="28">
        <f>VLOOKUP(TBLPIZZAKULITKEBAB[NAMA BAHAN],[2]!TBLREKAPBAHAN[[NAMA BAHAN]:[MODAL SATUAN]],4,FALSE)</f>
        <v>125</v>
      </c>
      <c r="G22" s="125">
        <v>1</v>
      </c>
      <c r="H22" s="132">
        <f t="shared" si="0"/>
        <v>125</v>
      </c>
    </row>
    <row r="23" spans="1:8" x14ac:dyDescent="0.25">
      <c r="A23" s="123">
        <v>22</v>
      </c>
      <c r="B23" s="10" t="s">
        <v>86</v>
      </c>
      <c r="C23" s="11">
        <f>VLOOKUP(TBLPIZZAKULITKEBAB[NAMA BAHAN],[2]!TBLREKAPBAHAN[[NAMA BAHAN]:[MODAL SATUAN]],2,FALSE)</f>
        <v>1000</v>
      </c>
      <c r="D23" s="11">
        <f>VLOOKUP(TBLPIZZAKULITKEBAB[NAMA BAHAN],[2]!TBLREKAPBAHAN[[NAMA BAHAN]:[MODAL SATUAN]],3,FALSE)</f>
        <v>1</v>
      </c>
      <c r="E23" s="28">
        <f>VLOOKUP(TBLPIZZAKULITKEBAB[NAMA BAHAN],[2]!TBLREKAPBAHAN[[NAMA BAHAN]:[MODAL SATUAN]],4,FALSE)</f>
        <v>1000</v>
      </c>
      <c r="F23" s="28">
        <f>VLOOKUP(TBLPIZZAKULITKEBAB[NAMA BAHAN],[2]!TBLREKAPBAHAN[[NAMA BAHAN]:[MODAL SATUAN]],4,FALSE)</f>
        <v>1000</v>
      </c>
      <c r="G23" s="125">
        <v>1</v>
      </c>
      <c r="H23" s="132">
        <f t="shared" si="0"/>
        <v>1000</v>
      </c>
    </row>
    <row r="24" spans="1:8" x14ac:dyDescent="0.25">
      <c r="A24" s="152" t="s">
        <v>20</v>
      </c>
      <c r="B24" s="152"/>
      <c r="C24" s="152"/>
      <c r="D24" s="152"/>
      <c r="E24" s="152"/>
      <c r="F24" s="152"/>
      <c r="G24" s="83"/>
      <c r="H24" s="83">
        <f>SUM(H2:H23)</f>
        <v>28361.666666666664</v>
      </c>
    </row>
    <row r="25" spans="1:8" s="17" customFormat="1" ht="15.75" customHeight="1" x14ac:dyDescent="0.25">
      <c r="G25" s="82"/>
    </row>
  </sheetData>
  <mergeCells count="1">
    <mergeCell ref="A24:F24"/>
  </mergeCells>
  <pageMargins left="0" right="0" top="0" bottom="0" header="0" footer="0"/>
  <pageSetup paperSize="9" scale="80" fitToWidth="0" fitToHeight="0" orientation="landscape" horizontalDpi="4294967293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opLeftCell="A41" zoomScale="80" zoomScaleNormal="80" workbookViewId="0">
      <selection activeCell="B60" sqref="B60"/>
    </sheetView>
  </sheetViews>
  <sheetFormatPr defaultRowHeight="15" x14ac:dyDescent="0.25"/>
  <cols>
    <col min="1" max="1" width="74.85546875" style="34" customWidth="1"/>
    <col min="2" max="2" width="24" style="34" customWidth="1"/>
    <col min="3" max="3" width="24" style="9" customWidth="1"/>
    <col min="4" max="16384" width="9.140625" style="9"/>
  </cols>
  <sheetData>
    <row r="1" spans="1:3" x14ac:dyDescent="0.25">
      <c r="A1" s="153" t="s">
        <v>20</v>
      </c>
      <c r="B1" s="153"/>
    </row>
    <row r="2" spans="1:3" x14ac:dyDescent="0.25">
      <c r="A2" s="153" t="s">
        <v>8</v>
      </c>
      <c r="B2" s="153"/>
    </row>
    <row r="4" spans="1:3" ht="60.75" customHeight="1" x14ac:dyDescent="0.25">
      <c r="A4" s="2" t="s">
        <v>7</v>
      </c>
      <c r="B4" s="2" t="s">
        <v>21</v>
      </c>
      <c r="C4" s="2" t="s">
        <v>22</v>
      </c>
    </row>
    <row r="5" spans="1:3" x14ac:dyDescent="0.25">
      <c r="A5" s="2" t="s">
        <v>11</v>
      </c>
      <c r="B5" s="8">
        <f>BURGER!U18</f>
        <v>11837.888888888891</v>
      </c>
      <c r="C5" s="8"/>
    </row>
    <row r="6" spans="1:3" x14ac:dyDescent="0.25">
      <c r="A6" s="2" t="s">
        <v>181</v>
      </c>
      <c r="B6" s="8">
        <f>BURGER!W18</f>
        <v>15662.888888888891</v>
      </c>
      <c r="C6" s="8"/>
    </row>
    <row r="7" spans="1:3" x14ac:dyDescent="0.25">
      <c r="A7" s="2" t="s">
        <v>38</v>
      </c>
      <c r="B7" s="8">
        <f>BURGER!AI18</f>
        <v>11049.000000000002</v>
      </c>
      <c r="C7" s="8"/>
    </row>
    <row r="8" spans="1:3" x14ac:dyDescent="0.25">
      <c r="A8" s="2" t="s">
        <v>6</v>
      </c>
      <c r="B8" s="8">
        <f>BURGER!J18</f>
        <v>11679.555555555557</v>
      </c>
      <c r="C8" s="8"/>
    </row>
    <row r="9" spans="1:3" s="89" customFormat="1" x14ac:dyDescent="0.25">
      <c r="A9" s="2" t="s">
        <v>92</v>
      </c>
      <c r="B9" s="8">
        <f>BURGER!AT18</f>
        <v>12224</v>
      </c>
      <c r="C9" s="8"/>
    </row>
    <row r="10" spans="1:3" s="89" customFormat="1" x14ac:dyDescent="0.25">
      <c r="A10" s="2" t="s">
        <v>174</v>
      </c>
      <c r="B10" s="8">
        <f>'KEBAB AYAM'!I38</f>
        <v>6711.666666666667</v>
      </c>
      <c r="C10" s="8"/>
    </row>
    <row r="11" spans="1:3" s="89" customFormat="1" x14ac:dyDescent="0.25">
      <c r="A11" s="2" t="s">
        <v>175</v>
      </c>
      <c r="B11" s="8">
        <f>'KEBAB AYAM'!K38</f>
        <v>7057.666666666667</v>
      </c>
      <c r="C11" s="8"/>
    </row>
    <row r="12" spans="1:3" s="89" customFormat="1" x14ac:dyDescent="0.25">
      <c r="A12" s="2" t="s">
        <v>176</v>
      </c>
      <c r="B12" s="8">
        <f>'KEBAB AYAM'!M38</f>
        <v>6074.166666666667</v>
      </c>
      <c r="C12" s="8"/>
    </row>
    <row r="13" spans="1:3" s="89" customFormat="1" x14ac:dyDescent="0.25">
      <c r="A13" s="2" t="s">
        <v>177</v>
      </c>
      <c r="B13" s="8">
        <f>'KEBAB AYAM'!O38</f>
        <v>6420.166666666667</v>
      </c>
      <c r="C13" s="8"/>
    </row>
    <row r="14" spans="1:3" s="89" customFormat="1" x14ac:dyDescent="0.25">
      <c r="A14" s="2" t="s">
        <v>115</v>
      </c>
      <c r="B14" s="8">
        <f>'KEBAB AYAM + SOSIZ (KECIL)'!I15</f>
        <v>6122.1929824561403</v>
      </c>
      <c r="C14" s="8"/>
    </row>
    <row r="15" spans="1:3" s="89" customFormat="1" x14ac:dyDescent="0.25">
      <c r="A15" s="2" t="s">
        <v>116</v>
      </c>
      <c r="B15" s="8">
        <f>'KEBAB AYAM + SOSIZ (KECIL)'!K15</f>
        <v>6192.1929824561403</v>
      </c>
      <c r="C15" s="8"/>
    </row>
    <row r="16" spans="1:3" s="89" customFormat="1" x14ac:dyDescent="0.25">
      <c r="A16" s="2" t="s">
        <v>119</v>
      </c>
      <c r="B16" s="8">
        <f>'KEBAB AYAM + SOSIZ (KECIL)'!M15</f>
        <v>5972.1929824561403</v>
      </c>
      <c r="C16" s="8"/>
    </row>
    <row r="17" spans="1:3" s="89" customFormat="1" x14ac:dyDescent="0.25">
      <c r="A17" s="2" t="s">
        <v>118</v>
      </c>
      <c r="B17" s="8">
        <f>'KEBAB AYAM + SOSIZ (KECIL)'!O15</f>
        <v>5870.2192982456145</v>
      </c>
      <c r="C17" s="8"/>
    </row>
    <row r="18" spans="1:3" s="89" customFormat="1" x14ac:dyDescent="0.25">
      <c r="A18" s="2" t="s">
        <v>121</v>
      </c>
      <c r="B18" s="8">
        <f>'KEBAB AYAM + SOSIZ (MEDIUM)'!I15</f>
        <v>8274.7192982456145</v>
      </c>
      <c r="C18" s="8"/>
    </row>
    <row r="19" spans="1:3" s="89" customFormat="1" x14ac:dyDescent="0.25">
      <c r="A19" s="2" t="s">
        <v>120</v>
      </c>
      <c r="B19" s="8">
        <f>'KEBAB AYAM + SOSIZ (MEDIUM)'!K15</f>
        <v>8174.7192982456145</v>
      </c>
      <c r="C19" s="8"/>
    </row>
    <row r="20" spans="1:3" s="89" customFormat="1" x14ac:dyDescent="0.25">
      <c r="A20" s="90" t="s">
        <v>122</v>
      </c>
      <c r="B20" s="8">
        <f>'KEBAB AYAM + SOSIZ (MEDIUM)'!M15</f>
        <v>8762.2192982456127</v>
      </c>
      <c r="C20" s="8"/>
    </row>
    <row r="21" spans="1:3" x14ac:dyDescent="0.25">
      <c r="A21" s="90" t="s">
        <v>123</v>
      </c>
      <c r="B21" s="8">
        <f>'KEBAB AYAM + SOSIZ (MEDIUM)'!O15</f>
        <v>8558.2719298245611</v>
      </c>
      <c r="C21" s="8"/>
    </row>
    <row r="22" spans="1:3" x14ac:dyDescent="0.25">
      <c r="A22" s="2" t="s">
        <v>166</v>
      </c>
      <c r="B22" s="8">
        <f>'KEBAB AYAM'!I14</f>
        <v>8478.6666666666679</v>
      </c>
      <c r="C22" s="8"/>
    </row>
    <row r="23" spans="1:3" x14ac:dyDescent="0.25">
      <c r="A23" s="2" t="s">
        <v>170</v>
      </c>
      <c r="B23" s="8">
        <f>'KEBAB AYAM'!K14</f>
        <v>8378.6666666666679</v>
      </c>
      <c r="C23" s="8"/>
    </row>
    <row r="24" spans="1:3" x14ac:dyDescent="0.25">
      <c r="A24" s="2" t="s">
        <v>169</v>
      </c>
      <c r="B24" s="8">
        <f>'KEBAB AYAM'!M14</f>
        <v>7841.166666666667</v>
      </c>
      <c r="C24" s="8"/>
    </row>
    <row r="25" spans="1:3" x14ac:dyDescent="0.25">
      <c r="A25" s="2" t="s">
        <v>171</v>
      </c>
      <c r="B25" s="8">
        <f>'KEBAB AYAM'!O14</f>
        <v>7841.166666666667</v>
      </c>
      <c r="C25" s="8"/>
    </row>
    <row r="26" spans="1:3" x14ac:dyDescent="0.25">
      <c r="A26" s="2" t="s">
        <v>111</v>
      </c>
      <c r="B26" s="8">
        <f>' KEBAB SOSIZ'!H14</f>
        <v>6730.4385964912281</v>
      </c>
      <c r="C26" s="8"/>
    </row>
    <row r="27" spans="1:3" x14ac:dyDescent="0.25">
      <c r="A27" s="2" t="s">
        <v>112</v>
      </c>
      <c r="B27" s="8">
        <f>' KEBAB SOSIZ'!J14</f>
        <v>6740.4385964912281</v>
      </c>
      <c r="C27" s="8"/>
    </row>
    <row r="28" spans="1:3" x14ac:dyDescent="0.25">
      <c r="A28" s="2" t="s">
        <v>114</v>
      </c>
      <c r="B28" s="8">
        <f>' KEBAB SOSIZ'!N14</f>
        <v>6461.4912280701747</v>
      </c>
      <c r="C28" s="8"/>
    </row>
    <row r="29" spans="1:3" x14ac:dyDescent="0.25">
      <c r="A29" s="2" t="s">
        <v>113</v>
      </c>
      <c r="B29" s="8">
        <f>' KEBAB SOSIZ'!L14</f>
        <v>6451.4912280701747</v>
      </c>
      <c r="C29" s="8"/>
    </row>
    <row r="30" spans="1:3" x14ac:dyDescent="0.25">
      <c r="A30" s="2" t="s">
        <v>178</v>
      </c>
      <c r="B30" s="8">
        <f>'PIZZA KULIT KEBAB'!H24</f>
        <v>28361.666666666664</v>
      </c>
      <c r="C30" s="8"/>
    </row>
    <row r="31" spans="1:3" x14ac:dyDescent="0.25">
      <c r="A31" s="2" t="s">
        <v>100</v>
      </c>
      <c r="B31" s="8">
        <f>'PIZZA SIP'!L31</f>
        <v>67651.70972886763</v>
      </c>
      <c r="C31" s="8"/>
    </row>
    <row r="32" spans="1:3" x14ac:dyDescent="0.25">
      <c r="A32" s="2" t="s">
        <v>98</v>
      </c>
      <c r="B32" s="8">
        <f>'PIZZA SIP'!H31</f>
        <v>65820.370015948967</v>
      </c>
      <c r="C32" s="8"/>
    </row>
    <row r="33" spans="1:3" x14ac:dyDescent="0.25">
      <c r="A33" s="2" t="s">
        <v>99</v>
      </c>
      <c r="B33" s="8">
        <f>'PIZZA SIP'!P31</f>
        <v>66026.70972886763</v>
      </c>
      <c r="C33" s="8"/>
    </row>
    <row r="34" spans="1:3" x14ac:dyDescent="0.25">
      <c r="A34" s="2" t="s">
        <v>107</v>
      </c>
      <c r="B34" s="8">
        <f>'PIZZA SIP TOP KOREA'!J30</f>
        <v>75141.685805422647</v>
      </c>
      <c r="C34" s="8"/>
    </row>
    <row r="35" spans="1:3" x14ac:dyDescent="0.25">
      <c r="A35" s="2" t="s">
        <v>106</v>
      </c>
      <c r="B35" s="8">
        <f>'PIZZA SIP TOP KOREA'!H30</f>
        <v>72891.685805422647</v>
      </c>
      <c r="C35" s="8"/>
    </row>
    <row r="36" spans="1:3" x14ac:dyDescent="0.25">
      <c r="A36" s="2" t="s">
        <v>110</v>
      </c>
      <c r="B36" s="8">
        <f>'PIZZA SIP TOP KOREA'!L30</f>
        <v>74016.685805422647</v>
      </c>
      <c r="C36" s="8"/>
    </row>
    <row r="37" spans="1:3" x14ac:dyDescent="0.25">
      <c r="A37" s="2" t="s">
        <v>158</v>
      </c>
      <c r="B37" s="8">
        <f>'PIZZA SIP'!R31</f>
        <v>65331.709728867623</v>
      </c>
      <c r="C37" s="8"/>
    </row>
    <row r="38" spans="1:3" x14ac:dyDescent="0.25">
      <c r="A38" s="2" t="s">
        <v>162</v>
      </c>
      <c r="B38" s="8">
        <f>'PIZZA SIP'!N31</f>
        <v>72329.86762360447</v>
      </c>
      <c r="C38" s="8"/>
    </row>
    <row r="39" spans="1:3" x14ac:dyDescent="0.25">
      <c r="A39" s="2" t="s">
        <v>126</v>
      </c>
      <c r="B39" s="8">
        <f>'PIZZA SIP'!J31</f>
        <v>66678.02551834131</v>
      </c>
      <c r="C39" s="8"/>
    </row>
    <row r="40" spans="1:3" x14ac:dyDescent="0.25">
      <c r="A40" s="2" t="s">
        <v>117</v>
      </c>
      <c r="B40" s="8">
        <f>'PIZZA YES'!P30</f>
        <v>31034.297448165868</v>
      </c>
      <c r="C40" s="8"/>
    </row>
    <row r="41" spans="1:3" x14ac:dyDescent="0.25">
      <c r="A41" s="2" t="s">
        <v>97</v>
      </c>
      <c r="B41" s="8">
        <f>'PIZZA YES'!H30</f>
        <v>31731.546251993619</v>
      </c>
      <c r="C41" s="8"/>
    </row>
    <row r="42" spans="1:3" x14ac:dyDescent="0.25">
      <c r="A42" s="2" t="s">
        <v>10</v>
      </c>
      <c r="B42" s="8">
        <f>'PIZZA YES'!N30</f>
        <v>29661.797448165868</v>
      </c>
      <c r="C42" s="8"/>
    </row>
    <row r="43" spans="1:3" x14ac:dyDescent="0.25">
      <c r="A43" s="2" t="s">
        <v>103</v>
      </c>
      <c r="B43" s="8">
        <f>'PIZZA YES TOP KOREA'!J30</f>
        <v>35468.388357256779</v>
      </c>
      <c r="C43" s="8"/>
    </row>
    <row r="44" spans="1:3" x14ac:dyDescent="0.25">
      <c r="A44" s="2" t="s">
        <v>102</v>
      </c>
      <c r="B44" s="8">
        <f>'PIZZA YES TOP KOREA'!H30</f>
        <v>34905.888357256779</v>
      </c>
      <c r="C44" s="8"/>
    </row>
    <row r="45" spans="1:3" x14ac:dyDescent="0.25">
      <c r="A45" s="2" t="s">
        <v>108</v>
      </c>
      <c r="B45" s="8">
        <f>'PIZZA YES TOP KOREA'!L30</f>
        <v>34905.888357256779</v>
      </c>
      <c r="C45" s="8"/>
    </row>
    <row r="46" spans="1:3" x14ac:dyDescent="0.25">
      <c r="A46" s="2" t="s">
        <v>186</v>
      </c>
      <c r="B46" s="8">
        <f>'PIZZA YES'!T30</f>
        <v>33609.835725677833</v>
      </c>
      <c r="C46" s="8"/>
    </row>
    <row r="47" spans="1:3" x14ac:dyDescent="0.25">
      <c r="A47" s="2" t="s">
        <v>157</v>
      </c>
      <c r="B47" s="8">
        <f>'PIZZA YES'!R30</f>
        <v>29668.244816586921</v>
      </c>
      <c r="C47" s="8"/>
    </row>
    <row r="48" spans="1:3" x14ac:dyDescent="0.25">
      <c r="A48" s="2" t="s">
        <v>164</v>
      </c>
      <c r="B48" s="8">
        <f>'PIZZA YES'!L30</f>
        <v>32707.850079744814</v>
      </c>
      <c r="C48" s="8"/>
    </row>
    <row r="49" spans="1:3" x14ac:dyDescent="0.25">
      <c r="A49" s="2" t="s">
        <v>101</v>
      </c>
      <c r="B49" s="8">
        <f>'PIZZA YES'!J30</f>
        <v>33622.993620414672</v>
      </c>
      <c r="C49" s="8"/>
    </row>
    <row r="50" spans="1:3" x14ac:dyDescent="0.25">
      <c r="A50" s="2" t="s">
        <v>14</v>
      </c>
      <c r="B50" s="8">
        <f>'PIZZA YUHU'!P31</f>
        <v>46396.639553429028</v>
      </c>
      <c r="C50" s="8"/>
    </row>
    <row r="51" spans="1:3" x14ac:dyDescent="0.25">
      <c r="A51" s="2" t="s">
        <v>124</v>
      </c>
      <c r="B51" s="8">
        <f>'PIZZA YUHU'!H31</f>
        <v>44576.902711323768</v>
      </c>
      <c r="C51" s="8"/>
    </row>
    <row r="52" spans="1:3" x14ac:dyDescent="0.25">
      <c r="A52" s="2" t="s">
        <v>12</v>
      </c>
      <c r="B52" s="8">
        <f>'PIZZA YUHU'!N31</f>
        <v>45971.639553429028</v>
      </c>
      <c r="C52" s="8"/>
    </row>
    <row r="53" spans="1:3" x14ac:dyDescent="0.25">
      <c r="A53" s="2" t="s">
        <v>105</v>
      </c>
      <c r="B53" s="8">
        <f>'PIZZA YUHU TOP KOREA'!J30</f>
        <v>54690.562998405105</v>
      </c>
      <c r="C53" s="8"/>
    </row>
    <row r="54" spans="1:3" x14ac:dyDescent="0.25">
      <c r="A54" s="2" t="s">
        <v>104</v>
      </c>
      <c r="B54" s="8">
        <f>'PIZZA YUHU TOP KOREA'!H30</f>
        <v>52440.562998405105</v>
      </c>
      <c r="C54" s="8"/>
    </row>
    <row r="55" spans="1:3" x14ac:dyDescent="0.25">
      <c r="A55" s="2" t="s">
        <v>109</v>
      </c>
      <c r="B55" s="8">
        <f>'PIZZA YUHU TOP KOREA'!L30</f>
        <v>54165.562998405105</v>
      </c>
      <c r="C55" s="8"/>
    </row>
    <row r="56" spans="1:3" x14ac:dyDescent="0.25">
      <c r="A56" s="2" t="s">
        <v>185</v>
      </c>
      <c r="B56" s="8">
        <f>'PIZZA YUHU'!T31</f>
        <v>47746.639553429028</v>
      </c>
      <c r="C56" s="8"/>
    </row>
    <row r="57" spans="1:3" x14ac:dyDescent="0.25">
      <c r="A57" s="2" t="s">
        <v>159</v>
      </c>
      <c r="B57" s="8">
        <f>'PIZZA YUHU'!R31</f>
        <v>47571.639553429028</v>
      </c>
      <c r="C57" s="8"/>
    </row>
    <row r="58" spans="1:3" x14ac:dyDescent="0.25">
      <c r="A58" s="2" t="s">
        <v>161</v>
      </c>
      <c r="B58" s="8">
        <f>'PIZZA YUHU'!L31</f>
        <v>51609.797448165875</v>
      </c>
      <c r="C58" s="8"/>
    </row>
    <row r="59" spans="1:3" x14ac:dyDescent="0.25">
      <c r="A59" s="2" t="s">
        <v>125</v>
      </c>
      <c r="B59" s="8">
        <f>'PIZZA YUHU'!J31</f>
        <v>47030.850079744814</v>
      </c>
      <c r="C59" s="8"/>
    </row>
    <row r="60" spans="1:3" x14ac:dyDescent="0.25">
      <c r="A60" s="2" t="s">
        <v>193</v>
      </c>
      <c r="B60" s="8">
        <f>ROCAS!J15</f>
        <v>6787.7192982456136</v>
      </c>
      <c r="C60" s="8"/>
    </row>
    <row r="61" spans="1:3" x14ac:dyDescent="0.25">
      <c r="A61" s="2" t="s">
        <v>194</v>
      </c>
      <c r="B61" s="8">
        <f>ROCAS!J34</f>
        <v>7116.6666666666661</v>
      </c>
      <c r="C61" s="8"/>
    </row>
    <row r="62" spans="1:3" x14ac:dyDescent="0.25">
      <c r="A62" s="54" t="s">
        <v>131</v>
      </c>
      <c r="B62" s="8">
        <f>'ROTI MARYAM'!Y49</f>
        <v>14180</v>
      </c>
      <c r="C62" s="8"/>
    </row>
    <row r="63" spans="1:3" x14ac:dyDescent="0.25">
      <c r="A63" s="54" t="s">
        <v>132</v>
      </c>
      <c r="B63" s="8">
        <f>'ROTI MARYAM'!Y31</f>
        <v>7490</v>
      </c>
      <c r="C63" s="8"/>
    </row>
    <row r="64" spans="1:3" x14ac:dyDescent="0.25">
      <c r="A64" s="54" t="s">
        <v>133</v>
      </c>
      <c r="B64" s="8">
        <f>'ROTI MARYAM'!Y14</f>
        <v>2880</v>
      </c>
      <c r="C64" s="8"/>
    </row>
    <row r="65" spans="1:3" x14ac:dyDescent="0.25">
      <c r="A65" s="2" t="s">
        <v>129</v>
      </c>
      <c r="B65" s="8">
        <f>'ROTI MARYAM'!J49</f>
        <v>12000</v>
      </c>
      <c r="C65" s="8"/>
    </row>
    <row r="66" spans="1:3" x14ac:dyDescent="0.25">
      <c r="A66" s="2" t="s">
        <v>130</v>
      </c>
      <c r="B66" s="8">
        <f>'ROTI MARYAM'!J31</f>
        <v>6890</v>
      </c>
      <c r="C66" s="8"/>
    </row>
    <row r="67" spans="1:3" x14ac:dyDescent="0.25">
      <c r="A67" s="2" t="s">
        <v>134</v>
      </c>
      <c r="B67" s="8">
        <f>'ROTI MARYAM'!J14</f>
        <v>2680</v>
      </c>
      <c r="C67" s="8"/>
    </row>
    <row r="68" spans="1:3" x14ac:dyDescent="0.25">
      <c r="A68" s="2" t="s">
        <v>142</v>
      </c>
      <c r="B68" s="8">
        <f>ZAMBI!J49</f>
        <v>5605.8879585326958</v>
      </c>
      <c r="C68" s="8"/>
    </row>
    <row r="69" spans="1:3" x14ac:dyDescent="0.25">
      <c r="A69" s="2" t="s">
        <v>140</v>
      </c>
      <c r="B69" s="8">
        <f>ZAMBI!J23</f>
        <v>5951.9405901116425</v>
      </c>
      <c r="C69" s="8"/>
    </row>
  </sheetData>
  <mergeCells count="2">
    <mergeCell ref="A1:B1"/>
    <mergeCell ref="A2:B2"/>
  </mergeCells>
  <pageMargins left="0.70866141732283472" right="0.70866141732283472" top="0.74803149606299213" bottom="0.74803149606299213" header="0.31496062992125984" footer="0.31496062992125984"/>
  <pageSetup paperSize="5" scale="75"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ZAMBI</vt:lpstr>
      <vt:lpstr>BURGER</vt:lpstr>
      <vt:lpstr>ROCAS</vt:lpstr>
      <vt:lpstr>ROTI MARYAM</vt:lpstr>
      <vt:lpstr> KEBAB SOSIZ</vt:lpstr>
      <vt:lpstr>KEBAB AYAM</vt:lpstr>
      <vt:lpstr>KEBAB AYAM + SOSIZ (KECIL)</vt:lpstr>
      <vt:lpstr>KEBAB AYAM + SOSIZ (MEDIUM)</vt:lpstr>
      <vt:lpstr>PIZZA YES</vt:lpstr>
      <vt:lpstr>PIZZA YUHU</vt:lpstr>
      <vt:lpstr>PIZZA SIP</vt:lpstr>
      <vt:lpstr>PIZZA YES TOP KOREA</vt:lpstr>
      <vt:lpstr>PIZZA YUHU TOP KOREA</vt:lpstr>
      <vt:lpstr>PIZZA SIP TOP KOREA</vt:lpstr>
      <vt:lpstr>PIZZA KULIT KEBAB</vt:lpstr>
      <vt:lpstr>MODAL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 Neon</dc:creator>
  <cp:lastModifiedBy>IBKAR</cp:lastModifiedBy>
  <cp:lastPrinted>2024-08-22T07:12:27Z</cp:lastPrinted>
  <dcterms:created xsi:type="dcterms:W3CDTF">2007-10-29T18:47:23Z</dcterms:created>
  <dcterms:modified xsi:type="dcterms:W3CDTF">2026-07-25T22:21:43Z</dcterms:modified>
</cp:coreProperties>
</file>