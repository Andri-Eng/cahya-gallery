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 defaultThemeVersion="124226"/>
  <xr:revisionPtr revIDLastSave="0" documentId="13_ncr:1_{B3D72655-CB37-4316-9D39-C334D432245E}" xr6:coauthVersionLast="47" xr6:coauthVersionMax="47" xr10:uidLastSave="{00000000-0000-0000-0000-000000000000}"/>
  <bookViews>
    <workbookView xWindow="1152" yWindow="1152" windowWidth="17280" windowHeight="8880" tabRatio="933" firstSheet="6" activeTab="12" xr2:uid="{00000000-000D-0000-FFFF-FFFF00000000}"/>
  </bookViews>
  <sheets>
    <sheet name="DATA MITRA" sheetId="11" r:id="rId1"/>
    <sheet name="DATA CUSTOMER" sheetId="17" r:id="rId2"/>
    <sheet name="KATALOG" sheetId="24" r:id="rId3"/>
    <sheet name="REKAP BAHAN" sheetId="26" r:id="rId4"/>
    <sheet name="DATA BAHAN MASUK" sheetId="28" r:id="rId5"/>
    <sheet name="DATA BAHAN KELUAR" sheetId="27" r:id="rId6"/>
    <sheet name="PRODUK KELUAR" sheetId="8" r:id="rId7"/>
    <sheet name="REKAP PENJUALAN" sheetId="22" r:id="rId8"/>
    <sheet name="KOMISI CAMPURAN" sheetId="19" r:id="rId9"/>
    <sheet name="KAS TOKO" sheetId="21" r:id="rId10"/>
    <sheet name="KAS PERPUTARAN MODAL" sheetId="20" r:id="rId11"/>
    <sheet name="REKAP KOMISI" sheetId="18" r:id="rId12"/>
    <sheet name="REKAP KEUANGAN" sheetId="25" r:id="rId13"/>
    <sheet name="ASET &amp; PIUTANG" sheetId="29" r:id="rId14"/>
    <sheet name="OMZET" sheetId="31" r:id="rId15"/>
  </sheets>
  <externalReferences>
    <externalReference r:id="rId16"/>
    <externalReference r:id="rId17"/>
    <externalReference r:id="rId18"/>
    <externalReference r:id="rId19"/>
  </externalReferences>
  <definedNames>
    <definedName name="CUSTOMER" localSheetId="5">TBLDATACUSTOMER[NAMA CUSTOMER]</definedName>
    <definedName name="CUSTOMER" localSheetId="3">TBLDATACUSTOMER[NAMA CUSTOMER]</definedName>
    <definedName name="CUSTOMER">TBLDATACUSTOMER[NAMA CUSTOMER]</definedName>
    <definedName name="KODE" localSheetId="5">TBLBAHANKELUAR[TAHUN]</definedName>
    <definedName name="KODEPRODUK">[1]!TBLREKAPBAHAN[KODE PRODUK]</definedName>
    <definedName name="MITRA" localSheetId="5">TBLDATAMITRAEPC[NAMA MITRA]</definedName>
    <definedName name="MITRA" localSheetId="3">TBLDATAMITRAEPC[NAMA MITRA]</definedName>
    <definedName name="MITRA">TBLDATAMITRAEPC[NAMA MITRA]</definedName>
    <definedName name="NOMORPRODUK" localSheetId="5">TBLBAHANKELUAR[TAHUN]</definedName>
    <definedName name="ZAMBI_AYAM">[2]ZAMBI!#REF!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5" l="1"/>
  <c r="F29" i="18" l="1"/>
  <c r="E74" i="28"/>
  <c r="F74" i="28"/>
  <c r="K74" i="28" s="1"/>
  <c r="L74" i="28" s="1"/>
  <c r="N74" i="28" s="1"/>
  <c r="M74" i="28"/>
  <c r="H390" i="27"/>
  <c r="M390" i="27"/>
  <c r="H389" i="27"/>
  <c r="M389" i="27"/>
  <c r="H391" i="27"/>
  <c r="H388" i="27"/>
  <c r="M388" i="27"/>
  <c r="E73" i="28"/>
  <c r="F73" i="28"/>
  <c r="K73" i="28" s="1"/>
  <c r="L73" i="28" s="1"/>
  <c r="M73" i="28"/>
  <c r="E72" i="28"/>
  <c r="F72" i="28"/>
  <c r="K72" i="28" s="1"/>
  <c r="L72" i="28" s="1"/>
  <c r="M72" i="28"/>
  <c r="E71" i="28"/>
  <c r="F71" i="28"/>
  <c r="K71" i="28" s="1"/>
  <c r="L71" i="28" s="1"/>
  <c r="M71" i="28"/>
  <c r="H392" i="27"/>
  <c r="M392" i="27"/>
  <c r="I110" i="21"/>
  <c r="G23" i="19"/>
  <c r="I23" i="19" s="1"/>
  <c r="F86" i="8"/>
  <c r="F87" i="8"/>
  <c r="J86" i="8"/>
  <c r="T86" i="8" s="1"/>
  <c r="J87" i="8"/>
  <c r="T87" i="8" s="1"/>
  <c r="F47" i="18"/>
  <c r="F84" i="8"/>
  <c r="F85" i="8"/>
  <c r="J84" i="8"/>
  <c r="T84" i="8" s="1"/>
  <c r="J85" i="8"/>
  <c r="T85" i="8" s="1"/>
  <c r="F82" i="8"/>
  <c r="F83" i="8"/>
  <c r="J82" i="8"/>
  <c r="T82" i="8" s="1"/>
  <c r="J83" i="8"/>
  <c r="T83" i="8" s="1"/>
  <c r="F46" i="18"/>
  <c r="F80" i="8"/>
  <c r="F81" i="8"/>
  <c r="J80" i="8"/>
  <c r="T80" i="8" s="1"/>
  <c r="J81" i="8"/>
  <c r="T81" i="8" s="1"/>
  <c r="L360" i="27"/>
  <c r="L361" i="27"/>
  <c r="L362" i="27"/>
  <c r="L363" i="27"/>
  <c r="L364" i="27"/>
  <c r="L365" i="27"/>
  <c r="L366" i="27"/>
  <c r="L367" i="27"/>
  <c r="L368" i="27"/>
  <c r="L369" i="27"/>
  <c r="L370" i="27"/>
  <c r="L371" i="27"/>
  <c r="L372" i="27"/>
  <c r="L373" i="27"/>
  <c r="L374" i="27"/>
  <c r="L375" i="27"/>
  <c r="L376" i="27"/>
  <c r="L377" i="27"/>
  <c r="L378" i="27"/>
  <c r="L379" i="27"/>
  <c r="L380" i="27"/>
  <c r="L381" i="27"/>
  <c r="L382" i="27"/>
  <c r="L383" i="27"/>
  <c r="L384" i="27"/>
  <c r="L385" i="27"/>
  <c r="L386" i="27"/>
  <c r="L387" i="27"/>
  <c r="K361" i="27"/>
  <c r="K362" i="27"/>
  <c r="K363" i="27"/>
  <c r="K364" i="27"/>
  <c r="K365" i="27"/>
  <c r="K366" i="27"/>
  <c r="K367" i="27"/>
  <c r="K368" i="27"/>
  <c r="K369" i="27"/>
  <c r="K370" i="27"/>
  <c r="K371" i="27"/>
  <c r="K372" i="27"/>
  <c r="K373" i="27"/>
  <c r="K374" i="27"/>
  <c r="K375" i="27"/>
  <c r="K376" i="27"/>
  <c r="K377" i="27"/>
  <c r="K378" i="27"/>
  <c r="K379" i="27"/>
  <c r="K380" i="27"/>
  <c r="K381" i="27"/>
  <c r="K382" i="27"/>
  <c r="K383" i="27"/>
  <c r="K384" i="27"/>
  <c r="K385" i="27"/>
  <c r="K386" i="27"/>
  <c r="K387" i="27"/>
  <c r="K360" i="27"/>
  <c r="G360" i="27"/>
  <c r="G361" i="27"/>
  <c r="H361" i="27" s="1"/>
  <c r="G362" i="27"/>
  <c r="I362" i="27" s="1"/>
  <c r="G363" i="27"/>
  <c r="H363" i="27" s="1"/>
  <c r="G364" i="27"/>
  <c r="I364" i="27" s="1"/>
  <c r="G365" i="27"/>
  <c r="H365" i="27" s="1"/>
  <c r="G366" i="27"/>
  <c r="H366" i="27" s="1"/>
  <c r="G367" i="27"/>
  <c r="H367" i="27" s="1"/>
  <c r="G368" i="27"/>
  <c r="I368" i="27" s="1"/>
  <c r="G369" i="27"/>
  <c r="H369" i="27" s="1"/>
  <c r="G370" i="27"/>
  <c r="I370" i="27" s="1"/>
  <c r="G371" i="27"/>
  <c r="H371" i="27" s="1"/>
  <c r="G372" i="27"/>
  <c r="H372" i="27" s="1"/>
  <c r="G373" i="27"/>
  <c r="H373" i="27" s="1"/>
  <c r="G374" i="27"/>
  <c r="J374" i="27" s="1"/>
  <c r="G375" i="27"/>
  <c r="H375" i="27" s="1"/>
  <c r="G376" i="27"/>
  <c r="H376" i="27" s="1"/>
  <c r="G377" i="27"/>
  <c r="H377" i="27" s="1"/>
  <c r="G378" i="27"/>
  <c r="H378" i="27" s="1"/>
  <c r="G379" i="27"/>
  <c r="H379" i="27" s="1"/>
  <c r="G380" i="27"/>
  <c r="H380" i="27" s="1"/>
  <c r="G381" i="27"/>
  <c r="H381" i="27" s="1"/>
  <c r="G382" i="27"/>
  <c r="I382" i="27" s="1"/>
  <c r="G383" i="27"/>
  <c r="H383" i="27" s="1"/>
  <c r="G384" i="27"/>
  <c r="I384" i="27" s="1"/>
  <c r="G385" i="27"/>
  <c r="I385" i="27" s="1"/>
  <c r="G386" i="27"/>
  <c r="J386" i="27" s="1"/>
  <c r="G387" i="27"/>
  <c r="J387" i="27" s="1"/>
  <c r="I360" i="27"/>
  <c r="E70" i="28"/>
  <c r="F70" i="28"/>
  <c r="K70" i="28" s="1"/>
  <c r="L70" i="28" s="1"/>
  <c r="N70" i="28" s="1"/>
  <c r="M70" i="28"/>
  <c r="E69" i="28"/>
  <c r="F69" i="28"/>
  <c r="K69" i="28" s="1"/>
  <c r="L69" i="28" s="1"/>
  <c r="M69" i="28"/>
  <c r="E68" i="28"/>
  <c r="F68" i="28"/>
  <c r="K68" i="28" s="1"/>
  <c r="L68" i="28" s="1"/>
  <c r="M68" i="28"/>
  <c r="G22" i="19"/>
  <c r="I22" i="19" s="1"/>
  <c r="I99" i="21" s="1"/>
  <c r="F77" i="8"/>
  <c r="F78" i="8"/>
  <c r="F79" i="8"/>
  <c r="J77" i="8"/>
  <c r="T77" i="8" s="1"/>
  <c r="J78" i="8"/>
  <c r="T78" i="8" s="1"/>
  <c r="J79" i="8"/>
  <c r="T79" i="8" s="1"/>
  <c r="F75" i="8"/>
  <c r="F76" i="8"/>
  <c r="J75" i="8"/>
  <c r="T75" i="8" s="1"/>
  <c r="J76" i="8"/>
  <c r="T76" i="8" s="1"/>
  <c r="N71" i="28" l="1"/>
  <c r="N72" i="28"/>
  <c r="N73" i="28"/>
  <c r="I390" i="27"/>
  <c r="M391" i="27"/>
  <c r="I389" i="27"/>
  <c r="I391" i="27"/>
  <c r="I388" i="27"/>
  <c r="D29" i="22"/>
  <c r="H107" i="21" s="1"/>
  <c r="D28" i="22"/>
  <c r="H104" i="21" s="1"/>
  <c r="I392" i="27"/>
  <c r="M366" i="27"/>
  <c r="M370" i="27"/>
  <c r="M378" i="27"/>
  <c r="M382" i="27"/>
  <c r="M374" i="27"/>
  <c r="N374" i="27" s="1"/>
  <c r="H362" i="27"/>
  <c r="D27" i="22"/>
  <c r="H101" i="21" s="1"/>
  <c r="M381" i="27"/>
  <c r="M387" i="27"/>
  <c r="N387" i="27" s="1"/>
  <c r="M375" i="27"/>
  <c r="H374" i="27"/>
  <c r="H370" i="27"/>
  <c r="M384" i="27"/>
  <c r="M380" i="27"/>
  <c r="M376" i="27"/>
  <c r="M372" i="27"/>
  <c r="M368" i="27"/>
  <c r="M364" i="27"/>
  <c r="H386" i="27"/>
  <c r="I386" i="27"/>
  <c r="H387" i="27"/>
  <c r="I387" i="27"/>
  <c r="J366" i="27"/>
  <c r="I366" i="27"/>
  <c r="J382" i="27"/>
  <c r="J362" i="27"/>
  <c r="J378" i="27"/>
  <c r="I378" i="27"/>
  <c r="J370" i="27"/>
  <c r="I374" i="27"/>
  <c r="M361" i="27"/>
  <c r="M383" i="27"/>
  <c r="M379" i="27"/>
  <c r="M371" i="27"/>
  <c r="M367" i="27"/>
  <c r="M363" i="27"/>
  <c r="M362" i="27"/>
  <c r="M386" i="27"/>
  <c r="N386" i="27" s="1"/>
  <c r="I380" i="27"/>
  <c r="M385" i="27"/>
  <c r="M377" i="27"/>
  <c r="M373" i="27"/>
  <c r="M369" i="27"/>
  <c r="M365" i="27"/>
  <c r="J380" i="27"/>
  <c r="H382" i="27"/>
  <c r="J364" i="27"/>
  <c r="H364" i="27"/>
  <c r="J372" i="27"/>
  <c r="I372" i="27"/>
  <c r="J385" i="27"/>
  <c r="H384" i="27"/>
  <c r="I369" i="27"/>
  <c r="M360" i="27"/>
  <c r="J384" i="27"/>
  <c r="J376" i="27"/>
  <c r="J368" i="27"/>
  <c r="J360" i="27"/>
  <c r="I376" i="27"/>
  <c r="H368" i="27"/>
  <c r="H360" i="27"/>
  <c r="J369" i="27"/>
  <c r="H385" i="27"/>
  <c r="J373" i="27"/>
  <c r="I373" i="27"/>
  <c r="J377" i="27"/>
  <c r="J361" i="27"/>
  <c r="I377" i="27"/>
  <c r="I361" i="27"/>
  <c r="J381" i="27"/>
  <c r="J365" i="27"/>
  <c r="I381" i="27"/>
  <c r="I365" i="27"/>
  <c r="I383" i="27"/>
  <c r="I379" i="27"/>
  <c r="I375" i="27"/>
  <c r="I371" i="27"/>
  <c r="I367" i="27"/>
  <c r="I363" i="27"/>
  <c r="J383" i="27"/>
  <c r="J379" i="27"/>
  <c r="J375" i="27"/>
  <c r="J371" i="27"/>
  <c r="J367" i="27"/>
  <c r="J363" i="27"/>
  <c r="N69" i="28"/>
  <c r="D25" i="22"/>
  <c r="H93" i="21" s="1"/>
  <c r="D26" i="22"/>
  <c r="H96" i="21" s="1"/>
  <c r="N68" i="28"/>
  <c r="N370" i="27" l="1"/>
  <c r="N365" i="27"/>
  <c r="N366" i="27"/>
  <c r="N378" i="27"/>
  <c r="N384" i="27"/>
  <c r="N371" i="27"/>
  <c r="N380" i="27"/>
  <c r="N381" i="27"/>
  <c r="N367" i="27"/>
  <c r="N382" i="27"/>
  <c r="N379" i="27"/>
  <c r="N385" i="27"/>
  <c r="N368" i="27"/>
  <c r="N375" i="27"/>
  <c r="N377" i="27"/>
  <c r="N364" i="27"/>
  <c r="N373" i="27"/>
  <c r="N376" i="27"/>
  <c r="N361" i="27"/>
  <c r="N372" i="27"/>
  <c r="N362" i="27"/>
  <c r="N363" i="27"/>
  <c r="N369" i="27"/>
  <c r="N383" i="27"/>
  <c r="N360" i="27"/>
  <c r="L331" i="27" l="1"/>
  <c r="L332" i="27"/>
  <c r="L333" i="27"/>
  <c r="L334" i="27"/>
  <c r="L335" i="27"/>
  <c r="L336" i="27"/>
  <c r="L337" i="27"/>
  <c r="L338" i="27"/>
  <c r="L339" i="27"/>
  <c r="L340" i="27"/>
  <c r="L341" i="27"/>
  <c r="L342" i="27"/>
  <c r="L343" i="27"/>
  <c r="L344" i="27"/>
  <c r="L345" i="27"/>
  <c r="L346" i="27"/>
  <c r="L347" i="27"/>
  <c r="L348" i="27"/>
  <c r="L349" i="27"/>
  <c r="L350" i="27"/>
  <c r="L351" i="27"/>
  <c r="L352" i="27"/>
  <c r="L353" i="27"/>
  <c r="L354" i="27"/>
  <c r="L355" i="27"/>
  <c r="L356" i="27"/>
  <c r="L357" i="27"/>
  <c r="L358" i="27"/>
  <c r="L359" i="27"/>
  <c r="K332" i="27"/>
  <c r="M332" i="27" s="1"/>
  <c r="K333" i="27"/>
  <c r="M333" i="27" s="1"/>
  <c r="K334" i="27"/>
  <c r="K335" i="27"/>
  <c r="M335" i="27" s="1"/>
  <c r="K336" i="27"/>
  <c r="K337" i="27"/>
  <c r="K338" i="27"/>
  <c r="K339" i="27"/>
  <c r="K340" i="27"/>
  <c r="K341" i="27"/>
  <c r="K342" i="27"/>
  <c r="K343" i="27"/>
  <c r="M343" i="27" s="1"/>
  <c r="K344" i="27"/>
  <c r="K345" i="27"/>
  <c r="K346" i="27"/>
  <c r="K347" i="27"/>
  <c r="K348" i="27"/>
  <c r="M348" i="27" s="1"/>
  <c r="K349" i="27"/>
  <c r="M349" i="27" s="1"/>
  <c r="K350" i="27"/>
  <c r="K351" i="27"/>
  <c r="M351" i="27" s="1"/>
  <c r="K352" i="27"/>
  <c r="K353" i="27"/>
  <c r="K354" i="27"/>
  <c r="K355" i="27"/>
  <c r="K356" i="27"/>
  <c r="K357" i="27"/>
  <c r="K358" i="27"/>
  <c r="K359" i="27"/>
  <c r="G332" i="27"/>
  <c r="H332" i="27" s="1"/>
  <c r="G333" i="27"/>
  <c r="H333" i="27" s="1"/>
  <c r="G334" i="27"/>
  <c r="I334" i="27" s="1"/>
  <c r="G335" i="27"/>
  <c r="H335" i="27" s="1"/>
  <c r="G336" i="27"/>
  <c r="I336" i="27" s="1"/>
  <c r="G337" i="27"/>
  <c r="H337" i="27" s="1"/>
  <c r="G338" i="27"/>
  <c r="H338" i="27" s="1"/>
  <c r="G339" i="27"/>
  <c r="H339" i="27" s="1"/>
  <c r="G340" i="27"/>
  <c r="H340" i="27" s="1"/>
  <c r="G341" i="27"/>
  <c r="I341" i="27" s="1"/>
  <c r="G342" i="27"/>
  <c r="H342" i="27" s="1"/>
  <c r="G343" i="27"/>
  <c r="H343" i="27" s="1"/>
  <c r="G344" i="27"/>
  <c r="J344" i="27" s="1"/>
  <c r="G345" i="27"/>
  <c r="I345" i="27" s="1"/>
  <c r="G346" i="27"/>
  <c r="I346" i="27" s="1"/>
  <c r="G347" i="27"/>
  <c r="H347" i="27" s="1"/>
  <c r="G348" i="27"/>
  <c r="I348" i="27" s="1"/>
  <c r="G349" i="27"/>
  <c r="I349" i="27" s="1"/>
  <c r="G350" i="27"/>
  <c r="I350" i="27" s="1"/>
  <c r="G351" i="27"/>
  <c r="H351" i="27" s="1"/>
  <c r="G352" i="27"/>
  <c r="I352" i="27" s="1"/>
  <c r="G353" i="27"/>
  <c r="H353" i="27" s="1"/>
  <c r="G354" i="27"/>
  <c r="H354" i="27" s="1"/>
  <c r="G355" i="27"/>
  <c r="H355" i="27" s="1"/>
  <c r="G356" i="27"/>
  <c r="I356" i="27" s="1"/>
  <c r="G357" i="27"/>
  <c r="H357" i="27" s="1"/>
  <c r="G358" i="27"/>
  <c r="H358" i="27" s="1"/>
  <c r="G359" i="27"/>
  <c r="H359" i="27" s="1"/>
  <c r="K331" i="27"/>
  <c r="G331" i="27"/>
  <c r="H331" i="27" s="1"/>
  <c r="F74" i="8"/>
  <c r="J74" i="8"/>
  <c r="T74" i="8" s="1"/>
  <c r="F73" i="8"/>
  <c r="J73" i="8"/>
  <c r="T73" i="8" s="1"/>
  <c r="G21" i="19"/>
  <c r="I21" i="19" s="1"/>
  <c r="L303" i="27"/>
  <c r="L304" i="27"/>
  <c r="L305" i="27"/>
  <c r="L306" i="27"/>
  <c r="L307" i="27"/>
  <c r="L308" i="27"/>
  <c r="L309" i="27"/>
  <c r="L310" i="27"/>
  <c r="L311" i="27"/>
  <c r="L312" i="27"/>
  <c r="L313" i="27"/>
  <c r="L314" i="27"/>
  <c r="L315" i="27"/>
  <c r="L316" i="27"/>
  <c r="L317" i="27"/>
  <c r="L318" i="27"/>
  <c r="L319" i="27"/>
  <c r="L320" i="27"/>
  <c r="L321" i="27"/>
  <c r="L322" i="27"/>
  <c r="L323" i="27"/>
  <c r="L324" i="27"/>
  <c r="L325" i="27"/>
  <c r="L326" i="27"/>
  <c r="L327" i="27"/>
  <c r="L328" i="27"/>
  <c r="L329" i="27"/>
  <c r="L330" i="27"/>
  <c r="K304" i="27"/>
  <c r="K305" i="27"/>
  <c r="K306" i="27"/>
  <c r="K307" i="27"/>
  <c r="K308" i="27"/>
  <c r="K309" i="27"/>
  <c r="K310" i="27"/>
  <c r="K311" i="27"/>
  <c r="K312" i="27"/>
  <c r="K313" i="27"/>
  <c r="K314" i="27"/>
  <c r="K315" i="27"/>
  <c r="K316" i="27"/>
  <c r="K317" i="27"/>
  <c r="K318" i="27"/>
  <c r="K319" i="27"/>
  <c r="K320" i="27"/>
  <c r="K321" i="27"/>
  <c r="K322" i="27"/>
  <c r="K323" i="27"/>
  <c r="K324" i="27"/>
  <c r="K325" i="27"/>
  <c r="K326" i="27"/>
  <c r="K327" i="27"/>
  <c r="K328" i="27"/>
  <c r="K329" i="27"/>
  <c r="K330" i="27"/>
  <c r="K303" i="27"/>
  <c r="G303" i="27"/>
  <c r="H303" i="27" s="1"/>
  <c r="G304" i="27"/>
  <c r="J304" i="27" s="1"/>
  <c r="G305" i="27"/>
  <c r="H305" i="27" s="1"/>
  <c r="G306" i="27"/>
  <c r="J306" i="27" s="1"/>
  <c r="G307" i="27"/>
  <c r="H307" i="27" s="1"/>
  <c r="G308" i="27"/>
  <c r="H308" i="27" s="1"/>
  <c r="G309" i="27"/>
  <c r="J309" i="27" s="1"/>
  <c r="G310" i="27"/>
  <c r="J310" i="27" s="1"/>
  <c r="G311" i="27"/>
  <c r="H311" i="27" s="1"/>
  <c r="G312" i="27"/>
  <c r="I312" i="27" s="1"/>
  <c r="G313" i="27"/>
  <c r="H313" i="27" s="1"/>
  <c r="G314" i="27"/>
  <c r="I314" i="27" s="1"/>
  <c r="G315" i="27"/>
  <c r="H315" i="27" s="1"/>
  <c r="G316" i="27"/>
  <c r="J316" i="27" s="1"/>
  <c r="G317" i="27"/>
  <c r="J317" i="27" s="1"/>
  <c r="G318" i="27"/>
  <c r="J318" i="27" s="1"/>
  <c r="G319" i="27"/>
  <c r="H319" i="27" s="1"/>
  <c r="G320" i="27"/>
  <c r="J320" i="27" s="1"/>
  <c r="G321" i="27"/>
  <c r="I321" i="27" s="1"/>
  <c r="G322" i="27"/>
  <c r="H322" i="27" s="1"/>
  <c r="G323" i="27"/>
  <c r="H323" i="27" s="1"/>
  <c r="G324" i="27"/>
  <c r="H324" i="27" s="1"/>
  <c r="G325" i="27"/>
  <c r="H325" i="27" s="1"/>
  <c r="G326" i="27"/>
  <c r="J326" i="27" s="1"/>
  <c r="G327" i="27"/>
  <c r="H327" i="27" s="1"/>
  <c r="G328" i="27"/>
  <c r="I328" i="27" s="1"/>
  <c r="G329" i="27"/>
  <c r="I329" i="27" s="1"/>
  <c r="G330" i="27"/>
  <c r="H330" i="27" s="1"/>
  <c r="F72" i="8"/>
  <c r="J72" i="8"/>
  <c r="T72" i="8" s="1"/>
  <c r="F71" i="8"/>
  <c r="J71" i="8"/>
  <c r="T71" i="8" s="1"/>
  <c r="H90" i="21"/>
  <c r="E67" i="28"/>
  <c r="F67" i="28"/>
  <c r="K67" i="28" s="1"/>
  <c r="L67" i="28" s="1"/>
  <c r="N67" i="28" s="1"/>
  <c r="M67" i="28"/>
  <c r="E60" i="28"/>
  <c r="E61" i="28"/>
  <c r="E62" i="28"/>
  <c r="E63" i="28"/>
  <c r="E64" i="28"/>
  <c r="E65" i="28"/>
  <c r="E66" i="28"/>
  <c r="F60" i="28"/>
  <c r="K60" i="28" s="1"/>
  <c r="L60" i="28" s="1"/>
  <c r="F61" i="28"/>
  <c r="K61" i="28" s="1"/>
  <c r="L61" i="28" s="1"/>
  <c r="F62" i="28"/>
  <c r="K62" i="28" s="1"/>
  <c r="L62" i="28" s="1"/>
  <c r="F63" i="28"/>
  <c r="K63" i="28" s="1"/>
  <c r="L63" i="28" s="1"/>
  <c r="F64" i="28"/>
  <c r="K64" i="28" s="1"/>
  <c r="L64" i="28" s="1"/>
  <c r="F65" i="28"/>
  <c r="K65" i="28" s="1"/>
  <c r="L65" i="28" s="1"/>
  <c r="F66" i="28"/>
  <c r="K66" i="28" s="1"/>
  <c r="L66" i="28" s="1"/>
  <c r="M60" i="28"/>
  <c r="M61" i="28"/>
  <c r="M62" i="28"/>
  <c r="M63" i="28"/>
  <c r="M64" i="28"/>
  <c r="M65" i="28"/>
  <c r="M66" i="28"/>
  <c r="I85" i="21"/>
  <c r="G20" i="19"/>
  <c r="I20" i="19" s="1"/>
  <c r="I89" i="21" s="1"/>
  <c r="F70" i="8"/>
  <c r="J70" i="8"/>
  <c r="T70" i="8" s="1"/>
  <c r="F68" i="8"/>
  <c r="F69" i="8"/>
  <c r="J68" i="8"/>
  <c r="T68" i="8" s="1"/>
  <c r="J69" i="8"/>
  <c r="T69" i="8" s="1"/>
  <c r="E58" i="28"/>
  <c r="F58" i="28"/>
  <c r="K58" i="28" s="1"/>
  <c r="L58" i="28" s="1"/>
  <c r="M58" i="28"/>
  <c r="M347" i="27" l="1"/>
  <c r="M344" i="27"/>
  <c r="N344" i="27" s="1"/>
  <c r="M341" i="27"/>
  <c r="M331" i="27"/>
  <c r="M356" i="27"/>
  <c r="M340" i="27"/>
  <c r="M342" i="27"/>
  <c r="M355" i="27"/>
  <c r="M339" i="27"/>
  <c r="M338" i="27"/>
  <c r="M353" i="27"/>
  <c r="M337" i="27"/>
  <c r="M345" i="27"/>
  <c r="M352" i="27"/>
  <c r="M336" i="27"/>
  <c r="I337" i="27"/>
  <c r="M357" i="27"/>
  <c r="M334" i="27"/>
  <c r="J349" i="27"/>
  <c r="N349" i="27" s="1"/>
  <c r="I342" i="27"/>
  <c r="H349" i="27"/>
  <c r="J345" i="27"/>
  <c r="H345" i="27"/>
  <c r="J331" i="27"/>
  <c r="I357" i="27"/>
  <c r="J357" i="27"/>
  <c r="J341" i="27"/>
  <c r="I333" i="27"/>
  <c r="H341" i="27"/>
  <c r="J353" i="27"/>
  <c r="N353" i="27" s="1"/>
  <c r="J333" i="27"/>
  <c r="N333" i="27" s="1"/>
  <c r="J350" i="27"/>
  <c r="J337" i="27"/>
  <c r="I353" i="27"/>
  <c r="M359" i="27"/>
  <c r="J348" i="27"/>
  <c r="N348" i="27" s="1"/>
  <c r="M306" i="27"/>
  <c r="N306" i="27" s="1"/>
  <c r="J332" i="27"/>
  <c r="N332" i="27" s="1"/>
  <c r="I340" i="27"/>
  <c r="H344" i="27"/>
  <c r="I332" i="27"/>
  <c r="H336" i="27"/>
  <c r="J340" i="27"/>
  <c r="N340" i="27" s="1"/>
  <c r="H352" i="27"/>
  <c r="J352" i="27"/>
  <c r="I344" i="27"/>
  <c r="J336" i="27"/>
  <c r="N336" i="27" s="1"/>
  <c r="H356" i="27"/>
  <c r="H348" i="27"/>
  <c r="M322" i="27"/>
  <c r="M314" i="27"/>
  <c r="J356" i="27"/>
  <c r="H350" i="27"/>
  <c r="I354" i="27"/>
  <c r="J334" i="27"/>
  <c r="I358" i="27"/>
  <c r="H334" i="27"/>
  <c r="J346" i="27"/>
  <c r="I338" i="27"/>
  <c r="H346" i="27"/>
  <c r="J354" i="27"/>
  <c r="J338" i="27"/>
  <c r="N338" i="27" s="1"/>
  <c r="I331" i="27"/>
  <c r="M358" i="27"/>
  <c r="M354" i="27"/>
  <c r="M350" i="27"/>
  <c r="M346" i="27"/>
  <c r="J358" i="27"/>
  <c r="N358" i="27" s="1"/>
  <c r="J342" i="27"/>
  <c r="N342" i="27" s="1"/>
  <c r="J355" i="27"/>
  <c r="J351" i="27"/>
  <c r="N351" i="27" s="1"/>
  <c r="J347" i="27"/>
  <c r="J343" i="27"/>
  <c r="N343" i="27" s="1"/>
  <c r="J339" i="27"/>
  <c r="N339" i="27" s="1"/>
  <c r="J335" i="27"/>
  <c r="N335" i="27" s="1"/>
  <c r="I355" i="27"/>
  <c r="I351" i="27"/>
  <c r="I347" i="27"/>
  <c r="I343" i="27"/>
  <c r="I339" i="27"/>
  <c r="I335" i="27"/>
  <c r="J359" i="27"/>
  <c r="I359" i="27"/>
  <c r="I324" i="27"/>
  <c r="I305" i="27"/>
  <c r="M329" i="27"/>
  <c r="H321" i="27"/>
  <c r="M316" i="27"/>
  <c r="N316" i="27" s="1"/>
  <c r="I308" i="27"/>
  <c r="H316" i="27"/>
  <c r="J312" i="27"/>
  <c r="H320" i="27"/>
  <c r="J324" i="27"/>
  <c r="J308" i="27"/>
  <c r="I320" i="27"/>
  <c r="H312" i="27"/>
  <c r="H304" i="27"/>
  <c r="M328" i="27"/>
  <c r="M324" i="27"/>
  <c r="M320" i="27"/>
  <c r="N320" i="27" s="1"/>
  <c r="M312" i="27"/>
  <c r="M308" i="27"/>
  <c r="I316" i="27"/>
  <c r="H328" i="27"/>
  <c r="M327" i="27"/>
  <c r="M323" i="27"/>
  <c r="M319" i="27"/>
  <c r="M315" i="27"/>
  <c r="M311" i="27"/>
  <c r="M307" i="27"/>
  <c r="M326" i="27"/>
  <c r="N326" i="27" s="1"/>
  <c r="M318" i="27"/>
  <c r="N318" i="27" s="1"/>
  <c r="M310" i="27"/>
  <c r="N310" i="27" s="1"/>
  <c r="H314" i="27"/>
  <c r="I310" i="27"/>
  <c r="J329" i="27"/>
  <c r="J321" i="27"/>
  <c r="J313" i="27"/>
  <c r="J305" i="27"/>
  <c r="I325" i="27"/>
  <c r="I317" i="27"/>
  <c r="H329" i="27"/>
  <c r="H309" i="27"/>
  <c r="I309" i="27"/>
  <c r="H317" i="27"/>
  <c r="J325" i="27"/>
  <c r="I313" i="27"/>
  <c r="I326" i="27"/>
  <c r="H306" i="27"/>
  <c r="H318" i="27"/>
  <c r="M330" i="27"/>
  <c r="J330" i="27"/>
  <c r="I330" i="27"/>
  <c r="M325" i="27"/>
  <c r="M321" i="27"/>
  <c r="M317" i="27"/>
  <c r="N317" i="27" s="1"/>
  <c r="M313" i="27"/>
  <c r="M309" i="27"/>
  <c r="N309" i="27" s="1"/>
  <c r="M305" i="27"/>
  <c r="I318" i="27"/>
  <c r="J314" i="27"/>
  <c r="I322" i="27"/>
  <c r="I306" i="27"/>
  <c r="H326" i="27"/>
  <c r="J322" i="27"/>
  <c r="H310" i="27"/>
  <c r="D24" i="22"/>
  <c r="H86" i="21" s="1"/>
  <c r="I327" i="27"/>
  <c r="I323" i="27"/>
  <c r="I319" i="27"/>
  <c r="I315" i="27"/>
  <c r="I311" i="27"/>
  <c r="I307" i="27"/>
  <c r="M304" i="27"/>
  <c r="N304" i="27" s="1"/>
  <c r="I304" i="27"/>
  <c r="M303" i="27"/>
  <c r="J303" i="27"/>
  <c r="I303" i="27"/>
  <c r="J327" i="27"/>
  <c r="J323" i="27"/>
  <c r="J319" i="27"/>
  <c r="J315" i="27"/>
  <c r="J311" i="27"/>
  <c r="J307" i="27"/>
  <c r="N66" i="28"/>
  <c r="N62" i="28"/>
  <c r="N61" i="28"/>
  <c r="N60" i="28"/>
  <c r="N65" i="28"/>
  <c r="N64" i="28"/>
  <c r="N63" i="28"/>
  <c r="N58" i="28"/>
  <c r="D23" i="22"/>
  <c r="H82" i="21" s="1"/>
  <c r="F66" i="8"/>
  <c r="F67" i="8"/>
  <c r="J66" i="8"/>
  <c r="T66" i="8" s="1"/>
  <c r="J67" i="8"/>
  <c r="T67" i="8" s="1"/>
  <c r="F64" i="8"/>
  <c r="F65" i="8"/>
  <c r="J64" i="8"/>
  <c r="T64" i="8" s="1"/>
  <c r="J65" i="8"/>
  <c r="T65" i="8" s="1"/>
  <c r="E59" i="28"/>
  <c r="F59" i="28"/>
  <c r="K59" i="28" s="1"/>
  <c r="L59" i="28" s="1"/>
  <c r="M59" i="28"/>
  <c r="G19" i="19"/>
  <c r="I19" i="19" s="1"/>
  <c r="I77" i="21" s="1"/>
  <c r="F62" i="8"/>
  <c r="F63" i="8"/>
  <c r="J62" i="8"/>
  <c r="T62" i="8" s="1"/>
  <c r="J63" i="8"/>
  <c r="T63" i="8" s="1"/>
  <c r="F26" i="29"/>
  <c r="F61" i="8"/>
  <c r="J61" i="8"/>
  <c r="T61" i="8" s="1"/>
  <c r="F59" i="8"/>
  <c r="F60" i="8"/>
  <c r="J59" i="8"/>
  <c r="T59" i="8" s="1"/>
  <c r="J60" i="8"/>
  <c r="T60" i="8" s="1"/>
  <c r="E56" i="28"/>
  <c r="F56" i="28"/>
  <c r="K56" i="28" s="1"/>
  <c r="L56" i="28" s="1"/>
  <c r="M56" i="28"/>
  <c r="E57" i="28"/>
  <c r="F57" i="28"/>
  <c r="K57" i="28" s="1"/>
  <c r="L57" i="28" s="1"/>
  <c r="M57" i="28"/>
  <c r="G18" i="19"/>
  <c r="I18" i="19" s="1"/>
  <c r="I69" i="21" s="1"/>
  <c r="F58" i="8"/>
  <c r="J58" i="8"/>
  <c r="T58" i="8" s="1"/>
  <c r="F56" i="8"/>
  <c r="F57" i="8"/>
  <c r="J56" i="8"/>
  <c r="T56" i="8" s="1"/>
  <c r="J57" i="8"/>
  <c r="T57" i="8" s="1"/>
  <c r="L291" i="27"/>
  <c r="L292" i="27"/>
  <c r="L293" i="27"/>
  <c r="L294" i="27"/>
  <c r="L295" i="27"/>
  <c r="L296" i="27"/>
  <c r="L297" i="27"/>
  <c r="L298" i="27"/>
  <c r="L299" i="27"/>
  <c r="L300" i="27"/>
  <c r="L301" i="27"/>
  <c r="L302" i="27"/>
  <c r="K292" i="27"/>
  <c r="K293" i="27"/>
  <c r="K294" i="27"/>
  <c r="K295" i="27"/>
  <c r="K296" i="27"/>
  <c r="K297" i="27"/>
  <c r="K298" i="27"/>
  <c r="K299" i="27"/>
  <c r="K300" i="27"/>
  <c r="K301" i="27"/>
  <c r="K302" i="27"/>
  <c r="K291" i="27"/>
  <c r="G291" i="27"/>
  <c r="H291" i="27" s="1"/>
  <c r="G292" i="27"/>
  <c r="I292" i="27" s="1"/>
  <c r="G293" i="27"/>
  <c r="J293" i="27" s="1"/>
  <c r="G294" i="27"/>
  <c r="I294" i="27" s="1"/>
  <c r="G295" i="27"/>
  <c r="H295" i="27" s="1"/>
  <c r="G296" i="27"/>
  <c r="H296" i="27" s="1"/>
  <c r="G297" i="27"/>
  <c r="H297" i="27" s="1"/>
  <c r="G298" i="27"/>
  <c r="H298" i="27" s="1"/>
  <c r="G299" i="27"/>
  <c r="H299" i="27" s="1"/>
  <c r="G300" i="27"/>
  <c r="J300" i="27" s="1"/>
  <c r="G301" i="27"/>
  <c r="J301" i="27" s="1"/>
  <c r="G302" i="27"/>
  <c r="H302" i="27" s="1"/>
  <c r="N356" i="27" l="1"/>
  <c r="N347" i="27"/>
  <c r="N355" i="27"/>
  <c r="N341" i="27"/>
  <c r="N331" i="27"/>
  <c r="N352" i="27"/>
  <c r="N345" i="27"/>
  <c r="N337" i="27"/>
  <c r="N357" i="27"/>
  <c r="N322" i="27"/>
  <c r="N334" i="27"/>
  <c r="N350" i="27"/>
  <c r="N311" i="27"/>
  <c r="N327" i="27"/>
  <c r="N359" i="27"/>
  <c r="N314" i="27"/>
  <c r="N346" i="27"/>
  <c r="N354" i="27"/>
  <c r="H292" i="27"/>
  <c r="H293" i="27"/>
  <c r="H294" i="27"/>
  <c r="N321" i="27"/>
  <c r="N329" i="27"/>
  <c r="N324" i="27"/>
  <c r="N308" i="27"/>
  <c r="N307" i="27"/>
  <c r="N323" i="27"/>
  <c r="N312" i="27"/>
  <c r="N319" i="27"/>
  <c r="N315" i="27"/>
  <c r="N305" i="27"/>
  <c r="N330" i="27"/>
  <c r="N325" i="27"/>
  <c r="N313" i="27"/>
  <c r="N303" i="27"/>
  <c r="N57" i="28"/>
  <c r="N56" i="28"/>
  <c r="N59" i="28"/>
  <c r="D22" i="22"/>
  <c r="H78" i="21" s="1"/>
  <c r="I81" i="21"/>
  <c r="D21" i="22"/>
  <c r="H74" i="21" s="1"/>
  <c r="D20" i="22"/>
  <c r="H70" i="21" s="1"/>
  <c r="M296" i="27"/>
  <c r="M300" i="27"/>
  <c r="N300" i="27" s="1"/>
  <c r="M301" i="27"/>
  <c r="N301" i="27" s="1"/>
  <c r="D19" i="22"/>
  <c r="H66" i="21" s="1"/>
  <c r="M292" i="27"/>
  <c r="M291" i="27"/>
  <c r="M299" i="27"/>
  <c r="M295" i="27"/>
  <c r="M294" i="27"/>
  <c r="M297" i="27"/>
  <c r="M293" i="27"/>
  <c r="N293" i="27" s="1"/>
  <c r="I297" i="27"/>
  <c r="I301" i="27"/>
  <c r="H301" i="27"/>
  <c r="J297" i="27"/>
  <c r="M302" i="27"/>
  <c r="M298" i="27"/>
  <c r="J298" i="27"/>
  <c r="I300" i="27"/>
  <c r="H300" i="27"/>
  <c r="J296" i="27"/>
  <c r="J292" i="27"/>
  <c r="I296" i="27"/>
  <c r="J302" i="27"/>
  <c r="I293" i="27"/>
  <c r="I298" i="27"/>
  <c r="I302" i="27"/>
  <c r="J294" i="27"/>
  <c r="J299" i="27"/>
  <c r="J295" i="27"/>
  <c r="J291" i="27"/>
  <c r="I299" i="27"/>
  <c r="I295" i="27"/>
  <c r="I291" i="27"/>
  <c r="L263" i="27"/>
  <c r="L264" i="27"/>
  <c r="L265" i="27"/>
  <c r="L266" i="27"/>
  <c r="L267" i="27"/>
  <c r="L268" i="27"/>
  <c r="L269" i="27"/>
  <c r="L270" i="27"/>
  <c r="L271" i="27"/>
  <c r="L272" i="27"/>
  <c r="L273" i="27"/>
  <c r="L274" i="27"/>
  <c r="L275" i="27"/>
  <c r="L276" i="27"/>
  <c r="L277" i="27"/>
  <c r="L278" i="27"/>
  <c r="L279" i="27"/>
  <c r="L280" i="27"/>
  <c r="L281" i="27"/>
  <c r="L282" i="27"/>
  <c r="L283" i="27"/>
  <c r="L284" i="27"/>
  <c r="L285" i="27"/>
  <c r="L286" i="27"/>
  <c r="L287" i="27"/>
  <c r="L288" i="27"/>
  <c r="L289" i="27"/>
  <c r="L290" i="27"/>
  <c r="K264" i="27"/>
  <c r="K265" i="27"/>
  <c r="K266" i="27"/>
  <c r="K267" i="27"/>
  <c r="K268" i="27"/>
  <c r="K269" i="27"/>
  <c r="K270" i="27"/>
  <c r="K271" i="27"/>
  <c r="K272" i="27"/>
  <c r="K273" i="27"/>
  <c r="K274" i="27"/>
  <c r="K275" i="27"/>
  <c r="K276" i="27"/>
  <c r="K277" i="27"/>
  <c r="K278" i="27"/>
  <c r="K279" i="27"/>
  <c r="K280" i="27"/>
  <c r="K281" i="27"/>
  <c r="K282" i="27"/>
  <c r="K283" i="27"/>
  <c r="K284" i="27"/>
  <c r="K285" i="27"/>
  <c r="K286" i="27"/>
  <c r="K287" i="27"/>
  <c r="K288" i="27"/>
  <c r="K289" i="27"/>
  <c r="K290" i="27"/>
  <c r="K263" i="27"/>
  <c r="G263" i="27"/>
  <c r="H263" i="27" s="1"/>
  <c r="G264" i="27"/>
  <c r="J264" i="27" s="1"/>
  <c r="G265" i="27"/>
  <c r="J265" i="27" s="1"/>
  <c r="G266" i="27"/>
  <c r="H266" i="27" s="1"/>
  <c r="G267" i="27"/>
  <c r="H267" i="27" s="1"/>
  <c r="G268" i="27"/>
  <c r="H268" i="27" s="1"/>
  <c r="G269" i="27"/>
  <c r="I269" i="27" s="1"/>
  <c r="G270" i="27"/>
  <c r="H270" i="27" s="1"/>
  <c r="G271" i="27"/>
  <c r="H271" i="27" s="1"/>
  <c r="G272" i="27"/>
  <c r="H272" i="27" s="1"/>
  <c r="G273" i="27"/>
  <c r="J273" i="27" s="1"/>
  <c r="G274" i="27"/>
  <c r="I274" i="27" s="1"/>
  <c r="G275" i="27"/>
  <c r="H275" i="27" s="1"/>
  <c r="G276" i="27"/>
  <c r="I276" i="27" s="1"/>
  <c r="G277" i="27"/>
  <c r="H277" i="27" s="1"/>
  <c r="G278" i="27"/>
  <c r="H278" i="27" s="1"/>
  <c r="G279" i="27"/>
  <c r="H279" i="27" s="1"/>
  <c r="G280" i="27"/>
  <c r="J280" i="27" s="1"/>
  <c r="G281" i="27"/>
  <c r="H281" i="27" s="1"/>
  <c r="G282" i="27"/>
  <c r="H282" i="27" s="1"/>
  <c r="G283" i="27"/>
  <c r="H283" i="27" s="1"/>
  <c r="G284" i="27"/>
  <c r="J284" i="27" s="1"/>
  <c r="G285" i="27"/>
  <c r="H285" i="27" s="1"/>
  <c r="G286" i="27"/>
  <c r="I286" i="27" s="1"/>
  <c r="G287" i="27"/>
  <c r="H287" i="27" s="1"/>
  <c r="G288" i="27"/>
  <c r="H288" i="27" s="1"/>
  <c r="G289" i="27"/>
  <c r="H289" i="27" s="1"/>
  <c r="G290" i="27"/>
  <c r="H290" i="27" s="1"/>
  <c r="L235" i="27"/>
  <c r="L236" i="27"/>
  <c r="L237" i="27"/>
  <c r="L238" i="27"/>
  <c r="L239" i="27"/>
  <c r="L240" i="27"/>
  <c r="L241" i="27"/>
  <c r="L242" i="27"/>
  <c r="L243" i="27"/>
  <c r="L244" i="27"/>
  <c r="L245" i="27"/>
  <c r="L246" i="27"/>
  <c r="L247" i="27"/>
  <c r="L248" i="27"/>
  <c r="L249" i="27"/>
  <c r="L250" i="27"/>
  <c r="L251" i="27"/>
  <c r="L252" i="27"/>
  <c r="L253" i="27"/>
  <c r="L254" i="27"/>
  <c r="L255" i="27"/>
  <c r="L256" i="27"/>
  <c r="L257" i="27"/>
  <c r="L258" i="27"/>
  <c r="L259" i="27"/>
  <c r="L260" i="27"/>
  <c r="L261" i="27"/>
  <c r="L262" i="27"/>
  <c r="K236" i="27"/>
  <c r="K237" i="27"/>
  <c r="K238" i="27"/>
  <c r="K239" i="27"/>
  <c r="K240" i="27"/>
  <c r="K241" i="27"/>
  <c r="K242" i="27"/>
  <c r="K243" i="27"/>
  <c r="K244" i="27"/>
  <c r="K245" i="27"/>
  <c r="K246" i="27"/>
  <c r="K247" i="27"/>
  <c r="K248" i="27"/>
  <c r="K249" i="27"/>
  <c r="K250" i="27"/>
  <c r="K251" i="27"/>
  <c r="K252" i="27"/>
  <c r="K253" i="27"/>
  <c r="K254" i="27"/>
  <c r="K255" i="27"/>
  <c r="K256" i="27"/>
  <c r="K257" i="27"/>
  <c r="K258" i="27"/>
  <c r="K259" i="27"/>
  <c r="K260" i="27"/>
  <c r="K261" i="27"/>
  <c r="K262" i="27"/>
  <c r="K235" i="27"/>
  <c r="G235" i="27"/>
  <c r="J235" i="27" s="1"/>
  <c r="G236" i="27"/>
  <c r="H236" i="27" s="1"/>
  <c r="G237" i="27"/>
  <c r="H237" i="27" s="1"/>
  <c r="G238" i="27"/>
  <c r="H238" i="27" s="1"/>
  <c r="G239" i="27"/>
  <c r="I239" i="27" s="1"/>
  <c r="G240" i="27"/>
  <c r="J240" i="27" s="1"/>
  <c r="G241" i="27"/>
  <c r="H241" i="27" s="1"/>
  <c r="G242" i="27"/>
  <c r="H242" i="27" s="1"/>
  <c r="G243" i="27"/>
  <c r="H243" i="27" s="1"/>
  <c r="G244" i="27"/>
  <c r="I244" i="27" s="1"/>
  <c r="G245" i="27"/>
  <c r="H245" i="27" s="1"/>
  <c r="G246" i="27"/>
  <c r="H246" i="27" s="1"/>
  <c r="G247" i="27"/>
  <c r="H247" i="27" s="1"/>
  <c r="G248" i="27"/>
  <c r="H248" i="27" s="1"/>
  <c r="G249" i="27"/>
  <c r="H249" i="27" s="1"/>
  <c r="G250" i="27"/>
  <c r="H250" i="27" s="1"/>
  <c r="G251" i="27"/>
  <c r="H251" i="27" s="1"/>
  <c r="G252" i="27"/>
  <c r="H252" i="27" s="1"/>
  <c r="G253" i="27"/>
  <c r="H253" i="27" s="1"/>
  <c r="G254" i="27"/>
  <c r="H254" i="27" s="1"/>
  <c r="G255" i="27"/>
  <c r="J255" i="27" s="1"/>
  <c r="G256" i="27"/>
  <c r="H256" i="27" s="1"/>
  <c r="G257" i="27"/>
  <c r="H257" i="27" s="1"/>
  <c r="G258" i="27"/>
  <c r="H258" i="27" s="1"/>
  <c r="G259" i="27"/>
  <c r="H259" i="27" s="1"/>
  <c r="G260" i="27"/>
  <c r="I260" i="27" s="1"/>
  <c r="G261" i="27"/>
  <c r="I261" i="27" s="1"/>
  <c r="G262" i="27"/>
  <c r="J262" i="27" s="1"/>
  <c r="L222" i="27"/>
  <c r="L223" i="27"/>
  <c r="L224" i="27"/>
  <c r="L225" i="27"/>
  <c r="L226" i="27"/>
  <c r="L227" i="27"/>
  <c r="L228" i="27"/>
  <c r="L229" i="27"/>
  <c r="L230" i="27"/>
  <c r="L231" i="27"/>
  <c r="L232" i="27"/>
  <c r="L233" i="27"/>
  <c r="L234" i="27"/>
  <c r="K223" i="27"/>
  <c r="K224" i="27"/>
  <c r="K225" i="27"/>
  <c r="K226" i="27"/>
  <c r="K227" i="27"/>
  <c r="K228" i="27"/>
  <c r="K229" i="27"/>
  <c r="K230" i="27"/>
  <c r="K231" i="27"/>
  <c r="K232" i="27"/>
  <c r="K233" i="27"/>
  <c r="K234" i="27"/>
  <c r="K222" i="27"/>
  <c r="G222" i="27"/>
  <c r="G223" i="27"/>
  <c r="H223" i="27" s="1"/>
  <c r="G224" i="27"/>
  <c r="H224" i="27" s="1"/>
  <c r="G225" i="27"/>
  <c r="H225" i="27" s="1"/>
  <c r="G226" i="27"/>
  <c r="H226" i="27" s="1"/>
  <c r="G227" i="27"/>
  <c r="H227" i="27" s="1"/>
  <c r="G228" i="27"/>
  <c r="I228" i="27" s="1"/>
  <c r="G229" i="27"/>
  <c r="J229" i="27" s="1"/>
  <c r="G230" i="27"/>
  <c r="H230" i="27" s="1"/>
  <c r="G231" i="27"/>
  <c r="H231" i="27" s="1"/>
  <c r="G232" i="27"/>
  <c r="H232" i="27" s="1"/>
  <c r="G233" i="27"/>
  <c r="H233" i="27" s="1"/>
  <c r="G234" i="27"/>
  <c r="H234" i="27" s="1"/>
  <c r="G17" i="19"/>
  <c r="I17" i="19" s="1"/>
  <c r="I65" i="21" s="1"/>
  <c r="F55" i="8"/>
  <c r="J55" i="8"/>
  <c r="T55" i="8" s="1"/>
  <c r="F54" i="8"/>
  <c r="J54" i="8"/>
  <c r="T54" i="8" s="1"/>
  <c r="F53" i="8"/>
  <c r="J53" i="8"/>
  <c r="T53" i="8" s="1"/>
  <c r="F52" i="8"/>
  <c r="J52" i="8"/>
  <c r="T52" i="8" s="1"/>
  <c r="F51" i="8"/>
  <c r="J51" i="8"/>
  <c r="T51" i="8" s="1"/>
  <c r="F50" i="8"/>
  <c r="J50" i="8"/>
  <c r="T50" i="8" s="1"/>
  <c r="E55" i="28"/>
  <c r="F55" i="28"/>
  <c r="K55" i="28" s="1"/>
  <c r="L55" i="28" s="1"/>
  <c r="M55" i="28"/>
  <c r="F46" i="8"/>
  <c r="F47" i="8"/>
  <c r="F48" i="8"/>
  <c r="F49" i="8"/>
  <c r="J46" i="8"/>
  <c r="T46" i="8" s="1"/>
  <c r="J47" i="8"/>
  <c r="T47" i="8" s="1"/>
  <c r="J48" i="8"/>
  <c r="T48" i="8" s="1"/>
  <c r="J49" i="8"/>
  <c r="T49" i="8" s="1"/>
  <c r="F44" i="8"/>
  <c r="F45" i="8"/>
  <c r="J44" i="8"/>
  <c r="T44" i="8" s="1"/>
  <c r="J45" i="8"/>
  <c r="T45" i="8" s="1"/>
  <c r="E54" i="28"/>
  <c r="F54" i="28"/>
  <c r="K54" i="28" s="1"/>
  <c r="L54" i="28" s="1"/>
  <c r="M54" i="28"/>
  <c r="E53" i="28"/>
  <c r="F53" i="28"/>
  <c r="K53" i="28" s="1"/>
  <c r="L53" i="28" s="1"/>
  <c r="M53" i="28"/>
  <c r="E52" i="28"/>
  <c r="F52" i="28"/>
  <c r="K52" i="28" s="1"/>
  <c r="L52" i="28" s="1"/>
  <c r="M52" i="28"/>
  <c r="E51" i="28"/>
  <c r="F51" i="28"/>
  <c r="K51" i="28" s="1"/>
  <c r="L51" i="28" s="1"/>
  <c r="M51" i="28"/>
  <c r="E50" i="28"/>
  <c r="F50" i="28"/>
  <c r="K50" i="28" s="1"/>
  <c r="L50" i="28" s="1"/>
  <c r="M50" i="28"/>
  <c r="E49" i="28"/>
  <c r="F49" i="28"/>
  <c r="K49" i="28" s="1"/>
  <c r="L49" i="28" s="1"/>
  <c r="M49" i="28"/>
  <c r="E48" i="28"/>
  <c r="F48" i="28"/>
  <c r="K48" i="28" s="1"/>
  <c r="L48" i="28" s="1"/>
  <c r="M48" i="28"/>
  <c r="E47" i="28"/>
  <c r="F47" i="28"/>
  <c r="K47" i="28" s="1"/>
  <c r="L47" i="28" s="1"/>
  <c r="M47" i="28"/>
  <c r="E46" i="28"/>
  <c r="F46" i="28"/>
  <c r="K46" i="28" s="1"/>
  <c r="L46" i="28" s="1"/>
  <c r="M46" i="28"/>
  <c r="E45" i="28"/>
  <c r="F45" i="28"/>
  <c r="K45" i="28" s="1"/>
  <c r="L45" i="28" s="1"/>
  <c r="M45" i="28"/>
  <c r="G199" i="27"/>
  <c r="J199" i="27" s="1"/>
  <c r="G200" i="27"/>
  <c r="I200" i="27" s="1"/>
  <c r="G201" i="27"/>
  <c r="H201" i="27" s="1"/>
  <c r="G202" i="27"/>
  <c r="H202" i="27" s="1"/>
  <c r="G203" i="27"/>
  <c r="I203" i="27" s="1"/>
  <c r="G204" i="27"/>
  <c r="I204" i="27" s="1"/>
  <c r="G205" i="27"/>
  <c r="H205" i="27" s="1"/>
  <c r="G206" i="27"/>
  <c r="J206" i="27" s="1"/>
  <c r="G207" i="27"/>
  <c r="J207" i="27" s="1"/>
  <c r="G208" i="27"/>
  <c r="I208" i="27" s="1"/>
  <c r="G209" i="27"/>
  <c r="H209" i="27" s="1"/>
  <c r="L219" i="27"/>
  <c r="L220" i="27"/>
  <c r="L221" i="27"/>
  <c r="L197" i="27"/>
  <c r="L198" i="27"/>
  <c r="L199" i="27"/>
  <c r="L200" i="27"/>
  <c r="L201" i="27"/>
  <c r="L202" i="27"/>
  <c r="L203" i="27"/>
  <c r="L204" i="27"/>
  <c r="L205" i="27"/>
  <c r="L206" i="27"/>
  <c r="L207" i="27"/>
  <c r="L208" i="27"/>
  <c r="L209" i="27"/>
  <c r="L210" i="27"/>
  <c r="L211" i="27"/>
  <c r="L212" i="27"/>
  <c r="L213" i="27"/>
  <c r="L214" i="27"/>
  <c r="L215" i="27"/>
  <c r="L216" i="27"/>
  <c r="L217" i="27"/>
  <c r="L218" i="27"/>
  <c r="K199" i="27"/>
  <c r="M199" i="27" s="1"/>
  <c r="K200" i="27"/>
  <c r="K201" i="27"/>
  <c r="K202" i="27"/>
  <c r="K203" i="27"/>
  <c r="K204" i="27"/>
  <c r="K205" i="27"/>
  <c r="K206" i="27"/>
  <c r="K207" i="27"/>
  <c r="K208" i="27"/>
  <c r="K209" i="27"/>
  <c r="K198" i="27"/>
  <c r="G198" i="27"/>
  <c r="J198" i="27" s="1"/>
  <c r="K211" i="27"/>
  <c r="K212" i="27"/>
  <c r="K213" i="27"/>
  <c r="K214" i="27"/>
  <c r="K215" i="27"/>
  <c r="K216" i="27"/>
  <c r="K217" i="27"/>
  <c r="K218" i="27"/>
  <c r="K219" i="27"/>
  <c r="K220" i="27"/>
  <c r="K221" i="27"/>
  <c r="K210" i="27"/>
  <c r="G210" i="27"/>
  <c r="J210" i="27" s="1"/>
  <c r="G211" i="27"/>
  <c r="I211" i="27" s="1"/>
  <c r="G212" i="27"/>
  <c r="I212" i="27" s="1"/>
  <c r="G213" i="27"/>
  <c r="H213" i="27" s="1"/>
  <c r="G214" i="27"/>
  <c r="H214" i="27" s="1"/>
  <c r="G215" i="27"/>
  <c r="J215" i="27" s="1"/>
  <c r="G216" i="27"/>
  <c r="I216" i="27" s="1"/>
  <c r="G217" i="27"/>
  <c r="H217" i="27" s="1"/>
  <c r="G218" i="27"/>
  <c r="H218" i="27" s="1"/>
  <c r="G219" i="27"/>
  <c r="I219" i="27" s="1"/>
  <c r="G220" i="27"/>
  <c r="I220" i="27" s="1"/>
  <c r="G221" i="27"/>
  <c r="H221" i="27" s="1"/>
  <c r="L170" i="27"/>
  <c r="L171" i="27"/>
  <c r="L172" i="27"/>
  <c r="L173" i="27"/>
  <c r="L174" i="27"/>
  <c r="L175" i="27"/>
  <c r="L176" i="27"/>
  <c r="L177" i="27"/>
  <c r="L178" i="27"/>
  <c r="L179" i="27"/>
  <c r="L180" i="27"/>
  <c r="L181" i="27"/>
  <c r="L182" i="27"/>
  <c r="L183" i="27"/>
  <c r="L184" i="27"/>
  <c r="L185" i="27"/>
  <c r="L186" i="27"/>
  <c r="L187" i="27"/>
  <c r="L188" i="27"/>
  <c r="L189" i="27"/>
  <c r="L190" i="27"/>
  <c r="L191" i="27"/>
  <c r="L192" i="27"/>
  <c r="L193" i="27"/>
  <c r="L194" i="27"/>
  <c r="L195" i="27"/>
  <c r="L196" i="27"/>
  <c r="K170" i="27"/>
  <c r="K171" i="27"/>
  <c r="K172" i="27"/>
  <c r="K173" i="27"/>
  <c r="K174" i="27"/>
  <c r="K175" i="27"/>
  <c r="K176" i="27"/>
  <c r="K177" i="27"/>
  <c r="K178" i="27"/>
  <c r="K179" i="27"/>
  <c r="K180" i="27"/>
  <c r="K181" i="27"/>
  <c r="K182" i="27"/>
  <c r="K183" i="27"/>
  <c r="K184" i="27"/>
  <c r="K185" i="27"/>
  <c r="K186" i="27"/>
  <c r="K187" i="27"/>
  <c r="K188" i="27"/>
  <c r="K189" i="27"/>
  <c r="K190" i="27"/>
  <c r="K191" i="27"/>
  <c r="K192" i="27"/>
  <c r="K193" i="27"/>
  <c r="K194" i="27"/>
  <c r="K195" i="27"/>
  <c r="K196" i="27"/>
  <c r="K197" i="27"/>
  <c r="L169" i="27"/>
  <c r="K169" i="27"/>
  <c r="G169" i="27"/>
  <c r="H169" i="27" s="1"/>
  <c r="G170" i="27"/>
  <c r="H170" i="27" s="1"/>
  <c r="G171" i="27"/>
  <c r="H171" i="27" s="1"/>
  <c r="G172" i="27"/>
  <c r="I172" i="27" s="1"/>
  <c r="G173" i="27"/>
  <c r="H173" i="27" s="1"/>
  <c r="G174" i="27"/>
  <c r="H174" i="27" s="1"/>
  <c r="G175" i="27"/>
  <c r="J175" i="27" s="1"/>
  <c r="G176" i="27"/>
  <c r="I176" i="27" s="1"/>
  <c r="G177" i="27"/>
  <c r="H177" i="27" s="1"/>
  <c r="G178" i="27"/>
  <c r="H178" i="27" s="1"/>
  <c r="G179" i="27"/>
  <c r="I179" i="27" s="1"/>
  <c r="G180" i="27"/>
  <c r="I180" i="27" s="1"/>
  <c r="G181" i="27"/>
  <c r="H181" i="27" s="1"/>
  <c r="G182" i="27"/>
  <c r="J182" i="27" s="1"/>
  <c r="G183" i="27"/>
  <c r="J183" i="27" s="1"/>
  <c r="G184" i="27"/>
  <c r="I184" i="27" s="1"/>
  <c r="G185" i="27"/>
  <c r="H185" i="27" s="1"/>
  <c r="G186" i="27"/>
  <c r="I186" i="27" s="1"/>
  <c r="G187" i="27"/>
  <c r="I187" i="27" s="1"/>
  <c r="G188" i="27"/>
  <c r="I188" i="27" s="1"/>
  <c r="G189" i="27"/>
  <c r="H189" i="27" s="1"/>
  <c r="G190" i="27"/>
  <c r="J190" i="27" s="1"/>
  <c r="G191" i="27"/>
  <c r="J191" i="27" s="1"/>
  <c r="G192" i="27"/>
  <c r="I192" i="27" s="1"/>
  <c r="G193" i="27"/>
  <c r="H193" i="27" s="1"/>
  <c r="G194" i="27"/>
  <c r="H194" i="27" s="1"/>
  <c r="G195" i="27"/>
  <c r="I195" i="27" s="1"/>
  <c r="G196" i="27"/>
  <c r="I196" i="27" s="1"/>
  <c r="G197" i="27"/>
  <c r="H197" i="27" s="1"/>
  <c r="G16" i="19"/>
  <c r="I16" i="19" s="1"/>
  <c r="I54" i="21" s="1"/>
  <c r="F42" i="8"/>
  <c r="F43" i="8"/>
  <c r="J42" i="8"/>
  <c r="T42" i="8" s="1"/>
  <c r="J43" i="8"/>
  <c r="T43" i="8" s="1"/>
  <c r="G15" i="19"/>
  <c r="I15" i="19" s="1"/>
  <c r="I50" i="21" s="1"/>
  <c r="F39" i="8"/>
  <c r="F40" i="8"/>
  <c r="F41" i="8"/>
  <c r="J39" i="8"/>
  <c r="T39" i="8" s="1"/>
  <c r="J40" i="8"/>
  <c r="T40" i="8" s="1"/>
  <c r="J41" i="8"/>
  <c r="T41" i="8" s="1"/>
  <c r="F38" i="8"/>
  <c r="J38" i="8"/>
  <c r="T38" i="8" s="1"/>
  <c r="F37" i="8"/>
  <c r="J37" i="8"/>
  <c r="T37" i="8" s="1"/>
  <c r="F34" i="8"/>
  <c r="F35" i="8"/>
  <c r="F36" i="8"/>
  <c r="J34" i="8"/>
  <c r="T34" i="8" s="1"/>
  <c r="J35" i="8"/>
  <c r="T35" i="8" s="1"/>
  <c r="J36" i="8"/>
  <c r="T36" i="8" s="1"/>
  <c r="H264" i="27" l="1"/>
  <c r="M198" i="27"/>
  <c r="M204" i="27"/>
  <c r="M206" i="27"/>
  <c r="M223" i="27"/>
  <c r="M202" i="27"/>
  <c r="N48" i="28"/>
  <c r="N49" i="28"/>
  <c r="N55" i="28"/>
  <c r="M228" i="27"/>
  <c r="M208" i="27"/>
  <c r="M207" i="27"/>
  <c r="N207" i="27" s="1"/>
  <c r="M227" i="27"/>
  <c r="N296" i="27"/>
  <c r="N292" i="27"/>
  <c r="N298" i="27"/>
  <c r="N291" i="27"/>
  <c r="M261" i="27"/>
  <c r="M249" i="27"/>
  <c r="M264" i="27"/>
  <c r="N264" i="27" s="1"/>
  <c r="N297" i="27"/>
  <c r="M241" i="27"/>
  <c r="M268" i="27"/>
  <c r="N299" i="27"/>
  <c r="N295" i="27"/>
  <c r="N294" i="27"/>
  <c r="N302" i="27"/>
  <c r="M200" i="27"/>
  <c r="M267" i="27"/>
  <c r="M257" i="27"/>
  <c r="M253" i="27"/>
  <c r="M245" i="27"/>
  <c r="I280" i="27"/>
  <c r="M288" i="27"/>
  <c r="M284" i="27"/>
  <c r="N284" i="27" s="1"/>
  <c r="M280" i="27"/>
  <c r="N280" i="27" s="1"/>
  <c r="M276" i="27"/>
  <c r="M272" i="27"/>
  <c r="I272" i="27"/>
  <c r="J276" i="27"/>
  <c r="H284" i="27"/>
  <c r="J272" i="27"/>
  <c r="H280" i="27"/>
  <c r="J268" i="27"/>
  <c r="I268" i="27"/>
  <c r="H276" i="27"/>
  <c r="I284" i="27"/>
  <c r="I264" i="27"/>
  <c r="M278" i="27"/>
  <c r="M260" i="27"/>
  <c r="H260" i="27"/>
  <c r="I288" i="27"/>
  <c r="I273" i="27"/>
  <c r="I281" i="27"/>
  <c r="H265" i="27"/>
  <c r="J277" i="27"/>
  <c r="H269" i="27"/>
  <c r="M283" i="27"/>
  <c r="M275" i="27"/>
  <c r="M271" i="27"/>
  <c r="J285" i="27"/>
  <c r="M286" i="27"/>
  <c r="M282" i="27"/>
  <c r="M274" i="27"/>
  <c r="M270" i="27"/>
  <c r="J274" i="27"/>
  <c r="J270" i="27"/>
  <c r="M290" i="27"/>
  <c r="I270" i="27"/>
  <c r="H274" i="27"/>
  <c r="H286" i="27"/>
  <c r="J286" i="27"/>
  <c r="J289" i="27"/>
  <c r="I285" i="27"/>
  <c r="I277" i="27"/>
  <c r="I265" i="27"/>
  <c r="H273" i="27"/>
  <c r="J290" i="27"/>
  <c r="J281" i="27"/>
  <c r="J269" i="27"/>
  <c r="I289" i="27"/>
  <c r="I290" i="27"/>
  <c r="M265" i="27"/>
  <c r="N265" i="27" s="1"/>
  <c r="M287" i="27"/>
  <c r="M279" i="27"/>
  <c r="J278" i="27"/>
  <c r="I278" i="27"/>
  <c r="M232" i="27"/>
  <c r="M266" i="27"/>
  <c r="J282" i="27"/>
  <c r="J266" i="27"/>
  <c r="I282" i="27"/>
  <c r="I266" i="27"/>
  <c r="M289" i="27"/>
  <c r="M285" i="27"/>
  <c r="M281" i="27"/>
  <c r="M277" i="27"/>
  <c r="M273" i="27"/>
  <c r="N273" i="27" s="1"/>
  <c r="M269" i="27"/>
  <c r="I287" i="27"/>
  <c r="I283" i="27"/>
  <c r="I279" i="27"/>
  <c r="I275" i="27"/>
  <c r="I271" i="27"/>
  <c r="I267" i="27"/>
  <c r="J245" i="27"/>
  <c r="M263" i="27"/>
  <c r="J287" i="27"/>
  <c r="J283" i="27"/>
  <c r="J279" i="27"/>
  <c r="J275" i="27"/>
  <c r="J271" i="27"/>
  <c r="J267" i="27"/>
  <c r="M262" i="27"/>
  <c r="N262" i="27" s="1"/>
  <c r="J263" i="27"/>
  <c r="I263" i="27"/>
  <c r="M231" i="27"/>
  <c r="M259" i="27"/>
  <c r="M255" i="27"/>
  <c r="N255" i="27" s="1"/>
  <c r="M251" i="27"/>
  <c r="M247" i="27"/>
  <c r="M243" i="27"/>
  <c r="M239" i="27"/>
  <c r="M235" i="27"/>
  <c r="N235" i="27" s="1"/>
  <c r="I245" i="27"/>
  <c r="J261" i="27"/>
  <c r="H262" i="27"/>
  <c r="I262" i="27"/>
  <c r="H261" i="27"/>
  <c r="M256" i="27"/>
  <c r="M252" i="27"/>
  <c r="M248" i="27"/>
  <c r="M244" i="27"/>
  <c r="M240" i="27"/>
  <c r="N240" i="27" s="1"/>
  <c r="M237" i="27"/>
  <c r="M236" i="27"/>
  <c r="J231" i="27"/>
  <c r="I231" i="27"/>
  <c r="J227" i="27"/>
  <c r="I227" i="27"/>
  <c r="J251" i="27"/>
  <c r="J223" i="27"/>
  <c r="I223" i="27"/>
  <c r="J224" i="27"/>
  <c r="H244" i="27"/>
  <c r="I224" i="27"/>
  <c r="H229" i="27"/>
  <c r="I229" i="27"/>
  <c r="I255" i="27"/>
  <c r="J243" i="27"/>
  <c r="I235" i="27"/>
  <c r="H239" i="27"/>
  <c r="J244" i="27"/>
  <c r="H240" i="27"/>
  <c r="H228" i="27"/>
  <c r="J256" i="27"/>
  <c r="J228" i="27"/>
  <c r="I256" i="27"/>
  <c r="I240" i="27"/>
  <c r="H222" i="27"/>
  <c r="J259" i="27"/>
  <c r="J247" i="27"/>
  <c r="I251" i="27"/>
  <c r="I243" i="27"/>
  <c r="H255" i="27"/>
  <c r="H235" i="27"/>
  <c r="J239" i="27"/>
  <c r="I259" i="27"/>
  <c r="I247" i="27"/>
  <c r="J233" i="27"/>
  <c r="J253" i="27"/>
  <c r="J248" i="27"/>
  <c r="J237" i="27"/>
  <c r="J232" i="27"/>
  <c r="I253" i="27"/>
  <c r="I248" i="27"/>
  <c r="I237" i="27"/>
  <c r="I232" i="27"/>
  <c r="J249" i="27"/>
  <c r="I249" i="27"/>
  <c r="I233" i="27"/>
  <c r="J257" i="27"/>
  <c r="J252" i="27"/>
  <c r="J241" i="27"/>
  <c r="J236" i="27"/>
  <c r="J225" i="27"/>
  <c r="I257" i="27"/>
  <c r="I252" i="27"/>
  <c r="I241" i="27"/>
  <c r="I236" i="27"/>
  <c r="I225" i="27"/>
  <c r="M224" i="27"/>
  <c r="M258" i="27"/>
  <c r="M254" i="27"/>
  <c r="M250" i="27"/>
  <c r="M246" i="27"/>
  <c r="M242" i="27"/>
  <c r="M238" i="27"/>
  <c r="M234" i="27"/>
  <c r="M230" i="27"/>
  <c r="M226" i="27"/>
  <c r="M233" i="27"/>
  <c r="M229" i="27"/>
  <c r="N229" i="27" s="1"/>
  <c r="M225" i="27"/>
  <c r="J258" i="27"/>
  <c r="J254" i="27"/>
  <c r="J250" i="27"/>
  <c r="J246" i="27"/>
  <c r="J242" i="27"/>
  <c r="J238" i="27"/>
  <c r="J234" i="27"/>
  <c r="J230" i="27"/>
  <c r="J226" i="27"/>
  <c r="M222" i="27"/>
  <c r="I258" i="27"/>
  <c r="I254" i="27"/>
  <c r="I250" i="27"/>
  <c r="I246" i="27"/>
  <c r="I242" i="27"/>
  <c r="I238" i="27"/>
  <c r="I234" i="27"/>
  <c r="I230" i="27"/>
  <c r="I226" i="27"/>
  <c r="J222" i="27"/>
  <c r="I222" i="27"/>
  <c r="D18" i="22"/>
  <c r="H62" i="21" s="1"/>
  <c r="M203" i="27"/>
  <c r="D17" i="22"/>
  <c r="H57" i="21" s="1"/>
  <c r="N50" i="28"/>
  <c r="M187" i="27"/>
  <c r="M219" i="27"/>
  <c r="M210" i="27"/>
  <c r="N210" i="27" s="1"/>
  <c r="M218" i="27"/>
  <c r="M214" i="27"/>
  <c r="M196" i="27"/>
  <c r="M192" i="27"/>
  <c r="M189" i="27"/>
  <c r="M181" i="27"/>
  <c r="M220" i="27"/>
  <c r="M215" i="27"/>
  <c r="N215" i="27" s="1"/>
  <c r="M211" i="27"/>
  <c r="N53" i="28"/>
  <c r="N51" i="28"/>
  <c r="N54" i="28"/>
  <c r="N52" i="28"/>
  <c r="N47" i="28"/>
  <c r="N45" i="28"/>
  <c r="N46" i="28"/>
  <c r="M191" i="27"/>
  <c r="N191" i="27" s="1"/>
  <c r="M179" i="27"/>
  <c r="M194" i="27"/>
  <c r="M190" i="27"/>
  <c r="N190" i="27" s="1"/>
  <c r="M186" i="27"/>
  <c r="M182" i="27"/>
  <c r="N182" i="27" s="1"/>
  <c r="M178" i="27"/>
  <c r="M174" i="27"/>
  <c r="M170" i="27"/>
  <c r="M195" i="27"/>
  <c r="M183" i="27"/>
  <c r="N183" i="27" s="1"/>
  <c r="M175" i="27"/>
  <c r="N175" i="27" s="1"/>
  <c r="H210" i="27"/>
  <c r="M216" i="27"/>
  <c r="M212" i="27"/>
  <c r="I207" i="27"/>
  <c r="I206" i="27"/>
  <c r="H190" i="27"/>
  <c r="I190" i="27"/>
  <c r="J194" i="27"/>
  <c r="I218" i="27"/>
  <c r="I174" i="27"/>
  <c r="J178" i="27"/>
  <c r="N178" i="27" s="1"/>
  <c r="H206" i="27"/>
  <c r="M213" i="27"/>
  <c r="M193" i="27"/>
  <c r="M177" i="27"/>
  <c r="M173" i="27"/>
  <c r="H176" i="27"/>
  <c r="M221" i="27"/>
  <c r="M217" i="27"/>
  <c r="M209" i="27"/>
  <c r="M205" i="27"/>
  <c r="M201" i="27"/>
  <c r="M197" i="27"/>
  <c r="M185" i="27"/>
  <c r="N199" i="27"/>
  <c r="N198" i="27"/>
  <c r="J174" i="27"/>
  <c r="I202" i="27"/>
  <c r="H186" i="27"/>
  <c r="I214" i="27"/>
  <c r="I170" i="27"/>
  <c r="J218" i="27"/>
  <c r="J202" i="27"/>
  <c r="J186" i="27"/>
  <c r="J170" i="27"/>
  <c r="I210" i="27"/>
  <c r="I198" i="27"/>
  <c r="I182" i="27"/>
  <c r="H198" i="27"/>
  <c r="H182" i="27"/>
  <c r="N206" i="27"/>
  <c r="J214" i="27"/>
  <c r="I194" i="27"/>
  <c r="I178" i="27"/>
  <c r="I175" i="27"/>
  <c r="H199" i="27"/>
  <c r="J211" i="27"/>
  <c r="J179" i="27"/>
  <c r="J219" i="27"/>
  <c r="J187" i="27"/>
  <c r="I215" i="27"/>
  <c r="I183" i="27"/>
  <c r="H207" i="27"/>
  <c r="J195" i="27"/>
  <c r="I191" i="27"/>
  <c r="H215" i="27"/>
  <c r="H183" i="27"/>
  <c r="H175" i="27"/>
  <c r="J203" i="27"/>
  <c r="J171" i="27"/>
  <c r="I199" i="27"/>
  <c r="H211" i="27"/>
  <c r="H191" i="27"/>
  <c r="H219" i="27"/>
  <c r="H203" i="27"/>
  <c r="H195" i="27"/>
  <c r="H187" i="27"/>
  <c r="H179" i="27"/>
  <c r="I171" i="27"/>
  <c r="H216" i="27"/>
  <c r="H208" i="27"/>
  <c r="H188" i="27"/>
  <c r="H192" i="27"/>
  <c r="H204" i="27"/>
  <c r="H172" i="27"/>
  <c r="M188" i="27"/>
  <c r="M184" i="27"/>
  <c r="M180" i="27"/>
  <c r="M176" i="27"/>
  <c r="M172" i="27"/>
  <c r="J205" i="27"/>
  <c r="M171" i="27"/>
  <c r="H220" i="27"/>
  <c r="H212" i="27"/>
  <c r="H196" i="27"/>
  <c r="H180" i="27"/>
  <c r="H200" i="27"/>
  <c r="H184" i="27"/>
  <c r="J189" i="27"/>
  <c r="J173" i="27"/>
  <c r="J169" i="27"/>
  <c r="J221" i="27"/>
  <c r="J209" i="27"/>
  <c r="J193" i="27"/>
  <c r="J177" i="27"/>
  <c r="J213" i="27"/>
  <c r="J197" i="27"/>
  <c r="J181" i="27"/>
  <c r="J217" i="27"/>
  <c r="J201" i="27"/>
  <c r="J185" i="27"/>
  <c r="M169" i="27"/>
  <c r="J220" i="27"/>
  <c r="J216" i="27"/>
  <c r="J212" i="27"/>
  <c r="J208" i="27"/>
  <c r="J204" i="27"/>
  <c r="N204" i="27" s="1"/>
  <c r="J200" i="27"/>
  <c r="J196" i="27"/>
  <c r="J192" i="27"/>
  <c r="J188" i="27"/>
  <c r="J184" i="27"/>
  <c r="J180" i="27"/>
  <c r="J176" i="27"/>
  <c r="J172" i="27"/>
  <c r="I221" i="27"/>
  <c r="I217" i="27"/>
  <c r="I213" i="27"/>
  <c r="I209" i="27"/>
  <c r="I205" i="27"/>
  <c r="I201" i="27"/>
  <c r="I197" i="27"/>
  <c r="I193" i="27"/>
  <c r="I189" i="27"/>
  <c r="I185" i="27"/>
  <c r="I181" i="27"/>
  <c r="I177" i="27"/>
  <c r="I173" i="27"/>
  <c r="I169" i="27"/>
  <c r="D15" i="22"/>
  <c r="H47" i="21" s="1"/>
  <c r="D16" i="22"/>
  <c r="H51" i="21" s="1"/>
  <c r="H45" i="21"/>
  <c r="H29" i="21"/>
  <c r="N244" i="27" l="1"/>
  <c r="N263" i="27"/>
  <c r="N223" i="27"/>
  <c r="N227" i="27"/>
  <c r="N202" i="27"/>
  <c r="N208" i="27"/>
  <c r="N272" i="27"/>
  <c r="N228" i="27"/>
  <c r="N203" i="27"/>
  <c r="N257" i="27"/>
  <c r="N261" i="27"/>
  <c r="N249" i="27"/>
  <c r="N253" i="27"/>
  <c r="N267" i="27"/>
  <c r="N200" i="27"/>
  <c r="N241" i="27"/>
  <c r="N268" i="27"/>
  <c r="N245" i="27"/>
  <c r="N276" i="27"/>
  <c r="N278" i="27"/>
  <c r="N289" i="27"/>
  <c r="N275" i="27"/>
  <c r="N269" i="27"/>
  <c r="N286" i="27"/>
  <c r="N271" i="27"/>
  <c r="N283" i="27"/>
  <c r="N281" i="27"/>
  <c r="N290" i="27"/>
  <c r="N270" i="27"/>
  <c r="N277" i="27"/>
  <c r="N274" i="27"/>
  <c r="N285" i="27"/>
  <c r="N282" i="27"/>
  <c r="N251" i="27"/>
  <c r="N266" i="27"/>
  <c r="N279" i="27"/>
  <c r="N232" i="27"/>
  <c r="N287" i="27"/>
  <c r="N231" i="27"/>
  <c r="N259" i="27"/>
  <c r="N252" i="27"/>
  <c r="N239" i="27"/>
  <c r="N243" i="27"/>
  <c r="N256" i="27"/>
  <c r="N247" i="27"/>
  <c r="N250" i="27"/>
  <c r="N237" i="27"/>
  <c r="N226" i="27"/>
  <c r="N242" i="27"/>
  <c r="N258" i="27"/>
  <c r="N236" i="27"/>
  <c r="N254" i="27"/>
  <c r="N248" i="27"/>
  <c r="N246" i="27"/>
  <c r="N238" i="27"/>
  <c r="N234" i="27"/>
  <c r="N224" i="27"/>
  <c r="N230" i="27"/>
  <c r="N233" i="27"/>
  <c r="N222" i="27"/>
  <c r="N225" i="27"/>
  <c r="N218" i="27"/>
  <c r="N187" i="27"/>
  <c r="N196" i="27"/>
  <c r="N219" i="27"/>
  <c r="N220" i="27"/>
  <c r="N192" i="27"/>
  <c r="N189" i="27"/>
  <c r="N214" i="27"/>
  <c r="N179" i="27"/>
  <c r="N181" i="27"/>
  <c r="N211" i="27"/>
  <c r="N170" i="27"/>
  <c r="N186" i="27"/>
  <c r="N195" i="27"/>
  <c r="N216" i="27"/>
  <c r="N194" i="27"/>
  <c r="N212" i="27"/>
  <c r="N174" i="27"/>
  <c r="N217" i="27"/>
  <c r="N172" i="27"/>
  <c r="N188" i="27"/>
  <c r="N177" i="27"/>
  <c r="N193" i="27"/>
  <c r="N205" i="27"/>
  <c r="N213" i="27"/>
  <c r="N180" i="27"/>
  <c r="N185" i="27"/>
  <c r="N209" i="27"/>
  <c r="N173" i="27"/>
  <c r="N201" i="27"/>
  <c r="N221" i="27"/>
  <c r="N197" i="27"/>
  <c r="N176" i="27"/>
  <c r="N171" i="27"/>
  <c r="N169" i="27"/>
  <c r="N184" i="27"/>
  <c r="G14" i="19"/>
  <c r="I14" i="19" s="1"/>
  <c r="I44" i="21" s="1"/>
  <c r="G13" i="19"/>
  <c r="I13" i="19" s="1"/>
  <c r="I40" i="21" s="1"/>
  <c r="E44" i="28"/>
  <c r="F44" i="28"/>
  <c r="K44" i="28" s="1"/>
  <c r="L44" i="28" s="1"/>
  <c r="M44" i="28"/>
  <c r="E43" i="28"/>
  <c r="F43" i="28"/>
  <c r="K43" i="28" s="1"/>
  <c r="L43" i="28" s="1"/>
  <c r="M43" i="28"/>
  <c r="E42" i="28"/>
  <c r="F42" i="28"/>
  <c r="K42" i="28" s="1"/>
  <c r="L42" i="28" s="1"/>
  <c r="M42" i="28"/>
  <c r="E41" i="28"/>
  <c r="F41" i="28"/>
  <c r="K41" i="28" s="1"/>
  <c r="L41" i="28" s="1"/>
  <c r="M41" i="28"/>
  <c r="E38" i="28"/>
  <c r="E39" i="28"/>
  <c r="E40" i="28"/>
  <c r="F38" i="28"/>
  <c r="K38" i="28" s="1"/>
  <c r="L38" i="28" s="1"/>
  <c r="F39" i="28"/>
  <c r="K39" i="28" s="1"/>
  <c r="L39" i="28" s="1"/>
  <c r="F40" i="28"/>
  <c r="K40" i="28" s="1"/>
  <c r="L40" i="28" s="1"/>
  <c r="M38" i="28"/>
  <c r="M39" i="28"/>
  <c r="M40" i="28"/>
  <c r="L142" i="27"/>
  <c r="L143" i="27"/>
  <c r="L144" i="27"/>
  <c r="L145" i="27"/>
  <c r="L146" i="27"/>
  <c r="L147" i="27"/>
  <c r="L148" i="27"/>
  <c r="L149" i="27"/>
  <c r="L150" i="27"/>
  <c r="L151" i="27"/>
  <c r="L152" i="27"/>
  <c r="L153" i="27"/>
  <c r="L154" i="27"/>
  <c r="L155" i="27"/>
  <c r="L156" i="27"/>
  <c r="L157" i="27"/>
  <c r="L158" i="27"/>
  <c r="L159" i="27"/>
  <c r="L160" i="27"/>
  <c r="L161" i="27"/>
  <c r="L162" i="27"/>
  <c r="L163" i="27"/>
  <c r="L164" i="27"/>
  <c r="L165" i="27"/>
  <c r="L166" i="27"/>
  <c r="L167" i="27"/>
  <c r="L168" i="27"/>
  <c r="L141" i="27"/>
  <c r="K142" i="27"/>
  <c r="K143" i="27"/>
  <c r="K144" i="27"/>
  <c r="K145" i="27"/>
  <c r="K146" i="27"/>
  <c r="K147" i="27"/>
  <c r="K148" i="27"/>
  <c r="K149" i="27"/>
  <c r="K150" i="27"/>
  <c r="K151" i="27"/>
  <c r="M151" i="27" s="1"/>
  <c r="K152" i="27"/>
  <c r="K153" i="27"/>
  <c r="K154" i="27"/>
  <c r="K155" i="27"/>
  <c r="K156" i="27"/>
  <c r="K157" i="27"/>
  <c r="K158" i="27"/>
  <c r="K159" i="27"/>
  <c r="M159" i="27" s="1"/>
  <c r="K160" i="27"/>
  <c r="K161" i="27"/>
  <c r="K162" i="27"/>
  <c r="K163" i="27"/>
  <c r="K164" i="27"/>
  <c r="K165" i="27"/>
  <c r="K166" i="27"/>
  <c r="K167" i="27"/>
  <c r="K168" i="27"/>
  <c r="K141" i="27"/>
  <c r="G141" i="27"/>
  <c r="H141" i="27" s="1"/>
  <c r="G142" i="27"/>
  <c r="I142" i="27" s="1"/>
  <c r="G143" i="27"/>
  <c r="I143" i="27" s="1"/>
  <c r="G144" i="27"/>
  <c r="I144" i="27" s="1"/>
  <c r="G145" i="27"/>
  <c r="H145" i="27" s="1"/>
  <c r="G146" i="27"/>
  <c r="H146" i="27" s="1"/>
  <c r="G147" i="27"/>
  <c r="I147" i="27" s="1"/>
  <c r="G148" i="27"/>
  <c r="I148" i="27" s="1"/>
  <c r="G149" i="27"/>
  <c r="H149" i="27" s="1"/>
  <c r="G150" i="27"/>
  <c r="G151" i="27"/>
  <c r="H151" i="27" s="1"/>
  <c r="G152" i="27"/>
  <c r="H152" i="27" s="1"/>
  <c r="G153" i="27"/>
  <c r="I153" i="27" s="1"/>
  <c r="G154" i="27"/>
  <c r="J154" i="27" s="1"/>
  <c r="G155" i="27"/>
  <c r="H155" i="27" s="1"/>
  <c r="G156" i="27"/>
  <c r="J156" i="27" s="1"/>
  <c r="G157" i="27"/>
  <c r="J157" i="27" s="1"/>
  <c r="G158" i="27"/>
  <c r="J158" i="27" s="1"/>
  <c r="G159" i="27"/>
  <c r="I159" i="27" s="1"/>
  <c r="G160" i="27"/>
  <c r="H160" i="27" s="1"/>
  <c r="G161" i="27"/>
  <c r="H161" i="27" s="1"/>
  <c r="G162" i="27"/>
  <c r="J162" i="27" s="1"/>
  <c r="G163" i="27"/>
  <c r="H163" i="27" s="1"/>
  <c r="G164" i="27"/>
  <c r="J164" i="27" s="1"/>
  <c r="G165" i="27"/>
  <c r="H165" i="27" s="1"/>
  <c r="G166" i="27"/>
  <c r="G167" i="27"/>
  <c r="H167" i="27" s="1"/>
  <c r="G168" i="27"/>
  <c r="H168" i="27" s="1"/>
  <c r="J150" i="27"/>
  <c r="H147" i="27"/>
  <c r="H148" i="27"/>
  <c r="G12" i="19"/>
  <c r="I12" i="19" s="1"/>
  <c r="I33" i="21" s="1"/>
  <c r="F28" i="8"/>
  <c r="J28" i="8"/>
  <c r="T28" i="8" s="1"/>
  <c r="F29" i="8"/>
  <c r="J29" i="8"/>
  <c r="T29" i="8" s="1"/>
  <c r="F33" i="8"/>
  <c r="J33" i="8"/>
  <c r="T33" i="8" s="1"/>
  <c r="F24" i="8"/>
  <c r="F25" i="8"/>
  <c r="F26" i="8"/>
  <c r="F27" i="8"/>
  <c r="F30" i="8"/>
  <c r="F31" i="8"/>
  <c r="F32" i="8"/>
  <c r="J24" i="8"/>
  <c r="T24" i="8" s="1"/>
  <c r="J25" i="8"/>
  <c r="T25" i="8" s="1"/>
  <c r="J26" i="8"/>
  <c r="T26" i="8" s="1"/>
  <c r="J27" i="8"/>
  <c r="T27" i="8" s="1"/>
  <c r="J30" i="8"/>
  <c r="T30" i="8" s="1"/>
  <c r="J31" i="8"/>
  <c r="T31" i="8" s="1"/>
  <c r="J32" i="8"/>
  <c r="T32" i="8" s="1"/>
  <c r="M147" i="27" l="1"/>
  <c r="M157" i="27"/>
  <c r="M167" i="27"/>
  <c r="M163" i="27"/>
  <c r="M155" i="27"/>
  <c r="N44" i="28"/>
  <c r="N43" i="28"/>
  <c r="N42" i="28"/>
  <c r="N41" i="28"/>
  <c r="N38" i="28"/>
  <c r="N40" i="28"/>
  <c r="N39" i="28"/>
  <c r="J143" i="27"/>
  <c r="J147" i="27"/>
  <c r="J161" i="27"/>
  <c r="I156" i="27"/>
  <c r="J167" i="27"/>
  <c r="I155" i="27"/>
  <c r="I167" i="27"/>
  <c r="I151" i="27"/>
  <c r="J159" i="27"/>
  <c r="N159" i="27" s="1"/>
  <c r="I163" i="27"/>
  <c r="H159" i="27"/>
  <c r="J155" i="27"/>
  <c r="J163" i="27"/>
  <c r="J151" i="27"/>
  <c r="N151" i="27" s="1"/>
  <c r="I164" i="27"/>
  <c r="H156" i="27"/>
  <c r="J148" i="27"/>
  <c r="H164" i="27"/>
  <c r="J168" i="27"/>
  <c r="J160" i="27"/>
  <c r="J152" i="27"/>
  <c r="I168" i="27"/>
  <c r="I160" i="27"/>
  <c r="I152" i="27"/>
  <c r="H153" i="27"/>
  <c r="J165" i="27"/>
  <c r="I157" i="27"/>
  <c r="I161" i="27"/>
  <c r="J149" i="27"/>
  <c r="M165" i="27"/>
  <c r="M161" i="27"/>
  <c r="M153" i="27"/>
  <c r="M149" i="27"/>
  <c r="H157" i="27"/>
  <c r="N157" i="27"/>
  <c r="J153" i="27"/>
  <c r="I165" i="27"/>
  <c r="I149" i="27"/>
  <c r="M168" i="27"/>
  <c r="M164" i="27"/>
  <c r="N164" i="27" s="1"/>
  <c r="M160" i="27"/>
  <c r="M156" i="27"/>
  <c r="N156" i="27" s="1"/>
  <c r="M152" i="27"/>
  <c r="M148" i="27"/>
  <c r="M166" i="27"/>
  <c r="M162" i="27"/>
  <c r="N162" i="27" s="1"/>
  <c r="M158" i="27"/>
  <c r="N158" i="27" s="1"/>
  <c r="M154" i="27"/>
  <c r="N154" i="27" s="1"/>
  <c r="M150" i="27"/>
  <c r="N150" i="27" s="1"/>
  <c r="H144" i="27"/>
  <c r="J144" i="27"/>
  <c r="H143" i="27"/>
  <c r="M146" i="27"/>
  <c r="H166" i="27"/>
  <c r="H162" i="27"/>
  <c r="H158" i="27"/>
  <c r="H154" i="27"/>
  <c r="H150" i="27"/>
  <c r="J145" i="27"/>
  <c r="J146" i="27"/>
  <c r="I166" i="27"/>
  <c r="I162" i="27"/>
  <c r="I158" i="27"/>
  <c r="I154" i="27"/>
  <c r="I150" i="27"/>
  <c r="M145" i="27"/>
  <c r="I146" i="27"/>
  <c r="J142" i="27"/>
  <c r="I145" i="27"/>
  <c r="M142" i="27"/>
  <c r="M144" i="27"/>
  <c r="M143" i="27"/>
  <c r="H142" i="27"/>
  <c r="I141" i="27"/>
  <c r="J141" i="27"/>
  <c r="D14" i="22"/>
  <c r="H41" i="21" s="1"/>
  <c r="H140" i="27"/>
  <c r="I140" i="27"/>
  <c r="M140" i="27"/>
  <c r="H139" i="27"/>
  <c r="I139" i="27"/>
  <c r="H136" i="27"/>
  <c r="H137" i="27"/>
  <c r="H138" i="27"/>
  <c r="I136" i="27"/>
  <c r="I137" i="27"/>
  <c r="I138" i="27"/>
  <c r="M138" i="27"/>
  <c r="M136" i="27"/>
  <c r="M137" i="27"/>
  <c r="H135" i="27"/>
  <c r="I135" i="27"/>
  <c r="M135" i="27"/>
  <c r="H134" i="27"/>
  <c r="I134" i="27"/>
  <c r="M134" i="27"/>
  <c r="H133" i="27"/>
  <c r="I133" i="27"/>
  <c r="H132" i="27"/>
  <c r="I132" i="27"/>
  <c r="H131" i="27"/>
  <c r="I131" i="27"/>
  <c r="M131" i="27"/>
  <c r="H130" i="27"/>
  <c r="I130" i="27"/>
  <c r="M130" i="27"/>
  <c r="H125" i="27"/>
  <c r="H126" i="27"/>
  <c r="H127" i="27"/>
  <c r="H128" i="27"/>
  <c r="H129" i="27"/>
  <c r="I129" i="27"/>
  <c r="M129" i="27"/>
  <c r="I128" i="27"/>
  <c r="I127" i="27"/>
  <c r="I126" i="27"/>
  <c r="I125" i="27"/>
  <c r="H124" i="27"/>
  <c r="I124" i="27"/>
  <c r="H123" i="27"/>
  <c r="I123" i="27"/>
  <c r="H122" i="27"/>
  <c r="I122" i="27"/>
  <c r="N167" i="27" l="1"/>
  <c r="N147" i="27"/>
  <c r="N153" i="27"/>
  <c r="N163" i="27"/>
  <c r="N155" i="27"/>
  <c r="N143" i="27"/>
  <c r="N168" i="27"/>
  <c r="N161" i="27"/>
  <c r="N152" i="27"/>
  <c r="N165" i="27"/>
  <c r="N149" i="27"/>
  <c r="N148" i="27"/>
  <c r="N160" i="27"/>
  <c r="N144" i="27"/>
  <c r="N142" i="27"/>
  <c r="N145" i="27"/>
  <c r="N146" i="27"/>
  <c r="M139" i="27"/>
  <c r="M133" i="27"/>
  <c r="M132" i="27"/>
  <c r="M128" i="27"/>
  <c r="M127" i="27"/>
  <c r="M126" i="27"/>
  <c r="M125" i="27"/>
  <c r="M124" i="27"/>
  <c r="M123" i="27"/>
  <c r="M122" i="27"/>
  <c r="H11" i="19" l="1"/>
  <c r="E37" i="28"/>
  <c r="F37" i="28"/>
  <c r="K37" i="28" s="1"/>
  <c r="L37" i="28" s="1"/>
  <c r="M37" i="28"/>
  <c r="E36" i="28"/>
  <c r="F36" i="28"/>
  <c r="K36" i="28" s="1"/>
  <c r="L36" i="28" s="1"/>
  <c r="M36" i="28"/>
  <c r="E35" i="28"/>
  <c r="F35" i="28"/>
  <c r="K35" i="28" s="1"/>
  <c r="L35" i="28" s="1"/>
  <c r="M35" i="28"/>
  <c r="E34" i="28"/>
  <c r="F34" i="28"/>
  <c r="K34" i="28" s="1"/>
  <c r="L34" i="28" s="1"/>
  <c r="M34" i="28"/>
  <c r="E33" i="28"/>
  <c r="F33" i="28"/>
  <c r="K33" i="28" s="1"/>
  <c r="L33" i="28" s="1"/>
  <c r="M33" i="2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J29" i="18"/>
  <c r="G11" i="19"/>
  <c r="G10" i="19"/>
  <c r="I10" i="19" s="1"/>
  <c r="I20" i="21" s="1"/>
  <c r="K110" i="27"/>
  <c r="K111" i="27"/>
  <c r="K112" i="27"/>
  <c r="K113" i="27"/>
  <c r="K114" i="27"/>
  <c r="K115" i="27"/>
  <c r="K116" i="27"/>
  <c r="K117" i="27"/>
  <c r="K118" i="27"/>
  <c r="K119" i="27"/>
  <c r="K120" i="27"/>
  <c r="K121" i="27"/>
  <c r="K109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83" i="27"/>
  <c r="D12" i="22"/>
  <c r="H30" i="21" s="1"/>
  <c r="D13" i="22"/>
  <c r="H37" i="21" s="1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96" i="27"/>
  <c r="G96" i="27"/>
  <c r="L83" i="27"/>
  <c r="L84" i="27"/>
  <c r="L85" i="27"/>
  <c r="L86" i="27"/>
  <c r="L87" i="27"/>
  <c r="L88" i="27"/>
  <c r="L89" i="27"/>
  <c r="L90" i="27"/>
  <c r="L91" i="27"/>
  <c r="L92" i="27"/>
  <c r="L93" i="27"/>
  <c r="L94" i="27"/>
  <c r="L95" i="27"/>
  <c r="L96" i="27"/>
  <c r="L97" i="27"/>
  <c r="L98" i="27"/>
  <c r="L99" i="27"/>
  <c r="L100" i="27"/>
  <c r="L101" i="27"/>
  <c r="L102" i="27"/>
  <c r="L103" i="27"/>
  <c r="L104" i="27"/>
  <c r="L105" i="27"/>
  <c r="L106" i="27"/>
  <c r="L107" i="27"/>
  <c r="L108" i="27"/>
  <c r="L109" i="27"/>
  <c r="L110" i="27"/>
  <c r="L111" i="27"/>
  <c r="L112" i="27"/>
  <c r="L113" i="27"/>
  <c r="L114" i="27"/>
  <c r="L115" i="27"/>
  <c r="L116" i="27"/>
  <c r="L117" i="27"/>
  <c r="L118" i="27"/>
  <c r="L119" i="27"/>
  <c r="L120" i="27"/>
  <c r="L121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K71" i="27"/>
  <c r="K72" i="27"/>
  <c r="K73" i="27"/>
  <c r="K74" i="27"/>
  <c r="K75" i="27"/>
  <c r="K76" i="27"/>
  <c r="K77" i="27"/>
  <c r="K78" i="27"/>
  <c r="K79" i="27"/>
  <c r="K80" i="27"/>
  <c r="K81" i="27"/>
  <c r="K82" i="27"/>
  <c r="G97" i="27"/>
  <c r="H97" i="27" s="1"/>
  <c r="G98" i="27"/>
  <c r="H98" i="27" s="1"/>
  <c r="G99" i="27"/>
  <c r="H99" i="27" s="1"/>
  <c r="G100" i="27"/>
  <c r="H100" i="27" s="1"/>
  <c r="G101" i="27"/>
  <c r="H101" i="27" s="1"/>
  <c r="G102" i="27"/>
  <c r="G103" i="27"/>
  <c r="G104" i="27"/>
  <c r="H104" i="27" s="1"/>
  <c r="G105" i="27"/>
  <c r="I105" i="27" s="1"/>
  <c r="G106" i="27"/>
  <c r="I106" i="27" s="1"/>
  <c r="G107" i="27"/>
  <c r="G108" i="27"/>
  <c r="H108" i="27" s="1"/>
  <c r="G109" i="27"/>
  <c r="G110" i="27"/>
  <c r="H110" i="27" s="1"/>
  <c r="G111" i="27"/>
  <c r="I111" i="27" s="1"/>
  <c r="G112" i="27"/>
  <c r="H112" i="27" s="1"/>
  <c r="G113" i="27"/>
  <c r="H113" i="27" s="1"/>
  <c r="G114" i="27"/>
  <c r="I114" i="27" s="1"/>
  <c r="G115" i="27"/>
  <c r="H115" i="27" s="1"/>
  <c r="G116" i="27"/>
  <c r="H116" i="27" s="1"/>
  <c r="G117" i="27"/>
  <c r="H117" i="27" s="1"/>
  <c r="G118" i="27"/>
  <c r="G119" i="27"/>
  <c r="G120" i="27"/>
  <c r="H120" i="27" s="1"/>
  <c r="G121" i="27"/>
  <c r="H121" i="27" s="1"/>
  <c r="L71" i="27"/>
  <c r="L72" i="27"/>
  <c r="L73" i="27"/>
  <c r="L74" i="27"/>
  <c r="L75" i="27"/>
  <c r="L76" i="27"/>
  <c r="L77" i="27"/>
  <c r="L78" i="27"/>
  <c r="L79" i="27"/>
  <c r="L80" i="27"/>
  <c r="L81" i="27"/>
  <c r="L82" i="27"/>
  <c r="L70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K70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I11" i="19" l="1"/>
  <c r="I24" i="21" s="1"/>
  <c r="N34" i="28"/>
  <c r="N36" i="28"/>
  <c r="N33" i="28"/>
  <c r="N37" i="28"/>
  <c r="N35" i="28"/>
  <c r="M109" i="27"/>
  <c r="M118" i="27"/>
  <c r="M110" i="27"/>
  <c r="M104" i="27"/>
  <c r="M107" i="27"/>
  <c r="M99" i="27"/>
  <c r="M102" i="27"/>
  <c r="M121" i="27"/>
  <c r="M117" i="27"/>
  <c r="M113" i="27"/>
  <c r="M108" i="27"/>
  <c r="M103" i="27"/>
  <c r="M105" i="27"/>
  <c r="M101" i="27"/>
  <c r="M97" i="27"/>
  <c r="M120" i="27"/>
  <c r="M116" i="27"/>
  <c r="M112" i="27"/>
  <c r="M100" i="27"/>
  <c r="M119" i="27"/>
  <c r="M115" i="27"/>
  <c r="M111" i="27"/>
  <c r="C29" i="18"/>
  <c r="H119" i="27"/>
  <c r="I99" i="27"/>
  <c r="M114" i="27"/>
  <c r="M106" i="27"/>
  <c r="M98" i="27"/>
  <c r="I117" i="27"/>
  <c r="I101" i="27"/>
  <c r="H109" i="27"/>
  <c r="I113" i="27"/>
  <c r="H105" i="27"/>
  <c r="I109" i="27"/>
  <c r="I97" i="27"/>
  <c r="I121" i="27"/>
  <c r="I98" i="27"/>
  <c r="H118" i="27"/>
  <c r="I118" i="27"/>
  <c r="I115" i="27"/>
  <c r="H103" i="27"/>
  <c r="I110" i="27"/>
  <c r="I102" i="27"/>
  <c r="H102" i="27"/>
  <c r="H114" i="27"/>
  <c r="H106" i="27"/>
  <c r="I119" i="27"/>
  <c r="I103" i="27"/>
  <c r="H107" i="27"/>
  <c r="I107" i="27"/>
  <c r="H111" i="27"/>
  <c r="I120" i="27"/>
  <c r="I116" i="27"/>
  <c r="I112" i="27"/>
  <c r="I108" i="27"/>
  <c r="I104" i="27"/>
  <c r="I100" i="27"/>
  <c r="H71" i="27" l="1"/>
  <c r="H72" i="27"/>
  <c r="I74" i="27"/>
  <c r="H76" i="27"/>
  <c r="I78" i="27"/>
  <c r="H79" i="27"/>
  <c r="I80" i="27"/>
  <c r="H83" i="27"/>
  <c r="I86" i="27"/>
  <c r="H88" i="27"/>
  <c r="H90" i="27"/>
  <c r="H91" i="27"/>
  <c r="H92" i="27"/>
  <c r="I96" i="27"/>
  <c r="H70" i="27"/>
  <c r="H74" i="27"/>
  <c r="H75" i="27"/>
  <c r="H86" i="27"/>
  <c r="H87" i="27"/>
  <c r="H95" i="27"/>
  <c r="H96" i="27"/>
  <c r="I70" i="27"/>
  <c r="I75" i="27"/>
  <c r="I79" i="27"/>
  <c r="I83" i="27"/>
  <c r="I87" i="27"/>
  <c r="I88" i="27"/>
  <c r="I90" i="27"/>
  <c r="I91" i="27"/>
  <c r="I95" i="27"/>
  <c r="M87" i="27"/>
  <c r="M91" i="27"/>
  <c r="M95" i="27"/>
  <c r="M71" i="27"/>
  <c r="M73" i="27"/>
  <c r="M75" i="27"/>
  <c r="M77" i="27"/>
  <c r="M79" i="27"/>
  <c r="M81" i="27"/>
  <c r="M83" i="27"/>
  <c r="M90" i="27"/>
  <c r="M94" i="27"/>
  <c r="M72" i="27"/>
  <c r="M76" i="27"/>
  <c r="M78" i="27"/>
  <c r="M80" i="27"/>
  <c r="M84" i="27"/>
  <c r="M85" i="27"/>
  <c r="M86" i="27"/>
  <c r="M88" i="27"/>
  <c r="M89" i="27"/>
  <c r="M92" i="27"/>
  <c r="M93" i="27"/>
  <c r="M96" i="27"/>
  <c r="F18" i="8"/>
  <c r="J18" i="8"/>
  <c r="T18" i="8" s="1"/>
  <c r="F19" i="8"/>
  <c r="J19" i="8"/>
  <c r="T19" i="8" s="1"/>
  <c r="J23" i="8"/>
  <c r="T23" i="8" s="1"/>
  <c r="F23" i="8"/>
  <c r="J22" i="8"/>
  <c r="T22" i="8" s="1"/>
  <c r="F22" i="8"/>
  <c r="J21" i="8"/>
  <c r="T21" i="8" s="1"/>
  <c r="F21" i="8"/>
  <c r="J20" i="8"/>
  <c r="T20" i="8" s="1"/>
  <c r="F20" i="8"/>
  <c r="J17" i="8"/>
  <c r="T17" i="8" s="1"/>
  <c r="F17" i="8"/>
  <c r="J16" i="8"/>
  <c r="T16" i="8" s="1"/>
  <c r="F16" i="8"/>
  <c r="B32" i="18" l="1"/>
  <c r="B36" i="18"/>
  <c r="B40" i="18"/>
  <c r="B44" i="18"/>
  <c r="B39" i="18"/>
  <c r="B33" i="18"/>
  <c r="B37" i="18"/>
  <c r="B41" i="18"/>
  <c r="B45" i="18"/>
  <c r="B31" i="18"/>
  <c r="B43" i="18"/>
  <c r="B34" i="18"/>
  <c r="B35" i="18"/>
  <c r="B48" i="18"/>
  <c r="D10" i="22"/>
  <c r="H17" i="21" s="1"/>
  <c r="D11" i="22"/>
  <c r="H21" i="21" s="1"/>
  <c r="I82" i="27"/>
  <c r="H94" i="27"/>
  <c r="H82" i="27"/>
  <c r="I94" i="27"/>
  <c r="H78" i="27"/>
  <c r="M82" i="27"/>
  <c r="M74" i="27"/>
  <c r="I72" i="27"/>
  <c r="H80" i="27"/>
  <c r="I84" i="27"/>
  <c r="I71" i="27"/>
  <c r="M70" i="27"/>
  <c r="H84" i="27"/>
  <c r="I92" i="27"/>
  <c r="I76" i="27"/>
  <c r="H93" i="27"/>
  <c r="H89" i="27"/>
  <c r="H85" i="27"/>
  <c r="H81" i="27"/>
  <c r="H77" i="27"/>
  <c r="H73" i="27"/>
  <c r="I93" i="27"/>
  <c r="I89" i="27"/>
  <c r="I85" i="27"/>
  <c r="I81" i="27"/>
  <c r="I77" i="27"/>
  <c r="I73" i="27"/>
  <c r="I15" i="21"/>
  <c r="K59" i="27"/>
  <c r="K60" i="27"/>
  <c r="K61" i="27"/>
  <c r="K62" i="27"/>
  <c r="K63" i="27"/>
  <c r="K64" i="27"/>
  <c r="K65" i="27"/>
  <c r="K66" i="27"/>
  <c r="K67" i="27"/>
  <c r="K68" i="27"/>
  <c r="K69" i="27"/>
  <c r="K58" i="27"/>
  <c r="G47" i="27"/>
  <c r="H47" i="27" s="1"/>
  <c r="G48" i="27"/>
  <c r="H48" i="27" s="1"/>
  <c r="G49" i="27"/>
  <c r="I49" i="27" s="1"/>
  <c r="G50" i="27"/>
  <c r="H50" i="27" s="1"/>
  <c r="G51" i="27"/>
  <c r="I51" i="27" s="1"/>
  <c r="G52" i="27"/>
  <c r="H52" i="27" s="1"/>
  <c r="G53" i="27"/>
  <c r="H53" i="27" s="1"/>
  <c r="G54" i="27"/>
  <c r="G55" i="27"/>
  <c r="I55" i="27" s="1"/>
  <c r="G56" i="27"/>
  <c r="H56" i="27" s="1"/>
  <c r="G57" i="27"/>
  <c r="H57" i="27" s="1"/>
  <c r="G58" i="27"/>
  <c r="H58" i="27" s="1"/>
  <c r="G59" i="27"/>
  <c r="H59" i="27" s="1"/>
  <c r="G60" i="27"/>
  <c r="I60" i="27" s="1"/>
  <c r="G61" i="27"/>
  <c r="H61" i="27" s="1"/>
  <c r="G62" i="27"/>
  <c r="I62" i="27" s="1"/>
  <c r="G63" i="27"/>
  <c r="H63" i="27" s="1"/>
  <c r="G64" i="27"/>
  <c r="H64" i="27" s="1"/>
  <c r="G65" i="27"/>
  <c r="H65" i="27" s="1"/>
  <c r="G66" i="27"/>
  <c r="I66" i="27" s="1"/>
  <c r="G67" i="27"/>
  <c r="H67" i="27" s="1"/>
  <c r="G68" i="27"/>
  <c r="H68" i="27" s="1"/>
  <c r="G69" i="27"/>
  <c r="I69" i="27" s="1"/>
  <c r="G46" i="27"/>
  <c r="H46" i="27" s="1"/>
  <c r="G34" i="27"/>
  <c r="G35" i="27"/>
  <c r="G36" i="27"/>
  <c r="G37" i="27"/>
  <c r="G38" i="27"/>
  <c r="G39" i="27"/>
  <c r="G40" i="27"/>
  <c r="G41" i="27"/>
  <c r="G42" i="27"/>
  <c r="G43" i="27"/>
  <c r="G44" i="27"/>
  <c r="G45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K47" i="27"/>
  <c r="K48" i="27"/>
  <c r="K49" i="27"/>
  <c r="K50" i="27"/>
  <c r="K51" i="27"/>
  <c r="K52" i="27"/>
  <c r="K53" i="27"/>
  <c r="K54" i="27"/>
  <c r="K55" i="27"/>
  <c r="K56" i="27"/>
  <c r="K57" i="27"/>
  <c r="K46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33" i="27"/>
  <c r="F8" i="8"/>
  <c r="J8" i="8"/>
  <c r="T8" i="8" s="1"/>
  <c r="K22" i="27"/>
  <c r="K23" i="27"/>
  <c r="K24" i="27"/>
  <c r="K25" i="27"/>
  <c r="K26" i="27"/>
  <c r="K27" i="27"/>
  <c r="K28" i="27"/>
  <c r="K29" i="27"/>
  <c r="K30" i="27"/>
  <c r="K31" i="27"/>
  <c r="K32" i="27"/>
  <c r="K21" i="27"/>
  <c r="K20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7" i="27"/>
  <c r="F13" i="18"/>
  <c r="H14" i="21"/>
  <c r="F4" i="18"/>
  <c r="J4" i="18"/>
  <c r="H4" i="19"/>
  <c r="C64" i="24"/>
  <c r="J5" i="20"/>
  <c r="E32" i="28"/>
  <c r="F32" i="28"/>
  <c r="K32" i="28" s="1"/>
  <c r="L32" i="28" s="1"/>
  <c r="M32" i="28"/>
  <c r="D71" i="26"/>
  <c r="F71" i="26"/>
  <c r="E30" i="28"/>
  <c r="E31" i="28"/>
  <c r="F30" i="28"/>
  <c r="K30" i="28" s="1"/>
  <c r="L30" i="28" s="1"/>
  <c r="F31" i="28"/>
  <c r="K31" i="28" s="1"/>
  <c r="L31" i="28" s="1"/>
  <c r="G30" i="28"/>
  <c r="I30" i="28" s="1"/>
  <c r="M30" i="28"/>
  <c r="M31" i="28"/>
  <c r="E16" i="28"/>
  <c r="E11" i="28"/>
  <c r="F11" i="28"/>
  <c r="K11" i="28" s="1"/>
  <c r="L11" i="28" s="1"/>
  <c r="M11" i="28"/>
  <c r="E8" i="28"/>
  <c r="F8" i="28"/>
  <c r="K8" i="28" s="1"/>
  <c r="L8" i="28" s="1"/>
  <c r="M8" i="28"/>
  <c r="E9" i="28"/>
  <c r="F9" i="28"/>
  <c r="K9" i="28" s="1"/>
  <c r="L9" i="28" s="1"/>
  <c r="M9" i="28"/>
  <c r="E7" i="28"/>
  <c r="F7" i="28"/>
  <c r="K7" i="28" s="1"/>
  <c r="L7" i="28" s="1"/>
  <c r="M7" i="28"/>
  <c r="D19" i="18"/>
  <c r="D15" i="18"/>
  <c r="D14" i="18"/>
  <c r="D13" i="18"/>
  <c r="D11" i="18"/>
  <c r="D10" i="18"/>
  <c r="D8" i="18"/>
  <c r="D7" i="18"/>
  <c r="J4" i="20"/>
  <c r="H4" i="21"/>
  <c r="I10" i="22" l="1"/>
  <c r="N32" i="28"/>
  <c r="N30" i="28"/>
  <c r="O30" i="28" s="1"/>
  <c r="H51" i="27"/>
  <c r="H49" i="27"/>
  <c r="M69" i="27"/>
  <c r="H66" i="27"/>
  <c r="M65" i="27"/>
  <c r="M53" i="27"/>
  <c r="H62" i="27"/>
  <c r="M57" i="27"/>
  <c r="M61" i="27"/>
  <c r="M49" i="27"/>
  <c r="M66" i="27"/>
  <c r="M62" i="27"/>
  <c r="I57" i="27"/>
  <c r="H60" i="27"/>
  <c r="H69" i="27"/>
  <c r="I61" i="27"/>
  <c r="I53" i="27"/>
  <c r="M67" i="27"/>
  <c r="M63" i="27"/>
  <c r="I65" i="27"/>
  <c r="M60" i="27"/>
  <c r="M54" i="27"/>
  <c r="M50" i="27"/>
  <c r="I63" i="27"/>
  <c r="I67" i="27"/>
  <c r="M68" i="27"/>
  <c r="M64" i="27"/>
  <c r="H55" i="27"/>
  <c r="H54" i="27"/>
  <c r="I54" i="27"/>
  <c r="I50" i="27"/>
  <c r="I68" i="27"/>
  <c r="I64" i="27"/>
  <c r="M55" i="27"/>
  <c r="M51" i="27"/>
  <c r="M58" i="27"/>
  <c r="I58" i="27"/>
  <c r="M59" i="27"/>
  <c r="M56" i="27"/>
  <c r="M52" i="27"/>
  <c r="M48" i="27"/>
  <c r="I59" i="27"/>
  <c r="I56" i="27"/>
  <c r="I52" i="27"/>
  <c r="M47" i="27"/>
  <c r="I48" i="27"/>
  <c r="I47" i="27"/>
  <c r="M46" i="27"/>
  <c r="I46" i="27"/>
  <c r="N31" i="28"/>
  <c r="N9" i="28"/>
  <c r="N11" i="28"/>
  <c r="N7" i="28"/>
  <c r="N8" i="28"/>
  <c r="D6" i="18"/>
  <c r="D16" i="18" l="1"/>
  <c r="D18" i="18" l="1"/>
  <c r="D9" i="18" l="1"/>
  <c r="D12" i="18" l="1"/>
  <c r="D22" i="18" l="1"/>
  <c r="D23" i="18"/>
  <c r="D5" i="18" l="1"/>
  <c r="D20" i="18"/>
  <c r="D17" i="18" l="1"/>
  <c r="D21" i="18"/>
  <c r="D4" i="18" l="1"/>
  <c r="B5" i="31" l="1"/>
  <c r="F5" i="31" s="1"/>
  <c r="E5" i="31" l="1"/>
  <c r="D5" i="31"/>
  <c r="C5" i="31"/>
  <c r="G5" i="31"/>
  <c r="H5" i="31"/>
  <c r="D41" i="29"/>
  <c r="E40" i="29"/>
  <c r="E47" i="29" s="1"/>
  <c r="D39" i="29"/>
  <c r="D47" i="29" l="1"/>
  <c r="G39" i="29" l="1"/>
  <c r="B18" i="31"/>
  <c r="B23" i="31" s="1"/>
  <c r="C11" i="31" s="1"/>
  <c r="F5" i="26" l="1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H44" i="27" l="1"/>
  <c r="M18" i="27" l="1"/>
  <c r="M31" i="27"/>
  <c r="M44" i="27"/>
  <c r="I44" i="27"/>
  <c r="I31" i="27" l="1"/>
  <c r="H31" i="27" l="1"/>
  <c r="H18" i="27"/>
  <c r="I18" i="27"/>
  <c r="C23" i="18"/>
  <c r="A25" i="11"/>
  <c r="F31" i="29" l="1"/>
  <c r="A16" i="11"/>
  <c r="E23" i="28" l="1"/>
  <c r="E24" i="28"/>
  <c r="E25" i="28"/>
  <c r="E26" i="28"/>
  <c r="E27" i="28"/>
  <c r="E28" i="28"/>
  <c r="F23" i="28"/>
  <c r="K23" i="28" s="1"/>
  <c r="L23" i="28" s="1"/>
  <c r="F24" i="28"/>
  <c r="K24" i="28" s="1"/>
  <c r="L24" i="28" s="1"/>
  <c r="F25" i="28"/>
  <c r="K25" i="28" s="1"/>
  <c r="L25" i="28" s="1"/>
  <c r="F26" i="28"/>
  <c r="K26" i="28" s="1"/>
  <c r="L26" i="28" s="1"/>
  <c r="F27" i="28"/>
  <c r="K27" i="28" s="1"/>
  <c r="L27" i="28" s="1"/>
  <c r="F28" i="28"/>
  <c r="K28" i="28" s="1"/>
  <c r="L28" i="28" s="1"/>
  <c r="M23" i="28"/>
  <c r="M24" i="28"/>
  <c r="M25" i="28"/>
  <c r="M26" i="28"/>
  <c r="M27" i="28"/>
  <c r="M28" i="28"/>
  <c r="N23" i="28" l="1"/>
  <c r="N27" i="28"/>
  <c r="N26" i="28"/>
  <c r="N25" i="28"/>
  <c r="N28" i="28"/>
  <c r="N24" i="28"/>
  <c r="E17" i="28"/>
  <c r="E18" i="28"/>
  <c r="E19" i="28"/>
  <c r="E20" i="28"/>
  <c r="E21" i="28"/>
  <c r="E22" i="28"/>
  <c r="F17" i="28"/>
  <c r="K17" i="28" s="1"/>
  <c r="L17" i="28" s="1"/>
  <c r="F18" i="28"/>
  <c r="K18" i="28" s="1"/>
  <c r="L18" i="28" s="1"/>
  <c r="F19" i="28"/>
  <c r="K19" i="28" s="1"/>
  <c r="L19" i="28" s="1"/>
  <c r="F20" i="28"/>
  <c r="K20" i="28" s="1"/>
  <c r="L20" i="28" s="1"/>
  <c r="F21" i="28"/>
  <c r="K21" i="28" s="1"/>
  <c r="L21" i="28" s="1"/>
  <c r="F22" i="28"/>
  <c r="K22" i="28" s="1"/>
  <c r="L22" i="28" s="1"/>
  <c r="M17" i="28"/>
  <c r="M18" i="28"/>
  <c r="M19" i="28"/>
  <c r="M20" i="28"/>
  <c r="M21" i="28"/>
  <c r="M22" i="28"/>
  <c r="E29" i="28"/>
  <c r="F29" i="28"/>
  <c r="K29" i="28" s="1"/>
  <c r="L29" i="28" s="1"/>
  <c r="M29" i="28"/>
  <c r="I34" i="27"/>
  <c r="I35" i="27"/>
  <c r="H36" i="27"/>
  <c r="H37" i="27"/>
  <c r="H38" i="27"/>
  <c r="I39" i="27"/>
  <c r="I41" i="27"/>
  <c r="H42" i="27"/>
  <c r="H43" i="27"/>
  <c r="N22" i="28" l="1"/>
  <c r="N18" i="28"/>
  <c r="N21" i="28"/>
  <c r="N17" i="28"/>
  <c r="N20" i="28"/>
  <c r="N19" i="28"/>
  <c r="N29" i="28"/>
  <c r="I43" i="27"/>
  <c r="H33" i="27"/>
  <c r="H40" i="27"/>
  <c r="I33" i="27"/>
  <c r="H39" i="27"/>
  <c r="H35" i="27"/>
  <c r="H41" i="27"/>
  <c r="I40" i="27"/>
  <c r="I36" i="27"/>
  <c r="I37" i="27"/>
  <c r="H45" i="27"/>
  <c r="I45" i="27"/>
  <c r="I38" i="27"/>
  <c r="I42" i="27"/>
  <c r="H34" i="27"/>
  <c r="F16" i="28" l="1"/>
  <c r="K16" i="28" s="1"/>
  <c r="L16" i="28" s="1"/>
  <c r="M16" i="28"/>
  <c r="E12" i="28"/>
  <c r="E13" i="28"/>
  <c r="F12" i="28"/>
  <c r="K12" i="28" s="1"/>
  <c r="L12" i="28" s="1"/>
  <c r="F13" i="28"/>
  <c r="K13" i="28" s="1"/>
  <c r="L13" i="28" s="1"/>
  <c r="M12" i="28"/>
  <c r="M13" i="28"/>
  <c r="E14" i="28"/>
  <c r="E15" i="28"/>
  <c r="F14" i="28"/>
  <c r="K14" i="28" s="1"/>
  <c r="L14" i="28" s="1"/>
  <c r="F15" i="28"/>
  <c r="K15" i="28" s="1"/>
  <c r="L15" i="28" s="1"/>
  <c r="M14" i="28"/>
  <c r="M15" i="28"/>
  <c r="N16" i="28" l="1"/>
  <c r="N13" i="28"/>
  <c r="N14" i="28"/>
  <c r="N12" i="28"/>
  <c r="N15" i="28"/>
  <c r="B4" i="25" l="1"/>
  <c r="D31" i="26" l="1"/>
  <c r="J135" i="27" s="1"/>
  <c r="N135" i="27" s="1"/>
  <c r="I24" i="27" l="1"/>
  <c r="H23" i="27"/>
  <c r="H20" i="27"/>
  <c r="H26" i="27"/>
  <c r="I22" i="27"/>
  <c r="I28" i="27"/>
  <c r="H7" i="27"/>
  <c r="H27" i="27"/>
  <c r="I25" i="27"/>
  <c r="H30" i="27"/>
  <c r="H29" i="27"/>
  <c r="H24" i="27"/>
  <c r="H28" i="27"/>
  <c r="H21" i="27"/>
  <c r="H32" i="27"/>
  <c r="H25" i="27"/>
  <c r="H22" i="27"/>
  <c r="I21" i="27"/>
  <c r="I30" i="27"/>
  <c r="I29" i="27"/>
  <c r="I26" i="27"/>
  <c r="I23" i="27"/>
  <c r="I27" i="27"/>
  <c r="I20" i="27"/>
  <c r="I32" i="27"/>
  <c r="I7" i="27" l="1"/>
  <c r="H17" i="27" l="1"/>
  <c r="H9" i="27"/>
  <c r="H16" i="27"/>
  <c r="H12" i="27"/>
  <c r="H14" i="27"/>
  <c r="H15" i="27"/>
  <c r="H11" i="27"/>
  <c r="H10" i="27"/>
  <c r="H13" i="27"/>
  <c r="I8" i="27"/>
  <c r="H8" i="27"/>
  <c r="H19" i="27"/>
  <c r="I12" i="27"/>
  <c r="I13" i="27"/>
  <c r="I16" i="27"/>
  <c r="I9" i="27"/>
  <c r="I17" i="27"/>
  <c r="I10" i="27"/>
  <c r="I14" i="27"/>
  <c r="I11" i="27"/>
  <c r="I15" i="27"/>
  <c r="I19" i="27"/>
  <c r="F10" i="8"/>
  <c r="J10" i="8"/>
  <c r="T10" i="8" s="1"/>
  <c r="F5" i="28"/>
  <c r="F6" i="28"/>
  <c r="F10" i="28"/>
  <c r="E5" i="28"/>
  <c r="E6" i="28"/>
  <c r="E10" i="28"/>
  <c r="C22" i="18" l="1"/>
  <c r="A23" i="11"/>
  <c r="G4" i="19"/>
  <c r="F7" i="8" l="1"/>
  <c r="J7" i="8"/>
  <c r="T7" i="8" s="1"/>
  <c r="F9" i="8"/>
  <c r="J9" i="8"/>
  <c r="T9" i="8" s="1"/>
  <c r="D70" i="26" l="1"/>
  <c r="J140" i="27" s="1"/>
  <c r="N140" i="27" s="1"/>
  <c r="J5" i="8"/>
  <c r="J6" i="8"/>
  <c r="J4" i="8"/>
  <c r="C21" i="18" l="1"/>
  <c r="A21" i="11"/>
  <c r="C5" i="18" l="1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D69" i="26" l="1"/>
  <c r="A11" i="11" l="1"/>
  <c r="A30" i="11" l="1"/>
  <c r="D68" i="26" l="1"/>
  <c r="A29" i="11" l="1"/>
  <c r="A5" i="11" l="1"/>
  <c r="G5" i="19" l="1"/>
  <c r="I5" i="19" s="1"/>
  <c r="F6" i="8" l="1"/>
  <c r="T6" i="8"/>
  <c r="F5" i="8"/>
  <c r="T5" i="8"/>
  <c r="D49" i="26" l="1"/>
  <c r="D67" i="26"/>
  <c r="D64" i="26"/>
  <c r="D65" i="26"/>
  <c r="D66" i="26"/>
  <c r="D6" i="26" l="1"/>
  <c r="D7" i="26"/>
  <c r="D8" i="26"/>
  <c r="G49" i="28" s="1"/>
  <c r="I49" i="28" s="1"/>
  <c r="O49" i="28" s="1"/>
  <c r="D9" i="26"/>
  <c r="D10" i="26"/>
  <c r="D11" i="26"/>
  <c r="D12" i="26"/>
  <c r="D13" i="26"/>
  <c r="G66" i="28" s="1"/>
  <c r="I66" i="28" s="1"/>
  <c r="O66" i="28" s="1"/>
  <c r="D14" i="26"/>
  <c r="D15" i="26"/>
  <c r="D16" i="26"/>
  <c r="G59" i="28" s="1"/>
  <c r="I59" i="28" s="1"/>
  <c r="D17" i="26"/>
  <c r="D18" i="26"/>
  <c r="G39" i="28" s="1"/>
  <c r="I39" i="28" s="1"/>
  <c r="O39" i="28" s="1"/>
  <c r="D19" i="26"/>
  <c r="J389" i="27" s="1"/>
  <c r="N389" i="27" s="1"/>
  <c r="D20" i="26"/>
  <c r="J391" i="27" s="1"/>
  <c r="N391" i="27" s="1"/>
  <c r="D21" i="26"/>
  <c r="J127" i="27" s="1"/>
  <c r="N127" i="27" s="1"/>
  <c r="D22" i="26"/>
  <c r="D23" i="26"/>
  <c r="D24" i="26"/>
  <c r="D25" i="26"/>
  <c r="D26" i="26"/>
  <c r="D27" i="26"/>
  <c r="G53" i="28" s="1"/>
  <c r="I53" i="28" s="1"/>
  <c r="O53" i="28" s="1"/>
  <c r="D28" i="26"/>
  <c r="D29" i="26"/>
  <c r="D30" i="26"/>
  <c r="D32" i="26"/>
  <c r="D33" i="26"/>
  <c r="D34" i="26"/>
  <c r="J136" i="27" s="1"/>
  <c r="N136" i="27" s="1"/>
  <c r="D35" i="26"/>
  <c r="J137" i="27" s="1"/>
  <c r="N137" i="27" s="1"/>
  <c r="D36" i="26"/>
  <c r="G73" i="28" s="1"/>
  <c r="I73" i="28" s="1"/>
  <c r="O73" i="28" s="1"/>
  <c r="D37" i="26"/>
  <c r="G55" i="28" s="1"/>
  <c r="I55" i="28" s="1"/>
  <c r="D38" i="26"/>
  <c r="G68" i="28" s="1"/>
  <c r="I68" i="28" s="1"/>
  <c r="D39" i="26"/>
  <c r="G74" i="28" s="1"/>
  <c r="I74" i="28" s="1"/>
  <c r="O74" i="28" s="1"/>
  <c r="D40" i="26"/>
  <c r="D41" i="26"/>
  <c r="G70" i="28" s="1"/>
  <c r="I70" i="28" s="1"/>
  <c r="O70" i="28" s="1"/>
  <c r="D42" i="26"/>
  <c r="D43" i="26"/>
  <c r="D44" i="26"/>
  <c r="D45" i="26"/>
  <c r="D46" i="26"/>
  <c r="D47" i="26"/>
  <c r="D48" i="26"/>
  <c r="D50" i="26"/>
  <c r="D51" i="26"/>
  <c r="G56" i="28" s="1"/>
  <c r="I56" i="28" s="1"/>
  <c r="D52" i="26"/>
  <c r="D53" i="26"/>
  <c r="D54" i="26"/>
  <c r="D55" i="26"/>
  <c r="G54" i="28" s="1"/>
  <c r="I54" i="28" s="1"/>
  <c r="O54" i="28" s="1"/>
  <c r="D56" i="26"/>
  <c r="D57" i="26"/>
  <c r="D58" i="26"/>
  <c r="D59" i="26"/>
  <c r="D60" i="26"/>
  <c r="D61" i="26"/>
  <c r="D62" i="26"/>
  <c r="D63" i="26"/>
  <c r="O56" i="28" l="1"/>
  <c r="J388" i="27"/>
  <c r="N388" i="27" s="1"/>
  <c r="G65" i="28"/>
  <c r="I65" i="28" s="1"/>
  <c r="O65" i="28" s="1"/>
  <c r="G45" i="28"/>
  <c r="I45" i="28" s="1"/>
  <c r="G38" i="28"/>
  <c r="I38" i="28" s="1"/>
  <c r="O38" i="28" s="1"/>
  <c r="J130" i="27"/>
  <c r="N130" i="27" s="1"/>
  <c r="G64" i="28"/>
  <c r="I64" i="28" s="1"/>
  <c r="O64" i="28" s="1"/>
  <c r="J126" i="27"/>
  <c r="N126" i="27" s="1"/>
  <c r="G67" i="28"/>
  <c r="I67" i="28" s="1"/>
  <c r="O67" i="28" s="1"/>
  <c r="J125" i="27"/>
  <c r="N125" i="27" s="1"/>
  <c r="G42" i="28"/>
  <c r="I42" i="28" s="1"/>
  <c r="O42" i="28" s="1"/>
  <c r="J132" i="27"/>
  <c r="N132" i="27" s="1"/>
  <c r="J390" i="27"/>
  <c r="N390" i="27" s="1"/>
  <c r="G51" i="28"/>
  <c r="I51" i="28" s="1"/>
  <c r="O51" i="28" s="1"/>
  <c r="J129" i="27"/>
  <c r="N129" i="27" s="1"/>
  <c r="G69" i="28"/>
  <c r="I69" i="28" s="1"/>
  <c r="O69" i="28" s="1"/>
  <c r="G63" i="28"/>
  <c r="I63" i="28" s="1"/>
  <c r="O63" i="28" s="1"/>
  <c r="G50" i="28"/>
  <c r="I50" i="28" s="1"/>
  <c r="O50" i="28" s="1"/>
  <c r="G41" i="28"/>
  <c r="I41" i="28" s="1"/>
  <c r="O41" i="28" s="1"/>
  <c r="K22" i="20"/>
  <c r="O55" i="28"/>
  <c r="H61" i="21" s="1"/>
  <c r="O68" i="28"/>
  <c r="O59" i="28"/>
  <c r="G71" i="28"/>
  <c r="I71" i="28" s="1"/>
  <c r="J392" i="27"/>
  <c r="N392" i="27" s="1"/>
  <c r="G58" i="28"/>
  <c r="I58" i="28" s="1"/>
  <c r="O58" i="28" s="1"/>
  <c r="G52" i="28"/>
  <c r="I52" i="28" s="1"/>
  <c r="O52" i="28" s="1"/>
  <c r="G72" i="28"/>
  <c r="I72" i="28" s="1"/>
  <c r="O72" i="28" s="1"/>
  <c r="G57" i="28"/>
  <c r="I57" i="28" s="1"/>
  <c r="O57" i="28" s="1"/>
  <c r="G43" i="28"/>
  <c r="I43" i="28" s="1"/>
  <c r="O43" i="28" s="1"/>
  <c r="G62" i="28"/>
  <c r="I62" i="28" s="1"/>
  <c r="O62" i="28" s="1"/>
  <c r="G48" i="28"/>
  <c r="I48" i="28" s="1"/>
  <c r="O48" i="28" s="1"/>
  <c r="G60" i="28"/>
  <c r="I60" i="28" s="1"/>
  <c r="G46" i="28"/>
  <c r="I46" i="28" s="1"/>
  <c r="O46" i="28" s="1"/>
  <c r="J328" i="27"/>
  <c r="N328" i="27" s="1"/>
  <c r="J288" i="27"/>
  <c r="N288" i="27" s="1"/>
  <c r="J260" i="27"/>
  <c r="N260" i="27" s="1"/>
  <c r="J166" i="27"/>
  <c r="N166" i="27" s="1"/>
  <c r="J134" i="27"/>
  <c r="N134" i="27" s="1"/>
  <c r="G40" i="28"/>
  <c r="I40" i="28" s="1"/>
  <c r="O40" i="28" s="1"/>
  <c r="J139" i="27"/>
  <c r="N139" i="27" s="1"/>
  <c r="G44" i="28"/>
  <c r="I44" i="28" s="1"/>
  <c r="J133" i="27"/>
  <c r="N133" i="27" s="1"/>
  <c r="G34" i="28"/>
  <c r="I34" i="28" s="1"/>
  <c r="O34" i="28" s="1"/>
  <c r="J115" i="27"/>
  <c r="N115" i="27" s="1"/>
  <c r="J102" i="27"/>
  <c r="N102" i="27" s="1"/>
  <c r="J89" i="27"/>
  <c r="N89" i="27" s="1"/>
  <c r="J76" i="27"/>
  <c r="N76" i="27" s="1"/>
  <c r="G32" i="28"/>
  <c r="I32" i="28" s="1"/>
  <c r="O32" i="28" s="1"/>
  <c r="J51" i="27"/>
  <c r="N51" i="27" s="1"/>
  <c r="J63" i="27"/>
  <c r="N63" i="27" s="1"/>
  <c r="J128" i="27"/>
  <c r="N128" i="27" s="1"/>
  <c r="J99" i="27"/>
  <c r="N99" i="27" s="1"/>
  <c r="J112" i="27"/>
  <c r="N112" i="27" s="1"/>
  <c r="J73" i="27"/>
  <c r="N73" i="27" s="1"/>
  <c r="J86" i="27"/>
  <c r="N86" i="27" s="1"/>
  <c r="G9" i="28"/>
  <c r="I9" i="28" s="1"/>
  <c r="O9" i="28" s="1"/>
  <c r="J49" i="27"/>
  <c r="N49" i="27" s="1"/>
  <c r="J61" i="27"/>
  <c r="N61" i="27" s="1"/>
  <c r="J119" i="27"/>
  <c r="N119" i="27" s="1"/>
  <c r="J106" i="27"/>
  <c r="N106" i="27" s="1"/>
  <c r="J93" i="27"/>
  <c r="N93" i="27" s="1"/>
  <c r="J80" i="27"/>
  <c r="N80" i="27" s="1"/>
  <c r="J67" i="27"/>
  <c r="N67" i="27" s="1"/>
  <c r="J55" i="27"/>
  <c r="N55" i="27" s="1"/>
  <c r="J138" i="27"/>
  <c r="N138" i="27" s="1"/>
  <c r="G37" i="28"/>
  <c r="I37" i="28" s="1"/>
  <c r="O37" i="28" s="1"/>
  <c r="J118" i="27"/>
  <c r="N118" i="27" s="1"/>
  <c r="J105" i="27"/>
  <c r="N105" i="27" s="1"/>
  <c r="J79" i="27"/>
  <c r="N79" i="27" s="1"/>
  <c r="J92" i="27"/>
  <c r="N92" i="27" s="1"/>
  <c r="J54" i="27"/>
  <c r="N54" i="27" s="1"/>
  <c r="J66" i="27"/>
  <c r="N66" i="27" s="1"/>
  <c r="J124" i="27"/>
  <c r="N124" i="27" s="1"/>
  <c r="G36" i="28"/>
  <c r="I36" i="28" s="1"/>
  <c r="O36" i="28" s="1"/>
  <c r="J101" i="27"/>
  <c r="N101" i="27" s="1"/>
  <c r="J114" i="27"/>
  <c r="N114" i="27" s="1"/>
  <c r="J75" i="27"/>
  <c r="N75" i="27" s="1"/>
  <c r="J88" i="27"/>
  <c r="N88" i="27" s="1"/>
  <c r="J131" i="27"/>
  <c r="N131" i="27" s="1"/>
  <c r="G35" i="28"/>
  <c r="I35" i="28" s="1"/>
  <c r="O35" i="28" s="1"/>
  <c r="G31" i="28"/>
  <c r="I31" i="28" s="1"/>
  <c r="O31" i="28" s="1"/>
  <c r="J111" i="27"/>
  <c r="N111" i="27" s="1"/>
  <c r="J98" i="27"/>
  <c r="N98" i="27" s="1"/>
  <c r="J85" i="27"/>
  <c r="N85" i="27" s="1"/>
  <c r="J72" i="27"/>
  <c r="N72" i="27" s="1"/>
  <c r="G8" i="28"/>
  <c r="I8" i="28" s="1"/>
  <c r="O8" i="28" s="1"/>
  <c r="J60" i="27"/>
  <c r="N60" i="27" s="1"/>
  <c r="J48" i="27"/>
  <c r="N48" i="27" s="1"/>
  <c r="J107" i="27"/>
  <c r="N107" i="27" s="1"/>
  <c r="J120" i="27"/>
  <c r="N120" i="27" s="1"/>
  <c r="J81" i="27"/>
  <c r="N81" i="27" s="1"/>
  <c r="J94" i="27"/>
  <c r="N94" i="27" s="1"/>
  <c r="J56" i="27"/>
  <c r="N56" i="27" s="1"/>
  <c r="J68" i="27"/>
  <c r="N68" i="27" s="1"/>
  <c r="J122" i="27"/>
  <c r="N122" i="27" s="1"/>
  <c r="J103" i="27"/>
  <c r="N103" i="27" s="1"/>
  <c r="J116" i="27"/>
  <c r="N116" i="27" s="1"/>
  <c r="J113" i="27"/>
  <c r="N113" i="27" s="1"/>
  <c r="J100" i="27"/>
  <c r="N100" i="27" s="1"/>
  <c r="J87" i="27"/>
  <c r="N87" i="27" s="1"/>
  <c r="J74" i="27"/>
  <c r="N74" i="27" s="1"/>
  <c r="G7" i="28"/>
  <c r="I7" i="28" s="1"/>
  <c r="O7" i="28" s="1"/>
  <c r="J62" i="27"/>
  <c r="N62" i="27" s="1"/>
  <c r="J50" i="27"/>
  <c r="N50" i="27" s="1"/>
  <c r="J121" i="27"/>
  <c r="N121" i="27" s="1"/>
  <c r="J108" i="27"/>
  <c r="N108" i="27" s="1"/>
  <c r="J82" i="27"/>
  <c r="N82" i="27" s="1"/>
  <c r="J95" i="27"/>
  <c r="N95" i="27" s="1"/>
  <c r="J69" i="27"/>
  <c r="N69" i="27" s="1"/>
  <c r="J57" i="27"/>
  <c r="N57" i="27" s="1"/>
  <c r="G33" i="28"/>
  <c r="I33" i="28" s="1"/>
  <c r="J104" i="27"/>
  <c r="N104" i="27" s="1"/>
  <c r="J117" i="27"/>
  <c r="N117" i="27" s="1"/>
  <c r="J91" i="27"/>
  <c r="N91" i="27" s="1"/>
  <c r="J78" i="27"/>
  <c r="N78" i="27" s="1"/>
  <c r="J53" i="27"/>
  <c r="N53" i="27" s="1"/>
  <c r="J65" i="27"/>
  <c r="N65" i="27" s="1"/>
  <c r="J123" i="27"/>
  <c r="N123" i="27" s="1"/>
  <c r="J77" i="27"/>
  <c r="N77" i="27" s="1"/>
  <c r="J90" i="27"/>
  <c r="N90" i="27" s="1"/>
  <c r="G11" i="28"/>
  <c r="I11" i="28" s="1"/>
  <c r="O11" i="28" s="1"/>
  <c r="J64" i="27"/>
  <c r="N64" i="27" s="1"/>
  <c r="J52" i="27"/>
  <c r="N52" i="27" s="1"/>
  <c r="J97" i="27"/>
  <c r="N97" i="27" s="1"/>
  <c r="J110" i="27"/>
  <c r="N110" i="27" s="1"/>
  <c r="J84" i="27"/>
  <c r="N84" i="27" s="1"/>
  <c r="J71" i="27"/>
  <c r="N71" i="27" s="1"/>
  <c r="J47" i="27"/>
  <c r="N47" i="27" s="1"/>
  <c r="J59" i="27"/>
  <c r="N59" i="27" s="1"/>
  <c r="J44" i="27"/>
  <c r="N44" i="27" s="1"/>
  <c r="J31" i="27"/>
  <c r="N31" i="27" s="1"/>
  <c r="J18" i="27"/>
  <c r="N18" i="27" s="1"/>
  <c r="G27" i="28"/>
  <c r="I27" i="28" s="1"/>
  <c r="O27" i="28" s="1"/>
  <c r="G12" i="28"/>
  <c r="I12" i="28" s="1"/>
  <c r="O12" i="28" s="1"/>
  <c r="J43" i="27"/>
  <c r="J30" i="27"/>
  <c r="J17" i="27"/>
  <c r="G22" i="28"/>
  <c r="I22" i="28" s="1"/>
  <c r="O22" i="28" s="1"/>
  <c r="J42" i="27"/>
  <c r="J29" i="27"/>
  <c r="J16" i="27"/>
  <c r="G19" i="28"/>
  <c r="I19" i="28" s="1"/>
  <c r="O19" i="28" s="1"/>
  <c r="G29" i="28"/>
  <c r="I29" i="28" s="1"/>
  <c r="O29" i="28" s="1"/>
  <c r="J41" i="27"/>
  <c r="G16" i="28"/>
  <c r="I16" i="28" s="1"/>
  <c r="O16" i="28" s="1"/>
  <c r="J28" i="27"/>
  <c r="J15" i="27"/>
  <c r="J40" i="27"/>
  <c r="G6" i="28"/>
  <c r="J34" i="27"/>
  <c r="J21" i="27"/>
  <c r="G5" i="28"/>
  <c r="J8" i="27"/>
  <c r="G15" i="28"/>
  <c r="I15" i="28" s="1"/>
  <c r="O15" i="28" s="1"/>
  <c r="G20" i="28"/>
  <c r="I20" i="28" s="1"/>
  <c r="O20" i="28" s="1"/>
  <c r="G25" i="28"/>
  <c r="I25" i="28" s="1"/>
  <c r="O25" i="28" s="1"/>
  <c r="J39" i="27"/>
  <c r="J26" i="27"/>
  <c r="J13" i="27"/>
  <c r="J36" i="27"/>
  <c r="J23" i="27"/>
  <c r="J10" i="27"/>
  <c r="G26" i="28"/>
  <c r="I26" i="28" s="1"/>
  <c r="O26" i="28" s="1"/>
  <c r="G18" i="28"/>
  <c r="I18" i="28" s="1"/>
  <c r="O18" i="28" s="1"/>
  <c r="J38" i="27"/>
  <c r="J25" i="27"/>
  <c r="J12" i="27"/>
  <c r="G23" i="28"/>
  <c r="I23" i="28" s="1"/>
  <c r="O23" i="28" s="1"/>
  <c r="J35" i="27"/>
  <c r="J22" i="27"/>
  <c r="J9" i="27"/>
  <c r="J45" i="27"/>
  <c r="G14" i="28"/>
  <c r="I14" i="28" s="1"/>
  <c r="O14" i="28" s="1"/>
  <c r="G28" i="28"/>
  <c r="I28" i="28" s="1"/>
  <c r="O28" i="28" s="1"/>
  <c r="G13" i="28"/>
  <c r="I13" i="28" s="1"/>
  <c r="O13" i="28" s="1"/>
  <c r="G21" i="28"/>
  <c r="I21" i="28" s="1"/>
  <c r="O21" i="28" s="1"/>
  <c r="J27" i="27"/>
  <c r="J14" i="27"/>
  <c r="G10" i="28"/>
  <c r="I10" i="28" s="1"/>
  <c r="G17" i="28"/>
  <c r="I17" i="28" s="1"/>
  <c r="G24" i="28"/>
  <c r="I24" i="28" s="1"/>
  <c r="O24" i="28" s="1"/>
  <c r="J37" i="27"/>
  <c r="J24" i="27"/>
  <c r="J11" i="27"/>
  <c r="J32" i="27"/>
  <c r="J19" i="27"/>
  <c r="K10" i="28"/>
  <c r="L10" i="28" s="1"/>
  <c r="M10" i="28"/>
  <c r="K25" i="20" l="1"/>
  <c r="K40" i="20"/>
  <c r="O71" i="28"/>
  <c r="H111" i="21" s="1"/>
  <c r="K28" i="20"/>
  <c r="H100" i="21"/>
  <c r="O45" i="28"/>
  <c r="K35" i="20"/>
  <c r="O60" i="28"/>
  <c r="I113" i="21"/>
  <c r="J39" i="20" s="1"/>
  <c r="K14" i="20"/>
  <c r="O44" i="28"/>
  <c r="H35" i="21" s="1"/>
  <c r="K10" i="20"/>
  <c r="O33" i="28"/>
  <c r="H26" i="21" s="1"/>
  <c r="I28" i="21"/>
  <c r="J11" i="20" s="1"/>
  <c r="O17" i="28"/>
  <c r="N10" i="28"/>
  <c r="O10" i="28" s="1"/>
  <c r="A6" i="11" l="1"/>
  <c r="A17" i="11" l="1"/>
  <c r="I4" i="19" l="1"/>
  <c r="I12" i="21" s="1"/>
  <c r="C4" i="18" l="1"/>
  <c r="F4" i="8" l="1"/>
  <c r="B23" i="18" s="1"/>
  <c r="E23" i="18" s="1"/>
  <c r="G23" i="18" s="1"/>
  <c r="D48" i="18" s="1"/>
  <c r="E48" i="18" s="1"/>
  <c r="G48" i="18" s="1"/>
  <c r="B16" i="18" l="1"/>
  <c r="E16" i="18" s="1"/>
  <c r="G16" i="18" s="1"/>
  <c r="D41" i="18" s="1"/>
  <c r="E41" i="18" s="1"/>
  <c r="G41" i="18" s="1"/>
  <c r="B14" i="18"/>
  <c r="E14" i="18" s="1"/>
  <c r="G14" i="18" s="1"/>
  <c r="D39" i="18" s="1"/>
  <c r="E39" i="18" s="1"/>
  <c r="G39" i="18" s="1"/>
  <c r="B6" i="18"/>
  <c r="E6" i="18" s="1"/>
  <c r="G6" i="18" s="1"/>
  <c r="D31" i="18" s="1"/>
  <c r="E31" i="18" s="1"/>
  <c r="G31" i="18" s="1"/>
  <c r="B15" i="18"/>
  <c r="E15" i="18" s="1"/>
  <c r="G15" i="18" s="1"/>
  <c r="D40" i="18" s="1"/>
  <c r="E40" i="18" s="1"/>
  <c r="G40" i="18" s="1"/>
  <c r="B8" i="18"/>
  <c r="E8" i="18" s="1"/>
  <c r="G8" i="18" s="1"/>
  <c r="D33" i="18" s="1"/>
  <c r="E33" i="18" s="1"/>
  <c r="G33" i="18" s="1"/>
  <c r="A26" i="11" l="1"/>
  <c r="M6" i="28" l="1"/>
  <c r="K6" i="28"/>
  <c r="L6" i="28" s="1"/>
  <c r="M5" i="28"/>
  <c r="D5" i="26"/>
  <c r="A28" i="11"/>
  <c r="A27" i="11"/>
  <c r="A24" i="11"/>
  <c r="A22" i="11"/>
  <c r="A20" i="11"/>
  <c r="A19" i="11"/>
  <c r="A18" i="11"/>
  <c r="A15" i="11"/>
  <c r="A14" i="11"/>
  <c r="A13" i="11"/>
  <c r="A12" i="11"/>
  <c r="A10" i="11"/>
  <c r="A9" i="11"/>
  <c r="A8" i="11"/>
  <c r="A7" i="11"/>
  <c r="G61" i="28" l="1"/>
  <c r="I61" i="28" s="1"/>
  <c r="G47" i="28"/>
  <c r="I47" i="28" s="1"/>
  <c r="J109" i="27"/>
  <c r="N109" i="27" s="1"/>
  <c r="J70" i="27"/>
  <c r="N70" i="27" s="1"/>
  <c r="J83" i="27"/>
  <c r="N83" i="27" s="1"/>
  <c r="J96" i="27"/>
  <c r="N96" i="27" s="1"/>
  <c r="J46" i="27"/>
  <c r="N46" i="27" s="1"/>
  <c r="J58" i="27"/>
  <c r="N58" i="27" s="1"/>
  <c r="J33" i="27"/>
  <c r="J20" i="27"/>
  <c r="J7" i="27"/>
  <c r="I5" i="28"/>
  <c r="K5" i="28"/>
  <c r="L5" i="28" s="1"/>
  <c r="N5" i="28" s="1"/>
  <c r="N6" i="28"/>
  <c r="I6" i="28"/>
  <c r="O47" i="28" l="1"/>
  <c r="H55" i="21" s="1"/>
  <c r="K20" i="20"/>
  <c r="O61" i="28"/>
  <c r="H91" i="21" s="1"/>
  <c r="K32" i="20"/>
  <c r="K6" i="20"/>
  <c r="O6" i="28"/>
  <c r="O5" i="28"/>
  <c r="H6" i="21" l="1"/>
  <c r="K87" i="20"/>
  <c r="T4" i="8" l="1"/>
  <c r="D5" i="22" s="1"/>
  <c r="H9" i="21" s="1"/>
  <c r="I5" i="22" l="1"/>
  <c r="B11" i="18" l="1"/>
  <c r="E11" i="18" s="1"/>
  <c r="G11" i="18" s="1"/>
  <c r="D36" i="18" s="1"/>
  <c r="E36" i="18" s="1"/>
  <c r="G36" i="18" s="1"/>
  <c r="B10" i="18"/>
  <c r="E10" i="18" s="1"/>
  <c r="G10" i="18" s="1"/>
  <c r="D35" i="18" s="1"/>
  <c r="E35" i="18" s="1"/>
  <c r="G35" i="18" s="1"/>
  <c r="B12" i="18" l="1"/>
  <c r="E12" i="18" s="1"/>
  <c r="G12" i="18" s="1"/>
  <c r="D37" i="18" s="1"/>
  <c r="E37" i="18" s="1"/>
  <c r="G37" i="18" s="1"/>
  <c r="B18" i="18"/>
  <c r="E18" i="18" s="1"/>
  <c r="G18" i="18" s="1"/>
  <c r="D43" i="18" s="1"/>
  <c r="E43" i="18" s="1"/>
  <c r="G43" i="18" s="1"/>
  <c r="L4" i="20" l="1"/>
  <c r="L5" i="20" s="1"/>
  <c r="L6" i="20" s="1"/>
  <c r="J4" i="21" l="1"/>
  <c r="J5" i="21" s="1"/>
  <c r="J6" i="21" s="1"/>
  <c r="J7" i="21" s="1"/>
  <c r="J8" i="21" s="1"/>
  <c r="J9" i="21" s="1"/>
  <c r="H134" i="21"/>
  <c r="M14" i="27" l="1"/>
  <c r="M16" i="27"/>
  <c r="N16" i="27" s="1"/>
  <c r="M15" i="27"/>
  <c r="M17" i="27"/>
  <c r="N17" i="27" s="1"/>
  <c r="M12" i="27"/>
  <c r="M13" i="27"/>
  <c r="M11" i="27"/>
  <c r="M8" i="27"/>
  <c r="M9" i="27"/>
  <c r="M10" i="27"/>
  <c r="M19" i="27"/>
  <c r="N19" i="27" s="1"/>
  <c r="N8" i="27" l="1"/>
  <c r="N11" i="27"/>
  <c r="N15" i="27"/>
  <c r="N10" i="27"/>
  <c r="N13" i="27"/>
  <c r="N9" i="27"/>
  <c r="N12" i="27"/>
  <c r="N14" i="27"/>
  <c r="M7" i="27"/>
  <c r="N7" i="27" l="1"/>
  <c r="M22" i="27"/>
  <c r="N22" i="27" l="1"/>
  <c r="M21" i="27"/>
  <c r="N21" i="27" l="1"/>
  <c r="M28" i="27"/>
  <c r="M26" i="27"/>
  <c r="M24" i="27"/>
  <c r="M23" i="27"/>
  <c r="M27" i="27"/>
  <c r="M25" i="27"/>
  <c r="M29" i="27"/>
  <c r="M20" i="27"/>
  <c r="M30" i="27"/>
  <c r="M32" i="27"/>
  <c r="N25" i="27" l="1"/>
  <c r="N28" i="27"/>
  <c r="N32" i="27"/>
  <c r="N26" i="27"/>
  <c r="N30" i="27"/>
  <c r="N27" i="27"/>
  <c r="N20" i="27"/>
  <c r="N23" i="27"/>
  <c r="N29" i="27"/>
  <c r="N24" i="27"/>
  <c r="B20" i="18" l="1"/>
  <c r="E20" i="18" s="1"/>
  <c r="G20" i="18" s="1"/>
  <c r="D45" i="18" s="1"/>
  <c r="E45" i="18" s="1"/>
  <c r="G45" i="18" s="1"/>
  <c r="B9" i="18" l="1"/>
  <c r="E9" i="18" s="1"/>
  <c r="G9" i="18" s="1"/>
  <c r="D34" i="18" s="1"/>
  <c r="E34" i="18" s="1"/>
  <c r="G34" i="18" s="1"/>
  <c r="M35" i="27" l="1"/>
  <c r="N35" i="27" s="1"/>
  <c r="M42" i="27" l="1"/>
  <c r="N42" i="27" s="1"/>
  <c r="M45" i="27"/>
  <c r="N45" i="27" s="1"/>
  <c r="M33" i="27"/>
  <c r="N33" i="27" s="1"/>
  <c r="M40" i="27"/>
  <c r="N40" i="27" s="1"/>
  <c r="M37" i="27"/>
  <c r="N37" i="27" s="1"/>
  <c r="M41" i="27"/>
  <c r="N41" i="27" s="1"/>
  <c r="M43" i="27"/>
  <c r="N43" i="27" s="1"/>
  <c r="M39" i="27"/>
  <c r="N39" i="27" s="1"/>
  <c r="M36" i="27"/>
  <c r="N36" i="27" s="1"/>
  <c r="M38" i="27"/>
  <c r="N38" i="27" s="1"/>
  <c r="M34" i="27"/>
  <c r="N34" i="27" s="1"/>
  <c r="H64" i="24" l="1"/>
  <c r="I64" i="24"/>
  <c r="D64" i="24" l="1"/>
  <c r="E64" i="24" s="1"/>
  <c r="G64" i="24" s="1"/>
  <c r="J64" i="24" l="1"/>
  <c r="B21" i="18" l="1"/>
  <c r="E21" i="18" s="1"/>
  <c r="G21" i="18" s="1"/>
  <c r="D46" i="18" s="1"/>
  <c r="B22" i="18"/>
  <c r="E22" i="18" s="1"/>
  <c r="G22" i="18" s="1"/>
  <c r="D47" i="18" s="1"/>
  <c r="B17" i="18" l="1"/>
  <c r="E17" i="18" s="1"/>
  <c r="G17" i="18" s="1"/>
  <c r="D42" i="18" s="1"/>
  <c r="B7" i="18"/>
  <c r="E7" i="18" s="1"/>
  <c r="G7" i="18" s="1"/>
  <c r="D32" i="18" s="1"/>
  <c r="E32" i="18" s="1"/>
  <c r="G32" i="18" s="1"/>
  <c r="B19" i="18" l="1"/>
  <c r="E19" i="18" s="1"/>
  <c r="G19" i="18" s="1"/>
  <c r="D44" i="18" s="1"/>
  <c r="E44" i="18" s="1"/>
  <c r="G44" i="18" s="1"/>
  <c r="C61" i="24" l="1"/>
  <c r="I61" i="24" l="1"/>
  <c r="H61" i="24"/>
  <c r="D61" i="24" l="1"/>
  <c r="E61" i="24" s="1"/>
  <c r="J61" i="24" s="1"/>
  <c r="G61" i="24" l="1"/>
  <c r="G71" i="26" l="1"/>
  <c r="H71" i="26" s="1"/>
  <c r="I71" i="26" s="1"/>
  <c r="G68" i="26"/>
  <c r="H68" i="26" s="1"/>
  <c r="I68" i="26" s="1"/>
  <c r="G56" i="26"/>
  <c r="H56" i="26" s="1"/>
  <c r="I56" i="26" s="1"/>
  <c r="G46" i="26"/>
  <c r="H46" i="26" s="1"/>
  <c r="I46" i="26" s="1"/>
  <c r="G54" i="26"/>
  <c r="H54" i="26" s="1"/>
  <c r="I54" i="26" s="1"/>
  <c r="G47" i="26"/>
  <c r="H47" i="26" s="1"/>
  <c r="I47" i="26" s="1"/>
  <c r="G55" i="26"/>
  <c r="H55" i="26" s="1"/>
  <c r="I55" i="26" s="1"/>
  <c r="G43" i="26"/>
  <c r="H43" i="26" s="1"/>
  <c r="I43" i="26" s="1"/>
  <c r="G63" i="26"/>
  <c r="H63" i="26" s="1"/>
  <c r="I63" i="26" s="1"/>
  <c r="G57" i="26"/>
  <c r="H57" i="26" s="1"/>
  <c r="I57" i="26" s="1"/>
  <c r="G40" i="26"/>
  <c r="H40" i="26" s="1"/>
  <c r="I40" i="26" s="1"/>
  <c r="G69" i="26"/>
  <c r="H69" i="26" s="1"/>
  <c r="I69" i="26" s="1"/>
  <c r="G48" i="26"/>
  <c r="H48" i="26" s="1"/>
  <c r="I48" i="26" s="1"/>
  <c r="G61" i="26"/>
  <c r="H61" i="26" s="1"/>
  <c r="I61" i="26" s="1"/>
  <c r="G62" i="26"/>
  <c r="H62" i="26" s="1"/>
  <c r="I62" i="26" s="1"/>
  <c r="G45" i="26"/>
  <c r="H45" i="26" s="1"/>
  <c r="I45" i="26" s="1"/>
  <c r="G42" i="26"/>
  <c r="H42" i="26" s="1"/>
  <c r="I42" i="26" s="1"/>
  <c r="G19" i="26"/>
  <c r="H19" i="26" s="1"/>
  <c r="I19" i="26" s="1"/>
  <c r="G12" i="26"/>
  <c r="H12" i="26" s="1"/>
  <c r="I12" i="26" s="1"/>
  <c r="G24" i="26"/>
  <c r="H24" i="26" s="1"/>
  <c r="I24" i="26" s="1"/>
  <c r="G25" i="26"/>
  <c r="H25" i="26" s="1"/>
  <c r="I25" i="26" s="1"/>
  <c r="G14" i="26"/>
  <c r="H14" i="26" s="1"/>
  <c r="I14" i="26" s="1"/>
  <c r="G50" i="26"/>
  <c r="H50" i="26" s="1"/>
  <c r="I50" i="26" s="1"/>
  <c r="G17" i="26"/>
  <c r="H17" i="26" s="1"/>
  <c r="I17" i="26" s="1"/>
  <c r="G41" i="26"/>
  <c r="H41" i="26" s="1"/>
  <c r="I41" i="26" s="1"/>
  <c r="G49" i="26"/>
  <c r="H49" i="26" s="1"/>
  <c r="I49" i="26" s="1"/>
  <c r="G20" i="26"/>
  <c r="H20" i="26" s="1"/>
  <c r="I20" i="26" s="1"/>
  <c r="G53" i="26"/>
  <c r="H53" i="26" s="1"/>
  <c r="I53" i="26" s="1"/>
  <c r="G60" i="26"/>
  <c r="H60" i="26" s="1"/>
  <c r="I60" i="26" s="1"/>
  <c r="G7" i="26"/>
  <c r="H7" i="26" s="1"/>
  <c r="I7" i="26" s="1"/>
  <c r="G23" i="26"/>
  <c r="H23" i="26" s="1"/>
  <c r="I23" i="26" s="1"/>
  <c r="G22" i="26"/>
  <c r="H22" i="26" s="1"/>
  <c r="I22" i="26" s="1"/>
  <c r="G65" i="26"/>
  <c r="H65" i="26" s="1"/>
  <c r="I65" i="26" s="1"/>
  <c r="G18" i="26"/>
  <c r="H18" i="26" s="1"/>
  <c r="I18" i="26" s="1"/>
  <c r="G52" i="26"/>
  <c r="H52" i="26" s="1"/>
  <c r="I52" i="26" s="1"/>
  <c r="G59" i="26"/>
  <c r="H59" i="26" s="1"/>
  <c r="I59" i="26" s="1"/>
  <c r="G58" i="26"/>
  <c r="H58" i="26" s="1"/>
  <c r="I58" i="26" s="1"/>
  <c r="G8" i="26"/>
  <c r="H8" i="26" s="1"/>
  <c r="I8" i="26" s="1"/>
  <c r="G64" i="26"/>
  <c r="H64" i="26" s="1"/>
  <c r="I64" i="26" s="1"/>
  <c r="G67" i="26"/>
  <c r="H67" i="26" s="1"/>
  <c r="I67" i="26" s="1"/>
  <c r="G44" i="26"/>
  <c r="H44" i="26" s="1"/>
  <c r="I44" i="26" s="1"/>
  <c r="G5" i="26"/>
  <c r="H5" i="26" s="1"/>
  <c r="I5" i="26" s="1"/>
  <c r="G66" i="26"/>
  <c r="H66" i="26" s="1"/>
  <c r="I66" i="26" s="1"/>
  <c r="G21" i="26"/>
  <c r="H21" i="26" s="1"/>
  <c r="I21" i="26" s="1"/>
  <c r="G51" i="26"/>
  <c r="H51" i="26" s="1"/>
  <c r="I51" i="26" s="1"/>
  <c r="G26" i="26"/>
  <c r="H26" i="26" s="1"/>
  <c r="I26" i="26" s="1"/>
  <c r="G6" i="26"/>
  <c r="H6" i="26" s="1"/>
  <c r="I6" i="26" s="1"/>
  <c r="G11" i="26"/>
  <c r="H11" i="26" s="1"/>
  <c r="I11" i="26" s="1"/>
  <c r="G39" i="26"/>
  <c r="H39" i="26" s="1"/>
  <c r="I39" i="26" s="1"/>
  <c r="G31" i="26"/>
  <c r="H31" i="26" s="1"/>
  <c r="I31" i="26" s="1"/>
  <c r="G34" i="26"/>
  <c r="H34" i="26" s="1"/>
  <c r="I34" i="26" s="1"/>
  <c r="G32" i="26"/>
  <c r="H32" i="26" s="1"/>
  <c r="I32" i="26" s="1"/>
  <c r="G33" i="26"/>
  <c r="H33" i="26" s="1"/>
  <c r="I33" i="26" s="1"/>
  <c r="G29" i="26"/>
  <c r="H29" i="26" s="1"/>
  <c r="I29" i="26" s="1"/>
  <c r="G38" i="26"/>
  <c r="H38" i="26" s="1"/>
  <c r="I38" i="26" s="1"/>
  <c r="G35" i="26"/>
  <c r="H35" i="26" s="1"/>
  <c r="I35" i="26" s="1"/>
  <c r="G27" i="26"/>
  <c r="H27" i="26" s="1"/>
  <c r="I27" i="26" s="1"/>
  <c r="G13" i="26"/>
  <c r="H13" i="26" s="1"/>
  <c r="I13" i="26" s="1"/>
  <c r="G36" i="26"/>
  <c r="H36" i="26" s="1"/>
  <c r="I36" i="26" s="1"/>
  <c r="G28" i="26"/>
  <c r="H28" i="26" s="1"/>
  <c r="I28" i="26" s="1"/>
  <c r="G16" i="26"/>
  <c r="H16" i="26" s="1"/>
  <c r="I16" i="26" s="1"/>
  <c r="G30" i="26"/>
  <c r="H30" i="26" s="1"/>
  <c r="I30" i="26" s="1"/>
  <c r="G15" i="26"/>
  <c r="H15" i="26" s="1"/>
  <c r="I15" i="26" s="1"/>
  <c r="G10" i="26"/>
  <c r="H10" i="26" s="1"/>
  <c r="I10" i="26" s="1"/>
  <c r="G70" i="26"/>
  <c r="H70" i="26" s="1"/>
  <c r="I70" i="26" s="1"/>
  <c r="G37" i="26"/>
  <c r="H37" i="26" s="1"/>
  <c r="I37" i="26" s="1"/>
  <c r="M141" i="27" l="1"/>
  <c r="N141" i="27" l="1"/>
  <c r="G9" i="26"/>
  <c r="H9" i="26" s="1"/>
  <c r="I9" i="26" s="1"/>
  <c r="B5" i="25" s="1"/>
  <c r="C67" i="24" l="1"/>
  <c r="H67" i="24" l="1"/>
  <c r="I67" i="24"/>
  <c r="D67" i="24" l="1"/>
  <c r="E67" i="24" s="1"/>
  <c r="G67" i="24" l="1"/>
  <c r="J67" i="24"/>
  <c r="C29" i="24"/>
  <c r="H29" i="24" l="1"/>
  <c r="I29" i="24"/>
  <c r="D29" i="24" l="1"/>
  <c r="E29" i="24" s="1"/>
  <c r="G29" i="24" s="1"/>
  <c r="C12" i="24"/>
  <c r="C24" i="24"/>
  <c r="J29" i="24" l="1"/>
  <c r="H24" i="24"/>
  <c r="I24" i="24"/>
  <c r="H12" i="24"/>
  <c r="I12" i="24"/>
  <c r="C11" i="24"/>
  <c r="C21" i="24"/>
  <c r="C10" i="24"/>
  <c r="C23" i="24"/>
  <c r="C22" i="24"/>
  <c r="D12" i="24" l="1"/>
  <c r="E12" i="24" s="1"/>
  <c r="G12" i="24" s="1"/>
  <c r="D24" i="24"/>
  <c r="E24" i="24" s="1"/>
  <c r="G24" i="24" s="1"/>
  <c r="I23" i="24"/>
  <c r="H23" i="24"/>
  <c r="H10" i="24"/>
  <c r="I10" i="24"/>
  <c r="G9" i="8"/>
  <c r="Q9" i="8" s="1"/>
  <c r="I21" i="24"/>
  <c r="M9" i="8" s="1"/>
  <c r="W9" i="8" s="1"/>
  <c r="H21" i="24"/>
  <c r="G53" i="8"/>
  <c r="Q53" i="8" s="1"/>
  <c r="G7" i="8"/>
  <c r="Q7" i="8" s="1"/>
  <c r="I22" i="24"/>
  <c r="G6" i="8"/>
  <c r="Q6" i="8" s="1"/>
  <c r="H22" i="24"/>
  <c r="I11" i="24"/>
  <c r="H11" i="24"/>
  <c r="C9" i="24"/>
  <c r="J24" i="24" l="1"/>
  <c r="J12" i="24"/>
  <c r="D10" i="24"/>
  <c r="E10" i="24" s="1"/>
  <c r="J10" i="24" s="1"/>
  <c r="D11" i="24"/>
  <c r="E11" i="24" s="1"/>
  <c r="G11" i="24" s="1"/>
  <c r="L53" i="8"/>
  <c r="V53" i="8" s="1"/>
  <c r="D22" i="24"/>
  <c r="L7" i="8"/>
  <c r="V7" i="8" s="1"/>
  <c r="L6" i="8"/>
  <c r="V6" i="8" s="1"/>
  <c r="D21" i="24"/>
  <c r="L9" i="8"/>
  <c r="V9" i="8" s="1"/>
  <c r="X9" i="8" s="1"/>
  <c r="D23" i="24"/>
  <c r="E23" i="24" s="1"/>
  <c r="I9" i="24"/>
  <c r="H9" i="24"/>
  <c r="M6" i="8"/>
  <c r="W6" i="8" s="1"/>
  <c r="M7" i="8"/>
  <c r="W7" i="8" s="1"/>
  <c r="M53" i="8"/>
  <c r="W53" i="8" s="1"/>
  <c r="G10" i="24" l="1"/>
  <c r="J11" i="24"/>
  <c r="X7" i="8"/>
  <c r="D9" i="24"/>
  <c r="E9" i="24" s="1"/>
  <c r="J9" i="24" s="1"/>
  <c r="X53" i="8"/>
  <c r="H9" i="8"/>
  <c r="R9" i="8" s="1"/>
  <c r="E21" i="24"/>
  <c r="X6" i="8"/>
  <c r="G23" i="24"/>
  <c r="J23" i="24"/>
  <c r="H7" i="8"/>
  <c r="R7" i="8" s="1"/>
  <c r="H6" i="8"/>
  <c r="R6" i="8" s="1"/>
  <c r="H53" i="8"/>
  <c r="R53" i="8" s="1"/>
  <c r="E22" i="24"/>
  <c r="G9" i="24" l="1"/>
  <c r="G22" i="24"/>
  <c r="I53" i="8"/>
  <c r="S53" i="8" s="1"/>
  <c r="I7" i="8"/>
  <c r="S7" i="8" s="1"/>
  <c r="J22" i="24"/>
  <c r="I6" i="8"/>
  <c r="S6" i="8" s="1"/>
  <c r="G21" i="24"/>
  <c r="K9" i="8" s="1"/>
  <c r="U9" i="8" s="1"/>
  <c r="J21" i="24"/>
  <c r="N9" i="8" s="1"/>
  <c r="Y9" i="8" s="1"/>
  <c r="I9" i="8"/>
  <c r="S9" i="8" s="1"/>
  <c r="N6" i="8" l="1"/>
  <c r="Y6" i="8" s="1"/>
  <c r="N7" i="8"/>
  <c r="Y7" i="8" s="1"/>
  <c r="N53" i="8"/>
  <c r="Y53" i="8" s="1"/>
  <c r="K7" i="8"/>
  <c r="U7" i="8" s="1"/>
  <c r="K6" i="8"/>
  <c r="U6" i="8" s="1"/>
  <c r="K53" i="8"/>
  <c r="U53" i="8" s="1"/>
  <c r="C55" i="24" l="1"/>
  <c r="C45" i="24"/>
  <c r="C62" i="24"/>
  <c r="C65" i="24"/>
  <c r="C63" i="24"/>
  <c r="H45" i="24" l="1"/>
  <c r="I45" i="24"/>
  <c r="I55" i="24"/>
  <c r="H55" i="24"/>
  <c r="H65" i="24"/>
  <c r="I65" i="24"/>
  <c r="I63" i="24"/>
  <c r="H63" i="24"/>
  <c r="I62" i="24"/>
  <c r="H62" i="24"/>
  <c r="C52" i="24"/>
  <c r="C38" i="24"/>
  <c r="C36" i="24"/>
  <c r="C49" i="24"/>
  <c r="C40" i="24"/>
  <c r="C33" i="24"/>
  <c r="C57" i="24"/>
  <c r="C31" i="24"/>
  <c r="C56" i="24"/>
  <c r="C51" i="24"/>
  <c r="C39" i="24"/>
  <c r="C43" i="24"/>
  <c r="C34" i="24"/>
  <c r="C42" i="24"/>
  <c r="C54" i="24"/>
  <c r="C37" i="24"/>
  <c r="C58" i="24"/>
  <c r="C48" i="24"/>
  <c r="C46" i="24"/>
  <c r="C66" i="24"/>
  <c r="C53" i="24"/>
  <c r="C35" i="24"/>
  <c r="C44" i="24"/>
  <c r="C32" i="24"/>
  <c r="C30" i="24"/>
  <c r="C50" i="24"/>
  <c r="C47" i="24"/>
  <c r="C41" i="24"/>
  <c r="D65" i="24" l="1"/>
  <c r="E65" i="24" s="1"/>
  <c r="G65" i="24" s="1"/>
  <c r="D45" i="24"/>
  <c r="E45" i="24" s="1"/>
  <c r="J45" i="24" s="1"/>
  <c r="D63" i="24"/>
  <c r="E63" i="24" s="1"/>
  <c r="G63" i="24" s="1"/>
  <c r="D55" i="24"/>
  <c r="E55" i="24" s="1"/>
  <c r="G55" i="24" s="1"/>
  <c r="D62" i="24"/>
  <c r="E62" i="24" s="1"/>
  <c r="G62" i="24" s="1"/>
  <c r="I32" i="24"/>
  <c r="H32" i="24"/>
  <c r="H43" i="24"/>
  <c r="I43" i="24"/>
  <c r="H52" i="24"/>
  <c r="I52" i="24"/>
  <c r="H47" i="24"/>
  <c r="G51" i="8"/>
  <c r="Q51" i="8" s="1"/>
  <c r="I47" i="24"/>
  <c r="G55" i="8"/>
  <c r="Q55" i="8" s="1"/>
  <c r="H44" i="24"/>
  <c r="I44" i="24"/>
  <c r="M70" i="8" s="1"/>
  <c r="W70" i="8" s="1"/>
  <c r="G70" i="8"/>
  <c r="Q70" i="8" s="1"/>
  <c r="H46" i="24"/>
  <c r="I46" i="24"/>
  <c r="I54" i="24"/>
  <c r="H54" i="24"/>
  <c r="I39" i="24"/>
  <c r="H39" i="24"/>
  <c r="H49" i="24"/>
  <c r="I49" i="24"/>
  <c r="G73" i="8"/>
  <c r="Q73" i="8" s="1"/>
  <c r="H41" i="24"/>
  <c r="G52" i="8"/>
  <c r="Q52" i="8" s="1"/>
  <c r="I41" i="24"/>
  <c r="H37" i="24"/>
  <c r="I37" i="24"/>
  <c r="I40" i="24"/>
  <c r="H40" i="24"/>
  <c r="H35" i="24"/>
  <c r="I35" i="24"/>
  <c r="M79" i="8" s="1"/>
  <c r="W79" i="8" s="1"/>
  <c r="G79" i="8"/>
  <c r="Q79" i="8" s="1"/>
  <c r="H48" i="24"/>
  <c r="I48" i="24"/>
  <c r="M29" i="8" s="1"/>
  <c r="W29" i="8" s="1"/>
  <c r="G29" i="8"/>
  <c r="Q29" i="8" s="1"/>
  <c r="I42" i="24"/>
  <c r="H42" i="24"/>
  <c r="H51" i="24"/>
  <c r="I51" i="24"/>
  <c r="G36" i="8"/>
  <c r="Q36" i="8" s="1"/>
  <c r="H57" i="24"/>
  <c r="I57" i="24"/>
  <c r="M36" i="8" s="1"/>
  <c r="W36" i="8" s="1"/>
  <c r="I36" i="24"/>
  <c r="H36" i="24"/>
  <c r="H66" i="24"/>
  <c r="I66" i="24"/>
  <c r="I31" i="24"/>
  <c r="H31" i="24"/>
  <c r="I50" i="24"/>
  <c r="H50" i="24"/>
  <c r="H30" i="24"/>
  <c r="I30" i="24"/>
  <c r="H53" i="24"/>
  <c r="I53" i="24"/>
  <c r="G74" i="8"/>
  <c r="Q74" i="8" s="1"/>
  <c r="H58" i="24"/>
  <c r="I58" i="24"/>
  <c r="M74" i="8" s="1"/>
  <c r="W74" i="8" s="1"/>
  <c r="I34" i="24"/>
  <c r="H34" i="24"/>
  <c r="H56" i="24"/>
  <c r="I56" i="24"/>
  <c r="I33" i="24"/>
  <c r="H33" i="24"/>
  <c r="I38" i="24"/>
  <c r="H38" i="24"/>
  <c r="J65" i="24"/>
  <c r="C68" i="24"/>
  <c r="C8" i="24"/>
  <c r="C60" i="24"/>
  <c r="C7" i="24"/>
  <c r="C59" i="24"/>
  <c r="G45" i="24" l="1"/>
  <c r="J62" i="24"/>
  <c r="D32" i="24"/>
  <c r="E32" i="24" s="1"/>
  <c r="J32" i="24" s="1"/>
  <c r="D36" i="24"/>
  <c r="E36" i="24" s="1"/>
  <c r="J36" i="24" s="1"/>
  <c r="D37" i="24"/>
  <c r="E37" i="24" s="1"/>
  <c r="G37" i="24" s="1"/>
  <c r="J63" i="24"/>
  <c r="D42" i="24"/>
  <c r="E42" i="24" s="1"/>
  <c r="G42" i="24" s="1"/>
  <c r="D54" i="24"/>
  <c r="E54" i="24" s="1"/>
  <c r="G54" i="24" s="1"/>
  <c r="D38" i="24"/>
  <c r="E38" i="24" s="1"/>
  <c r="J38" i="24" s="1"/>
  <c r="D30" i="24"/>
  <c r="E30" i="24" s="1"/>
  <c r="G30" i="24" s="1"/>
  <c r="D50" i="24"/>
  <c r="E50" i="24" s="1"/>
  <c r="G50" i="24" s="1"/>
  <c r="J55" i="24"/>
  <c r="D39" i="24"/>
  <c r="E39" i="24" s="1"/>
  <c r="G39" i="24" s="1"/>
  <c r="D51" i="24"/>
  <c r="E51" i="24" s="1"/>
  <c r="G51" i="24" s="1"/>
  <c r="I60" i="24"/>
  <c r="H60" i="24"/>
  <c r="D57" i="24"/>
  <c r="L36" i="8"/>
  <c r="V36" i="8" s="1"/>
  <c r="X36" i="8" s="1"/>
  <c r="D35" i="24"/>
  <c r="L79" i="8"/>
  <c r="V79" i="8" s="1"/>
  <c r="X79" i="8" s="1"/>
  <c r="J37" i="24"/>
  <c r="D41" i="24"/>
  <c r="L73" i="8"/>
  <c r="V73" i="8" s="1"/>
  <c r="L52" i="8"/>
  <c r="V52" i="8" s="1"/>
  <c r="D44" i="24"/>
  <c r="L70" i="8"/>
  <c r="V70" i="8" s="1"/>
  <c r="X70" i="8" s="1"/>
  <c r="D56" i="24"/>
  <c r="E56" i="24" s="1"/>
  <c r="D53" i="24"/>
  <c r="E53" i="24" s="1"/>
  <c r="D66" i="24"/>
  <c r="E66" i="24" s="1"/>
  <c r="D48" i="24"/>
  <c r="L29" i="8"/>
  <c r="V29" i="8" s="1"/>
  <c r="X29" i="8" s="1"/>
  <c r="D40" i="24"/>
  <c r="E40" i="24" s="1"/>
  <c r="D46" i="24"/>
  <c r="E46" i="24" s="1"/>
  <c r="L55" i="8"/>
  <c r="V55" i="8" s="1"/>
  <c r="L51" i="8"/>
  <c r="V51" i="8" s="1"/>
  <c r="D47" i="24"/>
  <c r="D43" i="24"/>
  <c r="E43" i="24" s="1"/>
  <c r="H59" i="24"/>
  <c r="I59" i="24"/>
  <c r="H8" i="24"/>
  <c r="I8" i="24"/>
  <c r="D33" i="24"/>
  <c r="E33" i="24" s="1"/>
  <c r="D34" i="24"/>
  <c r="E34" i="24" s="1"/>
  <c r="D58" i="24"/>
  <c r="L74" i="8"/>
  <c r="V74" i="8" s="1"/>
  <c r="X74" i="8" s="1"/>
  <c r="D31" i="24"/>
  <c r="E31" i="24" s="1"/>
  <c r="M52" i="8"/>
  <c r="W52" i="8" s="1"/>
  <c r="M73" i="8"/>
  <c r="W73" i="8" s="1"/>
  <c r="H7" i="24"/>
  <c r="I7" i="24"/>
  <c r="I68" i="24"/>
  <c r="H68" i="24"/>
  <c r="D49" i="24"/>
  <c r="E49" i="24" s="1"/>
  <c r="M55" i="8"/>
  <c r="W55" i="8" s="1"/>
  <c r="M51" i="8"/>
  <c r="W51" i="8" s="1"/>
  <c r="D52" i="24"/>
  <c r="E52" i="24" s="1"/>
  <c r="C6" i="24"/>
  <c r="C5" i="24"/>
  <c r="C28" i="24"/>
  <c r="C27" i="24"/>
  <c r="C15" i="24"/>
  <c r="C13" i="24"/>
  <c r="C16" i="24"/>
  <c r="C19" i="24"/>
  <c r="C20" i="24"/>
  <c r="G32" i="24" l="1"/>
  <c r="J42" i="24"/>
  <c r="G36" i="24"/>
  <c r="J39" i="24"/>
  <c r="G38" i="24"/>
  <c r="D60" i="24"/>
  <c r="E60" i="24" s="1"/>
  <c r="J60" i="24" s="1"/>
  <c r="J51" i="24"/>
  <c r="J30" i="24"/>
  <c r="J50" i="24"/>
  <c r="J54" i="24"/>
  <c r="D7" i="24"/>
  <c r="E7" i="24" s="1"/>
  <c r="G7" i="24" s="1"/>
  <c r="X55" i="8"/>
  <c r="X73" i="8"/>
  <c r="B46" i="18" s="1"/>
  <c r="E46" i="18" s="1"/>
  <c r="G46" i="18" s="1"/>
  <c r="I20" i="24"/>
  <c r="H20" i="24"/>
  <c r="G83" i="8"/>
  <c r="Q83" i="8" s="1"/>
  <c r="G72" i="8"/>
  <c r="Q72" i="8" s="1"/>
  <c r="G57" i="8"/>
  <c r="Q57" i="8" s="1"/>
  <c r="G27" i="8"/>
  <c r="Q27" i="8" s="1"/>
  <c r="G35" i="8"/>
  <c r="Q35" i="8" s="1"/>
  <c r="G25" i="8"/>
  <c r="Q25" i="8" s="1"/>
  <c r="G19" i="8"/>
  <c r="Q19" i="8" s="1"/>
  <c r="G87" i="8"/>
  <c r="Q87" i="8" s="1"/>
  <c r="G76" i="8"/>
  <c r="Q76" i="8" s="1"/>
  <c r="G31" i="8"/>
  <c r="Q31" i="8" s="1"/>
  <c r="G65" i="8"/>
  <c r="Q65" i="8" s="1"/>
  <c r="G40" i="8"/>
  <c r="Q40" i="8" s="1"/>
  <c r="G38" i="8"/>
  <c r="Q38" i="8" s="1"/>
  <c r="G10" i="8"/>
  <c r="Q10" i="8" s="1"/>
  <c r="G78" i="8"/>
  <c r="Q78" i="8" s="1"/>
  <c r="G67" i="8"/>
  <c r="Q67" i="8" s="1"/>
  <c r="G46" i="8"/>
  <c r="Q46" i="8" s="1"/>
  <c r="G58" i="8"/>
  <c r="Q58" i="8" s="1"/>
  <c r="G61" i="8"/>
  <c r="Q61" i="8" s="1"/>
  <c r="G60" i="8"/>
  <c r="Q60" i="8" s="1"/>
  <c r="G17" i="8"/>
  <c r="Q17" i="8" s="1"/>
  <c r="G81" i="8"/>
  <c r="Q81" i="8" s="1"/>
  <c r="G69" i="8"/>
  <c r="Q69" i="8" s="1"/>
  <c r="G63" i="8"/>
  <c r="Q63" i="8" s="1"/>
  <c r="G49" i="8"/>
  <c r="Q49" i="8" s="1"/>
  <c r="I13" i="24"/>
  <c r="H13" i="24"/>
  <c r="G45" i="8"/>
  <c r="Q45" i="8" s="1"/>
  <c r="J31" i="24"/>
  <c r="G31" i="24"/>
  <c r="G33" i="24"/>
  <c r="J33" i="24"/>
  <c r="D59" i="24"/>
  <c r="E59" i="24" s="1"/>
  <c r="H55" i="8"/>
  <c r="R55" i="8" s="1"/>
  <c r="H51" i="8"/>
  <c r="R51" i="8" s="1"/>
  <c r="E47" i="24"/>
  <c r="G40" i="24"/>
  <c r="J40" i="24"/>
  <c r="G53" i="24"/>
  <c r="J53" i="24"/>
  <c r="H73" i="8"/>
  <c r="R73" i="8" s="1"/>
  <c r="H52" i="8"/>
  <c r="R52" i="8" s="1"/>
  <c r="E41" i="24"/>
  <c r="E35" i="24"/>
  <c r="H79" i="8"/>
  <c r="R79" i="8" s="1"/>
  <c r="I6" i="24"/>
  <c r="H6" i="24"/>
  <c r="J7" i="24"/>
  <c r="X51" i="8"/>
  <c r="J56" i="24"/>
  <c r="G56" i="24"/>
  <c r="I16" i="24"/>
  <c r="H16" i="24"/>
  <c r="H5" i="24"/>
  <c r="I5" i="24"/>
  <c r="G34" i="24"/>
  <c r="J34" i="24"/>
  <c r="G43" i="24"/>
  <c r="J43" i="24"/>
  <c r="G46" i="24"/>
  <c r="J46" i="24"/>
  <c r="J66" i="24"/>
  <c r="G66" i="24"/>
  <c r="E44" i="24"/>
  <c r="H70" i="8"/>
  <c r="R70" i="8" s="1"/>
  <c r="I15" i="24"/>
  <c r="H15" i="24"/>
  <c r="H27" i="24"/>
  <c r="I27" i="24"/>
  <c r="G49" i="24"/>
  <c r="J49" i="24"/>
  <c r="H19" i="24"/>
  <c r="I19" i="24"/>
  <c r="G54" i="8"/>
  <c r="Q54" i="8" s="1"/>
  <c r="G85" i="8"/>
  <c r="Q85" i="8" s="1"/>
  <c r="H28" i="24"/>
  <c r="G41" i="8"/>
  <c r="Q41" i="8" s="1"/>
  <c r="I28" i="24"/>
  <c r="G52" i="24"/>
  <c r="J52" i="24"/>
  <c r="D68" i="24"/>
  <c r="E68" i="24" s="1"/>
  <c r="H74" i="8"/>
  <c r="R74" i="8" s="1"/>
  <c r="E58" i="24"/>
  <c r="D8" i="24"/>
  <c r="E8" i="24" s="1"/>
  <c r="H29" i="8"/>
  <c r="R29" i="8" s="1"/>
  <c r="E48" i="24"/>
  <c r="X52" i="8"/>
  <c r="H36" i="8"/>
  <c r="R36" i="8" s="1"/>
  <c r="E57" i="24"/>
  <c r="C26" i="24"/>
  <c r="C4" i="24"/>
  <c r="C18" i="24"/>
  <c r="C17" i="24"/>
  <c r="C25" i="24"/>
  <c r="C14" i="24"/>
  <c r="G60" i="24" l="1"/>
  <c r="D20" i="24"/>
  <c r="E20" i="24" s="1"/>
  <c r="D5" i="24"/>
  <c r="E5" i="24" s="1"/>
  <c r="J5" i="24" s="1"/>
  <c r="D6" i="24"/>
  <c r="E6" i="24" s="1"/>
  <c r="G6" i="24" s="1"/>
  <c r="G8" i="24"/>
  <c r="J8" i="24"/>
  <c r="G86" i="8"/>
  <c r="Q86" i="8" s="1"/>
  <c r="E29" i="22" s="1"/>
  <c r="I108" i="21" s="1"/>
  <c r="J38" i="20" s="1"/>
  <c r="G82" i="8"/>
  <c r="Q82" i="8" s="1"/>
  <c r="G68" i="8"/>
  <c r="Q68" i="8" s="1"/>
  <c r="E23" i="22" s="1"/>
  <c r="I83" i="21" s="1"/>
  <c r="J30" i="20" s="1"/>
  <c r="H14" i="24"/>
  <c r="G56" i="8"/>
  <c r="Q56" i="8" s="1"/>
  <c r="E19" i="22" s="1"/>
  <c r="I67" i="21" s="1"/>
  <c r="J24" i="20" s="1"/>
  <c r="G30" i="8"/>
  <c r="Q30" i="8" s="1"/>
  <c r="G47" i="8"/>
  <c r="Q47" i="8" s="1"/>
  <c r="G39" i="8"/>
  <c r="Q39" i="8" s="1"/>
  <c r="G75" i="8"/>
  <c r="Q75" i="8" s="1"/>
  <c r="E25" i="22" s="1"/>
  <c r="I94" i="21" s="1"/>
  <c r="J33" i="20" s="1"/>
  <c r="G71" i="8"/>
  <c r="Q71" i="8" s="1"/>
  <c r="E24" i="22" s="1"/>
  <c r="I87" i="21" s="1"/>
  <c r="J31" i="20" s="1"/>
  <c r="G16" i="8"/>
  <c r="Q16" i="8" s="1"/>
  <c r="E10" i="22" s="1"/>
  <c r="I18" i="21" s="1"/>
  <c r="J8" i="20" s="1"/>
  <c r="G50" i="8"/>
  <c r="Q50" i="8" s="1"/>
  <c r="E18" i="22" s="1"/>
  <c r="I63" i="21" s="1"/>
  <c r="J23" i="20" s="1"/>
  <c r="G4" i="8"/>
  <c r="Q4" i="8" s="1"/>
  <c r="G44" i="8"/>
  <c r="Q44" i="8" s="1"/>
  <c r="G34" i="8"/>
  <c r="Q34" i="8" s="1"/>
  <c r="E15" i="22" s="1"/>
  <c r="I48" i="21" s="1"/>
  <c r="J18" i="20" s="1"/>
  <c r="G66" i="8"/>
  <c r="Q66" i="8" s="1"/>
  <c r="G64" i="8"/>
  <c r="Q64" i="8" s="1"/>
  <c r="E22" i="22" s="1"/>
  <c r="I79" i="21" s="1"/>
  <c r="J29" i="20" s="1"/>
  <c r="G37" i="8"/>
  <c r="Q37" i="8" s="1"/>
  <c r="I14" i="24"/>
  <c r="G48" i="8"/>
  <c r="Q48" i="8" s="1"/>
  <c r="G18" i="8"/>
  <c r="Q18" i="8" s="1"/>
  <c r="G80" i="8"/>
  <c r="Q80" i="8" s="1"/>
  <c r="E27" i="22" s="1"/>
  <c r="I102" i="21" s="1"/>
  <c r="J36" i="20" s="1"/>
  <c r="G77" i="8"/>
  <c r="Q77" i="8" s="1"/>
  <c r="E26" i="22" s="1"/>
  <c r="I97" i="21" s="1"/>
  <c r="J34" i="20" s="1"/>
  <c r="G26" i="8"/>
  <c r="Q26" i="8" s="1"/>
  <c r="G62" i="8"/>
  <c r="Q62" i="8" s="1"/>
  <c r="E21" i="22" s="1"/>
  <c r="I75" i="21" s="1"/>
  <c r="J27" i="20" s="1"/>
  <c r="G22" i="8"/>
  <c r="Q22" i="8" s="1"/>
  <c r="G59" i="8"/>
  <c r="Q59" i="8" s="1"/>
  <c r="E20" i="22" s="1"/>
  <c r="I71" i="21" s="1"/>
  <c r="J26" i="20" s="1"/>
  <c r="G24" i="8"/>
  <c r="Q24" i="8" s="1"/>
  <c r="E12" i="22" s="1"/>
  <c r="I31" i="21" s="1"/>
  <c r="J13" i="20" s="1"/>
  <c r="G5" i="8"/>
  <c r="Q5" i="8" s="1"/>
  <c r="G58" i="24"/>
  <c r="J58" i="24"/>
  <c r="N74" i="8" s="1"/>
  <c r="Y74" i="8" s="1"/>
  <c r="I74" i="8"/>
  <c r="S74" i="8" s="1"/>
  <c r="D28" i="24"/>
  <c r="L41" i="8"/>
  <c r="V41" i="8" s="1"/>
  <c r="D16" i="24"/>
  <c r="E16" i="24" s="1"/>
  <c r="J35" i="24"/>
  <c r="N79" i="8" s="1"/>
  <c r="Y79" i="8" s="1"/>
  <c r="G35" i="24"/>
  <c r="K79" i="8" s="1"/>
  <c r="U79" i="8" s="1"/>
  <c r="I79" i="8"/>
  <c r="S79" i="8" s="1"/>
  <c r="J47" i="24"/>
  <c r="G47" i="24"/>
  <c r="I51" i="8"/>
  <c r="S51" i="8" s="1"/>
  <c r="I55" i="8"/>
  <c r="S55" i="8" s="1"/>
  <c r="I25" i="24"/>
  <c r="M41" i="8" s="1"/>
  <c r="W41" i="8" s="1"/>
  <c r="H25" i="24"/>
  <c r="D19" i="24"/>
  <c r="L54" i="8"/>
  <c r="V54" i="8" s="1"/>
  <c r="L85" i="8"/>
  <c r="V85" i="8" s="1"/>
  <c r="D27" i="24"/>
  <c r="E27" i="24" s="1"/>
  <c r="G44" i="24"/>
  <c r="K70" i="8" s="1"/>
  <c r="U70" i="8" s="1"/>
  <c r="J44" i="24"/>
  <c r="N70" i="8" s="1"/>
  <c r="Y70" i="8" s="1"/>
  <c r="I70" i="8"/>
  <c r="S70" i="8" s="1"/>
  <c r="I52" i="8"/>
  <c r="S52" i="8" s="1"/>
  <c r="J41" i="24"/>
  <c r="G41" i="24"/>
  <c r="I73" i="8"/>
  <c r="S73" i="8" s="1"/>
  <c r="J20" i="24"/>
  <c r="G20" i="24"/>
  <c r="G32" i="8"/>
  <c r="Q32" i="8" s="1"/>
  <c r="G84" i="8"/>
  <c r="Q84" i="8" s="1"/>
  <c r="I18" i="24"/>
  <c r="G8" i="8"/>
  <c r="Q8" i="8" s="1"/>
  <c r="G43" i="8"/>
  <c r="Q43" i="8" s="1"/>
  <c r="H18" i="24"/>
  <c r="G20" i="8"/>
  <c r="Q20" i="8" s="1"/>
  <c r="G59" i="24"/>
  <c r="J59" i="24"/>
  <c r="M87" i="8"/>
  <c r="W87" i="8" s="1"/>
  <c r="M81" i="8"/>
  <c r="W81" i="8" s="1"/>
  <c r="M65" i="8"/>
  <c r="W65" i="8" s="1"/>
  <c r="M25" i="8"/>
  <c r="W25" i="8" s="1"/>
  <c r="M35" i="8"/>
  <c r="W35" i="8" s="1"/>
  <c r="M63" i="8"/>
  <c r="W63" i="8" s="1"/>
  <c r="M40" i="8"/>
  <c r="W40" i="8" s="1"/>
  <c r="M69" i="8"/>
  <c r="W69" i="8" s="1"/>
  <c r="M60" i="8"/>
  <c r="W60" i="8" s="1"/>
  <c r="M45" i="8"/>
  <c r="W45" i="8" s="1"/>
  <c r="M10" i="8"/>
  <c r="W10" i="8" s="1"/>
  <c r="M61" i="8"/>
  <c r="W61" i="8" s="1"/>
  <c r="M19" i="8"/>
  <c r="W19" i="8" s="1"/>
  <c r="M72" i="8"/>
  <c r="W72" i="8" s="1"/>
  <c r="M58" i="8"/>
  <c r="W58" i="8" s="1"/>
  <c r="M38" i="8"/>
  <c r="W38" i="8" s="1"/>
  <c r="M31" i="8"/>
  <c r="W31" i="8" s="1"/>
  <c r="M57" i="8"/>
  <c r="W57" i="8" s="1"/>
  <c r="M83" i="8"/>
  <c r="W83" i="8" s="1"/>
  <c r="M78" i="8"/>
  <c r="W78" i="8" s="1"/>
  <c r="M76" i="8"/>
  <c r="W76" i="8" s="1"/>
  <c r="M67" i="8"/>
  <c r="W67" i="8" s="1"/>
  <c r="M46" i="8"/>
  <c r="W46" i="8" s="1"/>
  <c r="M17" i="8"/>
  <c r="W17" i="8" s="1"/>
  <c r="M27" i="8"/>
  <c r="W27" i="8" s="1"/>
  <c r="M49" i="8"/>
  <c r="W49" i="8" s="1"/>
  <c r="H4" i="24"/>
  <c r="I4" i="24"/>
  <c r="M54" i="8"/>
  <c r="W54" i="8" s="1"/>
  <c r="M85" i="8"/>
  <c r="W85" i="8" s="1"/>
  <c r="H26" i="24"/>
  <c r="I26" i="24"/>
  <c r="M42" i="8" s="1"/>
  <c r="W42" i="8" s="1"/>
  <c r="G42" i="8"/>
  <c r="Q42" i="8" s="1"/>
  <c r="G48" i="24"/>
  <c r="K29" i="8" s="1"/>
  <c r="U29" i="8" s="1"/>
  <c r="I29" i="8"/>
  <c r="S29" i="8" s="1"/>
  <c r="J48" i="24"/>
  <c r="N29" i="8" s="1"/>
  <c r="Y29" i="8" s="1"/>
  <c r="G33" i="8"/>
  <c r="Q33" i="8" s="1"/>
  <c r="G23" i="8"/>
  <c r="Q23" i="8" s="1"/>
  <c r="G28" i="8"/>
  <c r="Q28" i="8" s="1"/>
  <c r="I17" i="24"/>
  <c r="H17" i="24"/>
  <c r="G21" i="8"/>
  <c r="Q21" i="8" s="1"/>
  <c r="G57" i="24"/>
  <c r="K36" i="8" s="1"/>
  <c r="U36" i="8" s="1"/>
  <c r="I36" i="8"/>
  <c r="S36" i="8" s="1"/>
  <c r="J57" i="24"/>
  <c r="N36" i="8" s="1"/>
  <c r="Y36" i="8" s="1"/>
  <c r="J68" i="24"/>
  <c r="G68" i="24"/>
  <c r="D15" i="24"/>
  <c r="E15" i="24" s="1"/>
  <c r="L72" i="8"/>
  <c r="V72" i="8" s="1"/>
  <c r="L61" i="8"/>
  <c r="V61" i="8" s="1"/>
  <c r="L63" i="8"/>
  <c r="V63" i="8" s="1"/>
  <c r="L25" i="8"/>
  <c r="V25" i="8" s="1"/>
  <c r="L40" i="8"/>
  <c r="V40" i="8" s="1"/>
  <c r="L35" i="8"/>
  <c r="V35" i="8" s="1"/>
  <c r="L83" i="8"/>
  <c r="V83" i="8" s="1"/>
  <c r="X83" i="8" s="1"/>
  <c r="L78" i="8"/>
  <c r="V78" i="8" s="1"/>
  <c r="L76" i="8"/>
  <c r="V76" i="8" s="1"/>
  <c r="L17" i="8"/>
  <c r="V17" i="8" s="1"/>
  <c r="L57" i="8"/>
  <c r="V57" i="8" s="1"/>
  <c r="L65" i="8"/>
  <c r="V65" i="8" s="1"/>
  <c r="L49" i="8"/>
  <c r="V49" i="8" s="1"/>
  <c r="L38" i="8"/>
  <c r="V38" i="8" s="1"/>
  <c r="L87" i="8"/>
  <c r="V87" i="8" s="1"/>
  <c r="L81" i="8"/>
  <c r="V81" i="8" s="1"/>
  <c r="D13" i="24"/>
  <c r="L46" i="8"/>
  <c r="V46" i="8" s="1"/>
  <c r="L58" i="8"/>
  <c r="V58" i="8" s="1"/>
  <c r="X58" i="8" s="1"/>
  <c r="L10" i="8"/>
  <c r="V10" i="8" s="1"/>
  <c r="L45" i="8"/>
  <c r="V45" i="8" s="1"/>
  <c r="L69" i="8"/>
  <c r="V69" i="8" s="1"/>
  <c r="L67" i="8"/>
  <c r="V67" i="8" s="1"/>
  <c r="L27" i="8"/>
  <c r="V27" i="8" s="1"/>
  <c r="L31" i="8"/>
  <c r="V31" i="8" s="1"/>
  <c r="L19" i="8"/>
  <c r="V19" i="8" s="1"/>
  <c r="L60" i="8"/>
  <c r="V60" i="8" s="1"/>
  <c r="X31" i="8" l="1"/>
  <c r="X60" i="8"/>
  <c r="X76" i="8"/>
  <c r="G5" i="24"/>
  <c r="X69" i="8"/>
  <c r="X38" i="8"/>
  <c r="X17" i="8"/>
  <c r="X61" i="8"/>
  <c r="J6" i="24"/>
  <c r="E17" i="22"/>
  <c r="I58" i="21" s="1"/>
  <c r="J21" i="20" s="1"/>
  <c r="X87" i="8"/>
  <c r="X19" i="8"/>
  <c r="X40" i="8"/>
  <c r="X81" i="8"/>
  <c r="X46" i="8"/>
  <c r="X35" i="8"/>
  <c r="X41" i="8"/>
  <c r="X27" i="8"/>
  <c r="X10" i="8"/>
  <c r="B5" i="18" s="1"/>
  <c r="E5" i="18" s="1"/>
  <c r="G5" i="18" s="1"/>
  <c r="D30" i="18" s="1"/>
  <c r="X65" i="8"/>
  <c r="E14" i="22"/>
  <c r="I42" i="21" s="1"/>
  <c r="J16" i="20" s="1"/>
  <c r="X45" i="8"/>
  <c r="H45" i="8"/>
  <c r="R45" i="8" s="1"/>
  <c r="H38" i="8"/>
  <c r="R38" i="8" s="1"/>
  <c r="H57" i="8"/>
  <c r="R57" i="8" s="1"/>
  <c r="H49" i="8"/>
  <c r="R49" i="8" s="1"/>
  <c r="H83" i="8"/>
  <c r="R83" i="8" s="1"/>
  <c r="H72" i="8"/>
  <c r="R72" i="8" s="1"/>
  <c r="H67" i="8"/>
  <c r="R67" i="8" s="1"/>
  <c r="H19" i="8"/>
  <c r="R19" i="8" s="1"/>
  <c r="H17" i="8"/>
  <c r="R17" i="8" s="1"/>
  <c r="H61" i="8"/>
  <c r="R61" i="8" s="1"/>
  <c r="H25" i="8"/>
  <c r="R25" i="8" s="1"/>
  <c r="H87" i="8"/>
  <c r="R87" i="8" s="1"/>
  <c r="H78" i="8"/>
  <c r="R78" i="8" s="1"/>
  <c r="H76" i="8"/>
  <c r="R76" i="8" s="1"/>
  <c r="H63" i="8"/>
  <c r="R63" i="8" s="1"/>
  <c r="H65" i="8"/>
  <c r="R65" i="8" s="1"/>
  <c r="H27" i="8"/>
  <c r="R27" i="8" s="1"/>
  <c r="H58" i="8"/>
  <c r="R58" i="8" s="1"/>
  <c r="H10" i="8"/>
  <c r="R10" i="8" s="1"/>
  <c r="H35" i="8"/>
  <c r="R35" i="8" s="1"/>
  <c r="H46" i="8"/>
  <c r="R46" i="8" s="1"/>
  <c r="H81" i="8"/>
  <c r="R81" i="8" s="1"/>
  <c r="H69" i="8"/>
  <c r="R69" i="8" s="1"/>
  <c r="H40" i="8"/>
  <c r="R40" i="8" s="1"/>
  <c r="H60" i="8"/>
  <c r="R60" i="8" s="1"/>
  <c r="H31" i="8"/>
  <c r="R31" i="8" s="1"/>
  <c r="E13" i="24"/>
  <c r="X49" i="8"/>
  <c r="X72" i="8"/>
  <c r="L42" i="8"/>
  <c r="V42" i="8" s="1"/>
  <c r="X42" i="8" s="1"/>
  <c r="D26" i="24"/>
  <c r="D4" i="24"/>
  <c r="E4" i="24" s="1"/>
  <c r="K74" i="8"/>
  <c r="U74" i="8" s="1"/>
  <c r="K73" i="8"/>
  <c r="U73" i="8" s="1"/>
  <c r="K52" i="8"/>
  <c r="U52" i="8" s="1"/>
  <c r="G27" i="24"/>
  <c r="J27" i="24"/>
  <c r="D25" i="24"/>
  <c r="E25" i="24" s="1"/>
  <c r="H41" i="8"/>
  <c r="R41" i="8" s="1"/>
  <c r="E28" i="24"/>
  <c r="E16" i="22"/>
  <c r="I52" i="21" s="1"/>
  <c r="J19" i="20" s="1"/>
  <c r="E28" i="22"/>
  <c r="I105" i="21" s="1"/>
  <c r="J37" i="20" s="1"/>
  <c r="X25" i="8"/>
  <c r="G15" i="24"/>
  <c r="J15" i="24"/>
  <c r="N52" i="8"/>
  <c r="Y52" i="8" s="1"/>
  <c r="N73" i="8"/>
  <c r="Y73" i="8" s="1"/>
  <c r="X85" i="8"/>
  <c r="K55" i="8"/>
  <c r="U55" i="8" s="1"/>
  <c r="K51" i="8"/>
  <c r="U51" i="8" s="1"/>
  <c r="E11" i="22"/>
  <c r="I22" i="21" s="1"/>
  <c r="J9" i="20" s="1"/>
  <c r="E5" i="22"/>
  <c r="I10" i="21" s="1"/>
  <c r="L20" i="8"/>
  <c r="V20" i="8" s="1"/>
  <c r="L8" i="8"/>
  <c r="V8" i="8" s="1"/>
  <c r="D18" i="24"/>
  <c r="L43" i="8"/>
  <c r="V43" i="8" s="1"/>
  <c r="L32" i="8"/>
  <c r="V32" i="8" s="1"/>
  <c r="L84" i="8"/>
  <c r="V84" i="8" s="1"/>
  <c r="H54" i="8"/>
  <c r="R54" i="8" s="1"/>
  <c r="H85" i="8"/>
  <c r="R85" i="8" s="1"/>
  <c r="E19" i="24"/>
  <c r="M86" i="8"/>
  <c r="W86" i="8" s="1"/>
  <c r="M71" i="8"/>
  <c r="W71" i="8" s="1"/>
  <c r="M62" i="8"/>
  <c r="W62" i="8" s="1"/>
  <c r="M64" i="8"/>
  <c r="W64" i="8" s="1"/>
  <c r="M22" i="8"/>
  <c r="W22" i="8" s="1"/>
  <c r="M48" i="8"/>
  <c r="W48" i="8" s="1"/>
  <c r="M4" i="8"/>
  <c r="W4" i="8" s="1"/>
  <c r="M80" i="8"/>
  <c r="W80" i="8" s="1"/>
  <c r="M75" i="8"/>
  <c r="W75" i="8" s="1"/>
  <c r="M24" i="8"/>
  <c r="W24" i="8" s="1"/>
  <c r="M50" i="8"/>
  <c r="W50" i="8" s="1"/>
  <c r="M56" i="8"/>
  <c r="W56" i="8" s="1"/>
  <c r="M18" i="8"/>
  <c r="W18" i="8" s="1"/>
  <c r="M5" i="8"/>
  <c r="W5" i="8" s="1"/>
  <c r="M82" i="8"/>
  <c r="W82" i="8" s="1"/>
  <c r="M77" i="8"/>
  <c r="W77" i="8" s="1"/>
  <c r="M30" i="8"/>
  <c r="W30" i="8" s="1"/>
  <c r="M47" i="8"/>
  <c r="W47" i="8" s="1"/>
  <c r="M44" i="8"/>
  <c r="W44" i="8" s="1"/>
  <c r="M59" i="8"/>
  <c r="W59" i="8" s="1"/>
  <c r="M26" i="8"/>
  <c r="W26" i="8" s="1"/>
  <c r="M34" i="8"/>
  <c r="W34" i="8" s="1"/>
  <c r="M68" i="8"/>
  <c r="W68" i="8" s="1"/>
  <c r="M66" i="8"/>
  <c r="W66" i="8" s="1"/>
  <c r="M39" i="8"/>
  <c r="W39" i="8" s="1"/>
  <c r="M16" i="8"/>
  <c r="W16" i="8" s="1"/>
  <c r="M37" i="8"/>
  <c r="W37" i="8" s="1"/>
  <c r="X78" i="8"/>
  <c r="L21" i="8"/>
  <c r="V21" i="8" s="1"/>
  <c r="L28" i="8"/>
  <c r="V28" i="8" s="1"/>
  <c r="L33" i="8"/>
  <c r="V33" i="8" s="1"/>
  <c r="L23" i="8"/>
  <c r="V23" i="8" s="1"/>
  <c r="D17" i="24"/>
  <c r="X67" i="8"/>
  <c r="X57" i="8"/>
  <c r="X63" i="8"/>
  <c r="M33" i="8"/>
  <c r="W33" i="8" s="1"/>
  <c r="M21" i="8"/>
  <c r="W21" i="8" s="1"/>
  <c r="M23" i="8"/>
  <c r="W23" i="8" s="1"/>
  <c r="M28" i="8"/>
  <c r="W28" i="8" s="1"/>
  <c r="M32" i="8"/>
  <c r="W32" i="8" s="1"/>
  <c r="M84" i="8"/>
  <c r="W84" i="8" s="1"/>
  <c r="M8" i="8"/>
  <c r="W8" i="8" s="1"/>
  <c r="M20" i="8"/>
  <c r="W20" i="8" s="1"/>
  <c r="M43" i="8"/>
  <c r="W43" i="8" s="1"/>
  <c r="X54" i="8"/>
  <c r="N51" i="8"/>
  <c r="Y51" i="8" s="1"/>
  <c r="N55" i="8"/>
  <c r="Y55" i="8" s="1"/>
  <c r="J16" i="24"/>
  <c r="G16" i="24"/>
  <c r="E13" i="22"/>
  <c r="I38" i="21" s="1"/>
  <c r="J15" i="20" s="1"/>
  <c r="L86" i="8"/>
  <c r="V86" i="8" s="1"/>
  <c r="L82" i="8"/>
  <c r="V82" i="8" s="1"/>
  <c r="L56" i="8"/>
  <c r="V56" i="8" s="1"/>
  <c r="L37" i="8"/>
  <c r="V37" i="8" s="1"/>
  <c r="L26" i="8"/>
  <c r="V26" i="8" s="1"/>
  <c r="L4" i="8"/>
  <c r="V4" i="8" s="1"/>
  <c r="L5" i="8"/>
  <c r="V5" i="8" s="1"/>
  <c r="L75" i="8"/>
  <c r="V75" i="8" s="1"/>
  <c r="L68" i="8"/>
  <c r="V68" i="8" s="1"/>
  <c r="L50" i="8"/>
  <c r="V50" i="8" s="1"/>
  <c r="L59" i="8"/>
  <c r="V59" i="8" s="1"/>
  <c r="L18" i="8"/>
  <c r="V18" i="8" s="1"/>
  <c r="L47" i="8"/>
  <c r="V47" i="8" s="1"/>
  <c r="L30" i="8"/>
  <c r="V30" i="8" s="1"/>
  <c r="X30" i="8" s="1"/>
  <c r="L71" i="8"/>
  <c r="V71" i="8" s="1"/>
  <c r="X71" i="8" s="1"/>
  <c r="D14" i="24"/>
  <c r="L48" i="8"/>
  <c r="V48" i="8" s="1"/>
  <c r="L62" i="8"/>
  <c r="V62" i="8" s="1"/>
  <c r="L24" i="8"/>
  <c r="V24" i="8" s="1"/>
  <c r="L39" i="8"/>
  <c r="V39" i="8" s="1"/>
  <c r="L80" i="8"/>
  <c r="V80" i="8" s="1"/>
  <c r="X80" i="8" s="1"/>
  <c r="L77" i="8"/>
  <c r="V77" i="8" s="1"/>
  <c r="L66" i="8"/>
  <c r="V66" i="8" s="1"/>
  <c r="L34" i="8"/>
  <c r="V34" i="8" s="1"/>
  <c r="L16" i="8"/>
  <c r="V16" i="8" s="1"/>
  <c r="L44" i="8"/>
  <c r="V44" i="8" s="1"/>
  <c r="L64" i="8"/>
  <c r="V64" i="8" s="1"/>
  <c r="L22" i="8"/>
  <c r="V22" i="8" s="1"/>
  <c r="X24" i="8" l="1"/>
  <c r="F12" i="22" s="1"/>
  <c r="I32" i="21" s="1"/>
  <c r="X5" i="8"/>
  <c r="X37" i="8"/>
  <c r="X64" i="8"/>
  <c r="F24" i="22"/>
  <c r="I88" i="21" s="1"/>
  <c r="F27" i="22"/>
  <c r="I103" i="21" s="1"/>
  <c r="X66" i="8"/>
  <c r="F22" i="22" s="1"/>
  <c r="I80" i="21" s="1"/>
  <c r="X59" i="8"/>
  <c r="F20" i="22" s="1"/>
  <c r="I72" i="21" s="1"/>
  <c r="X56" i="8"/>
  <c r="F19" i="22" s="1"/>
  <c r="I68" i="21" s="1"/>
  <c r="X77" i="8"/>
  <c r="F26" i="22" s="1"/>
  <c r="I98" i="21" s="1"/>
  <c r="X44" i="8"/>
  <c r="X62" i="8"/>
  <c r="F21" i="22" s="1"/>
  <c r="I76" i="21" s="1"/>
  <c r="X50" i="8"/>
  <c r="F18" i="22" s="1"/>
  <c r="I64" i="21" s="1"/>
  <c r="X4" i="8"/>
  <c r="X82" i="8"/>
  <c r="X8" i="8"/>
  <c r="B13" i="18" s="1"/>
  <c r="E13" i="18" s="1"/>
  <c r="G13" i="18" s="1"/>
  <c r="D38" i="18" s="1"/>
  <c r="X68" i="8"/>
  <c r="F23" i="22" s="1"/>
  <c r="I84" i="21" s="1"/>
  <c r="X23" i="8"/>
  <c r="X16" i="8"/>
  <c r="F10" i="22" s="1"/>
  <c r="I19" i="21" s="1"/>
  <c r="X48" i="8"/>
  <c r="X47" i="8"/>
  <c r="X34" i="8"/>
  <c r="F15" i="22" s="1"/>
  <c r="I49" i="21" s="1"/>
  <c r="X21" i="8"/>
  <c r="X84" i="8"/>
  <c r="X26" i="8"/>
  <c r="X86" i="8"/>
  <c r="F29" i="22" s="1"/>
  <c r="I109" i="21" s="1"/>
  <c r="G19" i="24"/>
  <c r="J19" i="24"/>
  <c r="I54" i="8"/>
  <c r="S54" i="8" s="1"/>
  <c r="I85" i="8"/>
  <c r="S85" i="8" s="1"/>
  <c r="X32" i="8"/>
  <c r="X20" i="8"/>
  <c r="J25" i="24"/>
  <c r="G25" i="24"/>
  <c r="X22" i="8"/>
  <c r="X39" i="8"/>
  <c r="H86" i="8"/>
  <c r="R86" i="8" s="1"/>
  <c r="H80" i="8"/>
  <c r="R80" i="8" s="1"/>
  <c r="H62" i="8"/>
  <c r="R62" i="8" s="1"/>
  <c r="H26" i="8"/>
  <c r="R26" i="8" s="1"/>
  <c r="H16" i="8"/>
  <c r="R16" i="8" s="1"/>
  <c r="H30" i="8"/>
  <c r="R30" i="8" s="1"/>
  <c r="H34" i="8"/>
  <c r="R34" i="8" s="1"/>
  <c r="H82" i="8"/>
  <c r="R82" i="8" s="1"/>
  <c r="H77" i="8"/>
  <c r="R77" i="8" s="1"/>
  <c r="H68" i="8"/>
  <c r="R68" i="8" s="1"/>
  <c r="H39" i="8"/>
  <c r="R39" i="8" s="1"/>
  <c r="H64" i="8"/>
  <c r="R64" i="8" s="1"/>
  <c r="H4" i="8"/>
  <c r="R4" i="8" s="1"/>
  <c r="H48" i="8"/>
  <c r="R48" i="8" s="1"/>
  <c r="H47" i="8"/>
  <c r="R47" i="8" s="1"/>
  <c r="H71" i="8"/>
  <c r="R71" i="8" s="1"/>
  <c r="H5" i="8"/>
  <c r="R5" i="8" s="1"/>
  <c r="H24" i="8"/>
  <c r="R24" i="8" s="1"/>
  <c r="H56" i="8"/>
  <c r="R56" i="8" s="1"/>
  <c r="H59" i="8"/>
  <c r="R59" i="8" s="1"/>
  <c r="H18" i="8"/>
  <c r="R18" i="8" s="1"/>
  <c r="H75" i="8"/>
  <c r="R75" i="8" s="1"/>
  <c r="H66" i="8"/>
  <c r="R66" i="8" s="1"/>
  <c r="H37" i="8"/>
  <c r="R37" i="8" s="1"/>
  <c r="H22" i="8"/>
  <c r="R22" i="8" s="1"/>
  <c r="H44" i="8"/>
  <c r="R44" i="8" s="1"/>
  <c r="H50" i="8"/>
  <c r="R50" i="8" s="1"/>
  <c r="E14" i="24"/>
  <c r="X18" i="8"/>
  <c r="X75" i="8"/>
  <c r="F25" i="22" s="1"/>
  <c r="I95" i="21" s="1"/>
  <c r="X33" i="8"/>
  <c r="X43" i="8"/>
  <c r="J10" i="21"/>
  <c r="J7" i="20"/>
  <c r="J28" i="24"/>
  <c r="N41" i="8" s="1"/>
  <c r="Y41" i="8" s="1"/>
  <c r="I41" i="8"/>
  <c r="S41" i="8" s="1"/>
  <c r="G28" i="24"/>
  <c r="K41" i="8" s="1"/>
  <c r="U41" i="8" s="1"/>
  <c r="G4" i="24"/>
  <c r="J4" i="24"/>
  <c r="H33" i="8"/>
  <c r="R33" i="8" s="1"/>
  <c r="H28" i="8"/>
  <c r="R28" i="8" s="1"/>
  <c r="H21" i="8"/>
  <c r="R21" i="8" s="1"/>
  <c r="H23" i="8"/>
  <c r="R23" i="8" s="1"/>
  <c r="E17" i="24"/>
  <c r="X28" i="8"/>
  <c r="H84" i="8"/>
  <c r="R84" i="8" s="1"/>
  <c r="H43" i="8"/>
  <c r="R43" i="8" s="1"/>
  <c r="H32" i="8"/>
  <c r="R32" i="8" s="1"/>
  <c r="H20" i="8"/>
  <c r="R20" i="8" s="1"/>
  <c r="H8" i="8"/>
  <c r="R8" i="8" s="1"/>
  <c r="E18" i="24"/>
  <c r="H42" i="8"/>
  <c r="R42" i="8" s="1"/>
  <c r="E26" i="24"/>
  <c r="I81" i="8"/>
  <c r="S81" i="8" s="1"/>
  <c r="I72" i="8"/>
  <c r="S72" i="8" s="1"/>
  <c r="I58" i="8"/>
  <c r="S58" i="8" s="1"/>
  <c r="I17" i="8"/>
  <c r="S17" i="8" s="1"/>
  <c r="I27" i="8"/>
  <c r="S27" i="8" s="1"/>
  <c r="I49" i="8"/>
  <c r="S49" i="8" s="1"/>
  <c r="I19" i="8"/>
  <c r="S19" i="8" s="1"/>
  <c r="I76" i="8"/>
  <c r="S76" i="8" s="1"/>
  <c r="J13" i="24"/>
  <c r="I31" i="8"/>
  <c r="S31" i="8" s="1"/>
  <c r="I60" i="8"/>
  <c r="S60" i="8" s="1"/>
  <c r="I25" i="8"/>
  <c r="S25" i="8" s="1"/>
  <c r="I40" i="8"/>
  <c r="S40" i="8" s="1"/>
  <c r="I83" i="8"/>
  <c r="S83" i="8" s="1"/>
  <c r="I67" i="8"/>
  <c r="S67" i="8" s="1"/>
  <c r="G13" i="24"/>
  <c r="I61" i="8"/>
  <c r="S61" i="8" s="1"/>
  <c r="I10" i="8"/>
  <c r="S10" i="8" s="1"/>
  <c r="I63" i="8"/>
  <c r="S63" i="8" s="1"/>
  <c r="I45" i="8"/>
  <c r="S45" i="8" s="1"/>
  <c r="I87" i="8"/>
  <c r="S87" i="8" s="1"/>
  <c r="I78" i="8"/>
  <c r="S78" i="8" s="1"/>
  <c r="I69" i="8"/>
  <c r="S69" i="8" s="1"/>
  <c r="I65" i="8"/>
  <c r="S65" i="8" s="1"/>
  <c r="I35" i="8"/>
  <c r="S35" i="8" s="1"/>
  <c r="I38" i="8"/>
  <c r="S38" i="8" s="1"/>
  <c r="I46" i="8"/>
  <c r="S46" i="8" s="1"/>
  <c r="I57" i="8"/>
  <c r="S57" i="8" s="1"/>
  <c r="B38" i="18" l="1"/>
  <c r="F28" i="22"/>
  <c r="I106" i="21" s="1"/>
  <c r="F17" i="22"/>
  <c r="I59" i="21" s="1"/>
  <c r="B30" i="18"/>
  <c r="E30" i="18" s="1"/>
  <c r="G30" i="18" s="1"/>
  <c r="F5" i="22"/>
  <c r="I11" i="21" s="1"/>
  <c r="B4" i="18"/>
  <c r="E4" i="18" s="1"/>
  <c r="I4" i="18" s="1"/>
  <c r="K4" i="18" s="1"/>
  <c r="F11" i="22"/>
  <c r="I23" i="21" s="1"/>
  <c r="F16" i="22"/>
  <c r="I53" i="21" s="1"/>
  <c r="B29" i="18"/>
  <c r="N54" i="8"/>
  <c r="Y54" i="8" s="1"/>
  <c r="N85" i="8"/>
  <c r="Y85" i="8" s="1"/>
  <c r="F13" i="22"/>
  <c r="I39" i="21" s="1"/>
  <c r="I43" i="8"/>
  <c r="S43" i="8" s="1"/>
  <c r="I84" i="8"/>
  <c r="S84" i="8" s="1"/>
  <c r="J18" i="24"/>
  <c r="G18" i="24"/>
  <c r="I32" i="8"/>
  <c r="S32" i="8" s="1"/>
  <c r="I8" i="8"/>
  <c r="S8" i="8" s="1"/>
  <c r="I20" i="8"/>
  <c r="S20" i="8" s="1"/>
  <c r="J17" i="24"/>
  <c r="G17" i="24"/>
  <c r="I28" i="8"/>
  <c r="S28" i="8" s="1"/>
  <c r="I33" i="8"/>
  <c r="S33" i="8" s="1"/>
  <c r="I21" i="8"/>
  <c r="S21" i="8" s="1"/>
  <c r="I23" i="8"/>
  <c r="S23" i="8" s="1"/>
  <c r="I86" i="8"/>
  <c r="S86" i="8" s="1"/>
  <c r="I80" i="8"/>
  <c r="S80" i="8" s="1"/>
  <c r="I75" i="8"/>
  <c r="S75" i="8" s="1"/>
  <c r="I71" i="8"/>
  <c r="S71" i="8" s="1"/>
  <c r="I26" i="8"/>
  <c r="S26" i="8" s="1"/>
  <c r="I18" i="8"/>
  <c r="S18" i="8" s="1"/>
  <c r="I5" i="8"/>
  <c r="S5" i="8" s="1"/>
  <c r="I56" i="8"/>
  <c r="S56" i="8" s="1"/>
  <c r="G14" i="24"/>
  <c r="I82" i="8"/>
  <c r="S82" i="8" s="1"/>
  <c r="I66" i="8"/>
  <c r="S66" i="8" s="1"/>
  <c r="I39" i="8"/>
  <c r="S39" i="8" s="1"/>
  <c r="I34" i="8"/>
  <c r="S34" i="8" s="1"/>
  <c r="I50" i="8"/>
  <c r="S50" i="8" s="1"/>
  <c r="I47" i="8"/>
  <c r="S47" i="8" s="1"/>
  <c r="J14" i="24"/>
  <c r="I77" i="8"/>
  <c r="S77" i="8" s="1"/>
  <c r="I62" i="8"/>
  <c r="S62" i="8" s="1"/>
  <c r="I24" i="8"/>
  <c r="S24" i="8" s="1"/>
  <c r="I44" i="8"/>
  <c r="S44" i="8" s="1"/>
  <c r="I16" i="8"/>
  <c r="S16" i="8" s="1"/>
  <c r="I48" i="8"/>
  <c r="S48" i="8" s="1"/>
  <c r="I30" i="8"/>
  <c r="S30" i="8" s="1"/>
  <c r="I68" i="8"/>
  <c r="S68" i="8" s="1"/>
  <c r="I59" i="8"/>
  <c r="S59" i="8" s="1"/>
  <c r="I64" i="8"/>
  <c r="S64" i="8" s="1"/>
  <c r="I22" i="8"/>
  <c r="S22" i="8" s="1"/>
  <c r="I37" i="8"/>
  <c r="S37" i="8" s="1"/>
  <c r="I4" i="8"/>
  <c r="S4" i="8" s="1"/>
  <c r="N81" i="8"/>
  <c r="Y81" i="8" s="1"/>
  <c r="N57" i="8"/>
  <c r="Y57" i="8" s="1"/>
  <c r="N65" i="8"/>
  <c r="Y65" i="8" s="1"/>
  <c r="N49" i="8"/>
  <c r="Y49" i="8" s="1"/>
  <c r="N35" i="8"/>
  <c r="Y35" i="8" s="1"/>
  <c r="N38" i="8"/>
  <c r="Y38" i="8" s="1"/>
  <c r="N83" i="8"/>
  <c r="Y83" i="8" s="1"/>
  <c r="N72" i="8"/>
  <c r="Y72" i="8" s="1"/>
  <c r="N46" i="8"/>
  <c r="Y46" i="8" s="1"/>
  <c r="N61" i="8"/>
  <c r="Y61" i="8" s="1"/>
  <c r="N25" i="8"/>
  <c r="Y25" i="8" s="1"/>
  <c r="N19" i="8"/>
  <c r="Y19" i="8" s="1"/>
  <c r="N87" i="8"/>
  <c r="Y87" i="8" s="1"/>
  <c r="N76" i="8"/>
  <c r="Y76" i="8" s="1"/>
  <c r="N67" i="8"/>
  <c r="Y67" i="8" s="1"/>
  <c r="N17" i="8"/>
  <c r="Y17" i="8" s="1"/>
  <c r="N58" i="8"/>
  <c r="Y58" i="8" s="1"/>
  <c r="N60" i="8"/>
  <c r="Y60" i="8" s="1"/>
  <c r="N40" i="8"/>
  <c r="Y40" i="8" s="1"/>
  <c r="N78" i="8"/>
  <c r="Y78" i="8" s="1"/>
  <c r="N69" i="8"/>
  <c r="Y69" i="8" s="1"/>
  <c r="N63" i="8"/>
  <c r="Y63" i="8" s="1"/>
  <c r="N10" i="8"/>
  <c r="Y10" i="8" s="1"/>
  <c r="N45" i="8"/>
  <c r="Y45" i="8" s="1"/>
  <c r="N31" i="8"/>
  <c r="Y31" i="8" s="1"/>
  <c r="N27" i="8"/>
  <c r="Y27" i="8" s="1"/>
  <c r="J87" i="20"/>
  <c r="L87" i="20" s="1"/>
  <c r="B6" i="25" s="1"/>
  <c r="L7" i="20"/>
  <c r="L8" i="20" s="1"/>
  <c r="L9" i="20" s="1"/>
  <c r="L10" i="20" s="1"/>
  <c r="L11" i="20" s="1"/>
  <c r="L12" i="20" s="1"/>
  <c r="L13" i="20" s="1"/>
  <c r="L14" i="20" s="1"/>
  <c r="L15" i="20" s="1"/>
  <c r="L16" i="20" s="1"/>
  <c r="L17" i="20" s="1"/>
  <c r="L18" i="20" s="1"/>
  <c r="L19" i="20" s="1"/>
  <c r="L20" i="20" s="1"/>
  <c r="L21" i="20" s="1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B42" i="18"/>
  <c r="E42" i="18" s="1"/>
  <c r="G42" i="18" s="1"/>
  <c r="F14" i="22"/>
  <c r="I43" i="21" s="1"/>
  <c r="K54" i="8"/>
  <c r="U54" i="8" s="1"/>
  <c r="K85" i="8"/>
  <c r="U85" i="8" s="1"/>
  <c r="B47" i="18"/>
  <c r="E47" i="18" s="1"/>
  <c r="G47" i="18" s="1"/>
  <c r="K87" i="8"/>
  <c r="U87" i="8" s="1"/>
  <c r="K76" i="8"/>
  <c r="U76" i="8" s="1"/>
  <c r="K40" i="8"/>
  <c r="U40" i="8" s="1"/>
  <c r="K25" i="8"/>
  <c r="U25" i="8" s="1"/>
  <c r="K45" i="8"/>
  <c r="U45" i="8" s="1"/>
  <c r="K61" i="8"/>
  <c r="U61" i="8" s="1"/>
  <c r="K46" i="8"/>
  <c r="U46" i="8" s="1"/>
  <c r="K78" i="8"/>
  <c r="U78" i="8" s="1"/>
  <c r="K69" i="8"/>
  <c r="U69" i="8" s="1"/>
  <c r="K19" i="8"/>
  <c r="U19" i="8" s="1"/>
  <c r="K17" i="8"/>
  <c r="U17" i="8" s="1"/>
  <c r="K27" i="8"/>
  <c r="U27" i="8" s="1"/>
  <c r="K58" i="8"/>
  <c r="U58" i="8" s="1"/>
  <c r="K81" i="8"/>
  <c r="U81" i="8" s="1"/>
  <c r="K67" i="8"/>
  <c r="U67" i="8" s="1"/>
  <c r="K31" i="8"/>
  <c r="U31" i="8" s="1"/>
  <c r="K63" i="8"/>
  <c r="U63" i="8" s="1"/>
  <c r="K10" i="8"/>
  <c r="U10" i="8" s="1"/>
  <c r="K49" i="8"/>
  <c r="U49" i="8" s="1"/>
  <c r="K83" i="8"/>
  <c r="U83" i="8" s="1"/>
  <c r="K72" i="8"/>
  <c r="U72" i="8" s="1"/>
  <c r="K60" i="8"/>
  <c r="U60" i="8" s="1"/>
  <c r="K35" i="8"/>
  <c r="U35" i="8" s="1"/>
  <c r="K57" i="8"/>
  <c r="U57" i="8" s="1"/>
  <c r="K65" i="8"/>
  <c r="U65" i="8" s="1"/>
  <c r="K38" i="8"/>
  <c r="U38" i="8" s="1"/>
  <c r="I42" i="8"/>
  <c r="S42" i="8" s="1"/>
  <c r="G26" i="24"/>
  <c r="K42" i="8" s="1"/>
  <c r="U42" i="8" s="1"/>
  <c r="J26" i="24"/>
  <c r="N42" i="8" s="1"/>
  <c r="Y42" i="8" s="1"/>
  <c r="E38" i="18"/>
  <c r="G38" i="18" s="1"/>
  <c r="J11" i="2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l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95" i="21" s="1"/>
  <c r="J96" i="21" s="1"/>
  <c r="J97" i="21" s="1"/>
  <c r="J98" i="21" s="1"/>
  <c r="J99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J110" i="21" s="1"/>
  <c r="J111" i="21" s="1"/>
  <c r="J112" i="21" s="1"/>
  <c r="J113" i="21" s="1"/>
  <c r="J114" i="21" s="1"/>
  <c r="G4" i="18"/>
  <c r="D29" i="18" s="1"/>
  <c r="E29" i="18" s="1"/>
  <c r="I134" i="21"/>
  <c r="J134" i="21" s="1"/>
  <c r="B7" i="25" s="1"/>
  <c r="E6" i="25" s="1"/>
  <c r="D5" i="25"/>
  <c r="N43" i="8"/>
  <c r="Y43" i="8" s="1"/>
  <c r="N32" i="8"/>
  <c r="Y32" i="8" s="1"/>
  <c r="N20" i="8"/>
  <c r="Y20" i="8" s="1"/>
  <c r="N84" i="8"/>
  <c r="Y84" i="8" s="1"/>
  <c r="N8" i="8"/>
  <c r="Y8" i="8" s="1"/>
  <c r="N23" i="8"/>
  <c r="Y23" i="8" s="1"/>
  <c r="N28" i="8"/>
  <c r="Y28" i="8" s="1"/>
  <c r="N33" i="8"/>
  <c r="Y33" i="8" s="1"/>
  <c r="N21" i="8"/>
  <c r="Y21" i="8" s="1"/>
  <c r="K84" i="8"/>
  <c r="U84" i="8" s="1"/>
  <c r="K32" i="8"/>
  <c r="U32" i="8" s="1"/>
  <c r="K20" i="8"/>
  <c r="U20" i="8" s="1"/>
  <c r="K8" i="8"/>
  <c r="U8" i="8" s="1"/>
  <c r="K43" i="8"/>
  <c r="U43" i="8" s="1"/>
  <c r="K86" i="8"/>
  <c r="U86" i="8" s="1"/>
  <c r="K80" i="8"/>
  <c r="U80" i="8" s="1"/>
  <c r="K34" i="8"/>
  <c r="U34" i="8" s="1"/>
  <c r="K16" i="8"/>
  <c r="U16" i="8" s="1"/>
  <c r="K44" i="8"/>
  <c r="U44" i="8" s="1"/>
  <c r="K82" i="8"/>
  <c r="U82" i="8" s="1"/>
  <c r="K75" i="8"/>
  <c r="U75" i="8" s="1"/>
  <c r="K66" i="8"/>
  <c r="U66" i="8" s="1"/>
  <c r="K37" i="8"/>
  <c r="U37" i="8" s="1"/>
  <c r="K59" i="8"/>
  <c r="U59" i="8" s="1"/>
  <c r="K26" i="8"/>
  <c r="U26" i="8" s="1"/>
  <c r="K50" i="8"/>
  <c r="U50" i="8" s="1"/>
  <c r="K68" i="8"/>
  <c r="U68" i="8" s="1"/>
  <c r="K62" i="8"/>
  <c r="U62" i="8" s="1"/>
  <c r="K39" i="8"/>
  <c r="U39" i="8" s="1"/>
  <c r="K4" i="8"/>
  <c r="U4" i="8" s="1"/>
  <c r="K5" i="8"/>
  <c r="U5" i="8" s="1"/>
  <c r="K47" i="8"/>
  <c r="U47" i="8" s="1"/>
  <c r="K77" i="8"/>
  <c r="U77" i="8" s="1"/>
  <c r="K71" i="8"/>
  <c r="U71" i="8" s="1"/>
  <c r="K56" i="8"/>
  <c r="U56" i="8" s="1"/>
  <c r="K22" i="8"/>
  <c r="U22" i="8" s="1"/>
  <c r="K24" i="8"/>
  <c r="U24" i="8" s="1"/>
  <c r="K30" i="8"/>
  <c r="U30" i="8" s="1"/>
  <c r="K48" i="8"/>
  <c r="U48" i="8" s="1"/>
  <c r="K64" i="8"/>
  <c r="U64" i="8" s="1"/>
  <c r="K18" i="8"/>
  <c r="U18" i="8" s="1"/>
  <c r="N86" i="8"/>
  <c r="Y86" i="8" s="1"/>
  <c r="G29" i="22" s="1"/>
  <c r="N68" i="8"/>
  <c r="Y68" i="8" s="1"/>
  <c r="G23" i="22" s="1"/>
  <c r="N56" i="8"/>
  <c r="Y56" i="8" s="1"/>
  <c r="G19" i="22" s="1"/>
  <c r="N71" i="8"/>
  <c r="Y71" i="8" s="1"/>
  <c r="G24" i="22" s="1"/>
  <c r="N16" i="8"/>
  <c r="Y16" i="8" s="1"/>
  <c r="G10" i="22" s="1"/>
  <c r="N47" i="8"/>
  <c r="Y47" i="8" s="1"/>
  <c r="N26" i="8"/>
  <c r="Y26" i="8" s="1"/>
  <c r="N59" i="8"/>
  <c r="Y59" i="8" s="1"/>
  <c r="G20" i="22" s="1"/>
  <c r="N24" i="8"/>
  <c r="Y24" i="8" s="1"/>
  <c r="G12" i="22" s="1"/>
  <c r="N4" i="8"/>
  <c r="Y4" i="8" s="1"/>
  <c r="N18" i="8"/>
  <c r="Y18" i="8" s="1"/>
  <c r="N64" i="8"/>
  <c r="Y64" i="8" s="1"/>
  <c r="N80" i="8"/>
  <c r="Y80" i="8" s="1"/>
  <c r="G27" i="22" s="1"/>
  <c r="N75" i="8"/>
  <c r="Y75" i="8" s="1"/>
  <c r="G25" i="22" s="1"/>
  <c r="N66" i="8"/>
  <c r="Y66" i="8" s="1"/>
  <c r="N22" i="8"/>
  <c r="Y22" i="8" s="1"/>
  <c r="N50" i="8"/>
  <c r="Y50" i="8" s="1"/>
  <c r="G18" i="22" s="1"/>
  <c r="N5" i="8"/>
  <c r="Y5" i="8" s="1"/>
  <c r="N82" i="8"/>
  <c r="Y82" i="8" s="1"/>
  <c r="N77" i="8"/>
  <c r="Y77" i="8" s="1"/>
  <c r="G26" i="22" s="1"/>
  <c r="N48" i="8"/>
  <c r="Y48" i="8" s="1"/>
  <c r="N39" i="8"/>
  <c r="Y39" i="8" s="1"/>
  <c r="N62" i="8"/>
  <c r="Y62" i="8" s="1"/>
  <c r="G21" i="22" s="1"/>
  <c r="N37" i="8"/>
  <c r="Y37" i="8" s="1"/>
  <c r="N44" i="8"/>
  <c r="Y44" i="8" s="1"/>
  <c r="N30" i="8"/>
  <c r="Y30" i="8" s="1"/>
  <c r="N34" i="8"/>
  <c r="Y34" i="8" s="1"/>
  <c r="G15" i="22" s="1"/>
  <c r="K33" i="8"/>
  <c r="U33" i="8" s="1"/>
  <c r="K23" i="8"/>
  <c r="U23" i="8" s="1"/>
  <c r="K21" i="8"/>
  <c r="U21" i="8" s="1"/>
  <c r="K28" i="8"/>
  <c r="U28" i="8" s="1"/>
  <c r="I29" i="18" l="1"/>
  <c r="K29" i="18" s="1"/>
  <c r="G29" i="18"/>
  <c r="B8" i="25" s="1"/>
  <c r="G17" i="22"/>
  <c r="G14" i="22"/>
  <c r="G22" i="22"/>
  <c r="C4" i="25"/>
  <c r="G16" i="22"/>
  <c r="G28" i="22"/>
  <c r="G11" i="22"/>
  <c r="G13" i="22"/>
  <c r="G5" i="22"/>
  <c r="J5" i="22" s="1"/>
  <c r="J10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TARGET KEMBALI MODAL ASET ADALAH 47 BULAN ATAU KURLEB 4 TAHUN</t>
        </r>
      </text>
    </comment>
  </commentList>
</comments>
</file>

<file path=xl/sharedStrings.xml><?xml version="1.0" encoding="utf-8"?>
<sst xmlns="http://schemas.openxmlformats.org/spreadsheetml/2006/main" count="3034" uniqueCount="625">
  <si>
    <t>HARGA JUAL</t>
  </si>
  <si>
    <t>TANGGAL</t>
  </si>
  <si>
    <t>PRODUK KELUAR KE CUSTOMER</t>
  </si>
  <si>
    <t>NAMA PRODUK</t>
  </si>
  <si>
    <t>DATA MITRA EPC</t>
  </si>
  <si>
    <t>NAMA PEREKRUT</t>
  </si>
  <si>
    <t>NO HP/WA</t>
  </si>
  <si>
    <t>LEFT([@[NAMA RESELLER]];1)</t>
  </si>
  <si>
    <t>IFERROR(MID([@[NAMA RESELLER]];FIND(" ";[@[NAMA RESELLER]];1)+1;1);"")</t>
  </si>
  <si>
    <t>IFERROR(MID([@[NAMA RESELLER]];FIND(" ";[@[NAMA RESELLER]];FIND(" ";[@[NAMA RESELLER]];1)+1)+1;1);"")</t>
  </si>
  <si>
    <t>IFERROR(MID([@[NAMA RESELLER]];FIND(" ";[@[NAMA RESELLER]];FIND(" ";[@[NAMA RESELLER]];FIND(" ";[@[NAMA RESELLER]];1)+1)+1)+1;1);"")</t>
  </si>
  <si>
    <t>IFERROR(MID([@[NAMA RESELLER]];FIND(" ";[@[NAMA RESELLER]];FIND(" ";[@[NAMA RESELLER]];FIND(" ";[@[NAMA RESELLER]];FIND(" ";[@[NAMA RESELLER]];1)+1)+1)+1)+1;1);"")</t>
  </si>
  <si>
    <t>NURUL HIDAYATU SAMSIAH</t>
  </si>
  <si>
    <t>ULFA DWI LESTARI</t>
  </si>
  <si>
    <t>DENI</t>
  </si>
  <si>
    <t>IIS SUGIARTI</t>
  </si>
  <si>
    <t>085746323192</t>
  </si>
  <si>
    <t>CASH VALUE DAN LABA</t>
  </si>
  <si>
    <t>CAHYA GALLERY FOOD &amp; BEVERAGE</t>
  </si>
  <si>
    <t>SELISIH</t>
  </si>
  <si>
    <t>BURGER MEDIUM NUGGET AYAM</t>
  </si>
  <si>
    <t>TOTAL JUMLAH LABA</t>
  </si>
  <si>
    <t>TOTAL HARGA JUAL</t>
  </si>
  <si>
    <t>TOTAL SELISIH</t>
  </si>
  <si>
    <t>Column1</t>
  </si>
  <si>
    <t>NAMA CUSTOMER</t>
  </si>
  <si>
    <t>NO HP</t>
  </si>
  <si>
    <t>ALAMAT KIRIM</t>
  </si>
  <si>
    <t>NADIA</t>
  </si>
  <si>
    <t>PERUMNAS PANTI</t>
  </si>
  <si>
    <t xml:space="preserve"> NURUL HIDAYATU SAMSIAH</t>
  </si>
  <si>
    <t>FENI NURDIANA</t>
  </si>
  <si>
    <t>SMPN 1 PANTI</t>
  </si>
  <si>
    <t>YENI</t>
  </si>
  <si>
    <t>ANDRI ARIF CAHYONO</t>
  </si>
  <si>
    <t>GELUNDENGAN</t>
  </si>
  <si>
    <t>LIA</t>
  </si>
  <si>
    <t>PANTI</t>
  </si>
  <si>
    <t>FEBRI</t>
  </si>
  <si>
    <t>RENI DWI ANGGRAINI</t>
  </si>
  <si>
    <t>IFFAH FUAD</t>
  </si>
  <si>
    <t>PAKIS</t>
  </si>
  <si>
    <t>MUNAWIR</t>
  </si>
  <si>
    <t>SEJATI</t>
  </si>
  <si>
    <t>DEWI</t>
  </si>
  <si>
    <t>FEFEN</t>
  </si>
  <si>
    <t>AFFAN</t>
  </si>
  <si>
    <t>RINDA DWI</t>
  </si>
  <si>
    <t>MUNIK</t>
  </si>
  <si>
    <t>ARGOPURO</t>
  </si>
  <si>
    <t>JUMLAH TERJUAL</t>
  </si>
  <si>
    <t>JUMLAH TERKIRIM</t>
  </si>
  <si>
    <t>KOMISI UTAMA</t>
  </si>
  <si>
    <t>KOMISI CAMPURAN</t>
  </si>
  <si>
    <t>NAMA MITRA</t>
  </si>
  <si>
    <t>KODE MITRA</t>
  </si>
  <si>
    <t>SISA KOMISI</t>
  </si>
  <si>
    <t>TOTAL KOMISI</t>
  </si>
  <si>
    <t>REKAP KOMISI</t>
  </si>
  <si>
    <t>TAKE HOME KOMISI UTAMA</t>
  </si>
  <si>
    <t>STOK AKHIR</t>
  </si>
  <si>
    <t>BULAN</t>
  </si>
  <si>
    <t>RINCIAN</t>
  </si>
  <si>
    <t>DEBET</t>
  </si>
  <si>
    <t>KREDIT</t>
  </si>
  <si>
    <t>SALDO</t>
  </si>
  <si>
    <t>TOTAL</t>
  </si>
  <si>
    <t>TOTAL PENJUALAN</t>
  </si>
  <si>
    <t>TOTAL KOMISI UTAMA</t>
  </si>
  <si>
    <t>RISTA</t>
  </si>
  <si>
    <t>LUT</t>
  </si>
  <si>
    <t>AGUNG</t>
  </si>
  <si>
    <t>LABA BERSIH TOKO</t>
  </si>
  <si>
    <t>LABA BERSIH</t>
  </si>
  <si>
    <t>HARGA</t>
  </si>
  <si>
    <t>QTY (GRAM)</t>
  </si>
  <si>
    <t>QTY (PCS)</t>
  </si>
  <si>
    <t>SATUAN</t>
  </si>
  <si>
    <t>PEKAN</t>
  </si>
  <si>
    <t>QTY</t>
  </si>
  <si>
    <t>ADMIN</t>
  </si>
  <si>
    <t>ANI</t>
  </si>
  <si>
    <t>LILA</t>
  </si>
  <si>
    <t>NANDA</t>
  </si>
  <si>
    <t>INDAH</t>
  </si>
  <si>
    <t>NANDA TRIANA</t>
  </si>
  <si>
    <t>KEBONSARI</t>
  </si>
  <si>
    <t>SERUT</t>
  </si>
  <si>
    <t>LILA NURUL</t>
  </si>
  <si>
    <t>NANDA NURUL</t>
  </si>
  <si>
    <t>SHINTA</t>
  </si>
  <si>
    <t>ANA</t>
  </si>
  <si>
    <t>DEWI ZAKIYAH</t>
  </si>
  <si>
    <t>BANGSAL</t>
  </si>
  <si>
    <t>DEWI ZAKIYAH NURUL</t>
  </si>
  <si>
    <t>NORMA</t>
  </si>
  <si>
    <t>SISA AKHIR KOMISI</t>
  </si>
  <si>
    <t>TARIK KOMISI</t>
  </si>
  <si>
    <t>BURGER MEDIUM DAGING SAPI</t>
  </si>
  <si>
    <t>TOTAL LABA BERSIH TOKO</t>
  </si>
  <si>
    <t>ISA FEFEN</t>
  </si>
  <si>
    <t>FILLI</t>
  </si>
  <si>
    <t>JUM</t>
  </si>
  <si>
    <t>ROIK</t>
  </si>
  <si>
    <t>KALIWINING</t>
  </si>
  <si>
    <t>ROIK NURUL</t>
  </si>
  <si>
    <t>LABA KIRIM 8 %</t>
  </si>
  <si>
    <t>LABA MITRA 8 %</t>
  </si>
  <si>
    <t>PIZZA SIP 25 CM AYAM + JAMUR</t>
  </si>
  <si>
    <t>TAHUN</t>
  </si>
  <si>
    <t>KOMISI LAIN LAIN</t>
  </si>
  <si>
    <t>NILAI KOMISI LAIN LAIN</t>
  </si>
  <si>
    <t>NILAI SISA KOMISI</t>
  </si>
  <si>
    <t>MODAL</t>
  </si>
  <si>
    <t>TOTAL MODAL</t>
  </si>
  <si>
    <t>TOTAL MODAL DITAMBAH LABA</t>
  </si>
  <si>
    <t>MAS LUNG</t>
  </si>
  <si>
    <t>MBAK MITA</t>
  </si>
  <si>
    <t>LOJEJER</t>
  </si>
  <si>
    <t>DANI</t>
  </si>
  <si>
    <t>SAROH</t>
  </si>
  <si>
    <t>WELIJO</t>
  </si>
  <si>
    <t>KAS PERPUTARAN MODAL BERISI TANAM MODAL, MODAL KEMBALI</t>
  </si>
  <si>
    <t>ADEL</t>
  </si>
  <si>
    <t>MODAL KEMBALI KE PERUSAHAAN PRODUK OFF LINE</t>
  </si>
  <si>
    <t>BUDGET KOMISI</t>
  </si>
  <si>
    <t>MODAL DITAMBAH BUDGET KOMISI</t>
  </si>
  <si>
    <t>MODAL SETELAH DITAMBAH BUDGET KOMISI</t>
  </si>
  <si>
    <t>REKAP KEUANGAN</t>
  </si>
  <si>
    <t>URAIAN</t>
  </si>
  <si>
    <t>NILAI</t>
  </si>
  <si>
    <t>SALDO KAS TOKO</t>
  </si>
  <si>
    <t>SALDO KAS PERPUTARAN MODAL</t>
  </si>
  <si>
    <t>ULFA</t>
  </si>
  <si>
    <t>ULFA NURUL</t>
  </si>
  <si>
    <t>MASUK</t>
  </si>
  <si>
    <t>KELUAR</t>
  </si>
  <si>
    <t>SISA STOK</t>
  </si>
  <si>
    <t>NILAI SISA STOK</t>
  </si>
  <si>
    <t>ISI</t>
  </si>
  <si>
    <t>MODAL SATUAN</t>
  </si>
  <si>
    <t>MBAH TI</t>
  </si>
  <si>
    <t>PIT</t>
  </si>
  <si>
    <t>LIFAH</t>
  </si>
  <si>
    <t>STOK</t>
  </si>
  <si>
    <t>NILAI MASUK</t>
  </si>
  <si>
    <t>RASTI</t>
  </si>
  <si>
    <t>REVA</t>
  </si>
  <si>
    <t>RAISA</t>
  </si>
  <si>
    <t>NISA</t>
  </si>
  <si>
    <t>MANGLI</t>
  </si>
  <si>
    <t>ROTI MARYAM</t>
  </si>
  <si>
    <t>FIFIN</t>
  </si>
  <si>
    <t>KLOMPANGAN</t>
  </si>
  <si>
    <t>GULA NYES</t>
  </si>
  <si>
    <t>TOTAL SISA AKHIR KOMISI REKAP KOMISI</t>
  </si>
  <si>
    <t>PUTRA</t>
  </si>
  <si>
    <t>HARGA ASLI</t>
  </si>
  <si>
    <t>MODAL ASLI</t>
  </si>
  <si>
    <t>NILAI MASUK ASLI</t>
  </si>
  <si>
    <t>CASHBACK BELANJA</t>
  </si>
  <si>
    <t>QTY MASUK</t>
  </si>
  <si>
    <t>WIDYA</t>
  </si>
  <si>
    <t>OLIP</t>
  </si>
  <si>
    <t>ROTI ROCAS MEDIUM</t>
  </si>
  <si>
    <t>NOVEL</t>
  </si>
  <si>
    <t>LAILI</t>
  </si>
  <si>
    <t>PECORO</t>
  </si>
  <si>
    <t>CIK EN WA</t>
  </si>
  <si>
    <t>TANTE CHERY</t>
  </si>
  <si>
    <t>HANI</t>
  </si>
  <si>
    <t>SODONG</t>
  </si>
  <si>
    <t>HANI NURUL</t>
  </si>
  <si>
    <t>ADE</t>
  </si>
  <si>
    <t>AJUNG</t>
  </si>
  <si>
    <t>DIDIN</t>
  </si>
  <si>
    <t>IKLAN</t>
  </si>
  <si>
    <t>MBAK NURUL</t>
  </si>
  <si>
    <t>AMBULU</t>
  </si>
  <si>
    <t>ABIL</t>
  </si>
  <si>
    <t>BU NINING</t>
  </si>
  <si>
    <t>JENGGAWAH</t>
  </si>
  <si>
    <t>ENDAH</t>
  </si>
  <si>
    <t>TEGAL BESAR</t>
  </si>
  <si>
    <t>INTAN</t>
  </si>
  <si>
    <t>KEMUNING</t>
  </si>
  <si>
    <t>FIRA INTAN</t>
  </si>
  <si>
    <t>FIRA</t>
  </si>
  <si>
    <t>CAHYA GALLERY</t>
  </si>
  <si>
    <t>LUT CG</t>
  </si>
  <si>
    <t>ADE CG</t>
  </si>
  <si>
    <t>ADMIN CG</t>
  </si>
  <si>
    <t>AFFAN CG</t>
  </si>
  <si>
    <t>ANA CG</t>
  </si>
  <si>
    <t>PANI</t>
  </si>
  <si>
    <t>ANDRI ARIF CG</t>
  </si>
  <si>
    <t>BU NINING CG</t>
  </si>
  <si>
    <t>ANI CG</t>
  </si>
  <si>
    <t>CIK EN WA CG</t>
  </si>
  <si>
    <t>DIDIN CG</t>
  </si>
  <si>
    <t>ENDAH CG</t>
  </si>
  <si>
    <t>FEFEN CG</t>
  </si>
  <si>
    <t>FENI NURDIANA CG</t>
  </si>
  <si>
    <t>FIFIN CG</t>
  </si>
  <si>
    <t>INDAH CG</t>
  </si>
  <si>
    <t>JUM CG</t>
  </si>
  <si>
    <t>LILA CG</t>
  </si>
  <si>
    <t>MBAH TI CG</t>
  </si>
  <si>
    <t>MBAK NURUL CG</t>
  </si>
  <si>
    <t>MUNAWIR CG</t>
  </si>
  <si>
    <t>MUNIK CG</t>
  </si>
  <si>
    <t>NADIA CG</t>
  </si>
  <si>
    <t>NANDA CG</t>
  </si>
  <si>
    <t>NISA CG</t>
  </si>
  <si>
    <t>NORMA CG</t>
  </si>
  <si>
    <t>NOVEL CG</t>
  </si>
  <si>
    <t>OLIP CG</t>
  </si>
  <si>
    <t>PUTRA CG</t>
  </si>
  <si>
    <t>PIT CG</t>
  </si>
  <si>
    <t>RAISA CG</t>
  </si>
  <si>
    <t>RASTI CG</t>
  </si>
  <si>
    <t>REVA CG</t>
  </si>
  <si>
    <t>RINDA DWI CG</t>
  </si>
  <si>
    <t>ROIK CG</t>
  </si>
  <si>
    <t>SAROH CG</t>
  </si>
  <si>
    <t>SHINTA CG</t>
  </si>
  <si>
    <t>TANTE CHERY CG</t>
  </si>
  <si>
    <t>ULFA CG</t>
  </si>
  <si>
    <t>WIDYA CG</t>
  </si>
  <si>
    <t>YENI CG</t>
  </si>
  <si>
    <t>BURGER MEDIUM DAGING SAPI TANPA SAYUR</t>
  </si>
  <si>
    <t>TITIN</t>
  </si>
  <si>
    <t>SATREAN</t>
  </si>
  <si>
    <t>TITIN CG</t>
  </si>
  <si>
    <t xml:space="preserve">PUTRI </t>
  </si>
  <si>
    <t>PUTRI CG</t>
  </si>
  <si>
    <t>NUR PANTI</t>
  </si>
  <si>
    <t>HANI CG</t>
  </si>
  <si>
    <t>ADEL CG</t>
  </si>
  <si>
    <t>LAILI CG</t>
  </si>
  <si>
    <t>RINO</t>
  </si>
  <si>
    <t>RINO CG</t>
  </si>
  <si>
    <t>FERDI GOFOOD CG</t>
  </si>
  <si>
    <t>FERDI GOFOOD</t>
  </si>
  <si>
    <t>DARUNGAN</t>
  </si>
  <si>
    <t>GO FOOD</t>
  </si>
  <si>
    <t>ITA</t>
  </si>
  <si>
    <t>ITA CG</t>
  </si>
  <si>
    <t>TAWANG ALUN</t>
  </si>
  <si>
    <t>NUR</t>
  </si>
  <si>
    <t>NUR CG</t>
  </si>
  <si>
    <t>CINDY NUR</t>
  </si>
  <si>
    <t>CINDY CG</t>
  </si>
  <si>
    <t>ARSYIL</t>
  </si>
  <si>
    <t>ARSYIL CG</t>
  </si>
  <si>
    <t>ANGGI</t>
  </si>
  <si>
    <t>ANGGI CG</t>
  </si>
  <si>
    <t>ARSYA</t>
  </si>
  <si>
    <t>ARSYA CG</t>
  </si>
  <si>
    <t>TOTAL MODAL KEMBALI KE KAS PERPUTARAN MODAL</t>
  </si>
  <si>
    <t>PEMBAYARAN KOMISI UTAMA RESELLER</t>
  </si>
  <si>
    <t>BELANJA BAHAN (TERPERINCI DI DATA BAHAN MASUK)</t>
  </si>
  <si>
    <t>PEMINDAHAN MODAL KEMBALI</t>
  </si>
  <si>
    <t>CG</t>
  </si>
  <si>
    <t>VIA</t>
  </si>
  <si>
    <t>VIA CG</t>
  </si>
  <si>
    <t>PEMBAYARAN KOMISI CAMPURAN</t>
  </si>
  <si>
    <t>FATHUR CG</t>
  </si>
  <si>
    <t>FATHUR NURUL</t>
  </si>
  <si>
    <t>SHOBIR CG</t>
  </si>
  <si>
    <t>SHOBIR NURUL</t>
  </si>
  <si>
    <t>RAMBIPUJI</t>
  </si>
  <si>
    <t>GRESIK</t>
  </si>
  <si>
    <t>ZULAIKHA</t>
  </si>
  <si>
    <t>ZULAIKHA CG</t>
  </si>
  <si>
    <t>EVITA</t>
  </si>
  <si>
    <t>EVITA CG</t>
  </si>
  <si>
    <t>VEBRI</t>
  </si>
  <si>
    <t>VEBRI CG</t>
  </si>
  <si>
    <t>JUNA CG</t>
  </si>
  <si>
    <t>RISTA CG</t>
  </si>
  <si>
    <t>LABA MITRA 5 %</t>
  </si>
  <si>
    <t>LABA KIRIM 5 %</t>
  </si>
  <si>
    <t>TOTAL LABA MITRA 5%</t>
  </si>
  <si>
    <t>TOTAL LABA KIRIM 5%</t>
  </si>
  <si>
    <t>LILY CG</t>
  </si>
  <si>
    <t>CICI CG</t>
  </si>
  <si>
    <t>PETUNG</t>
  </si>
  <si>
    <t>SAOS KEJU</t>
  </si>
  <si>
    <t>UDANG</t>
  </si>
  <si>
    <t>KENTANG</t>
  </si>
  <si>
    <t>JAMUR</t>
  </si>
  <si>
    <t>BUDGET KOMISI RESELLER</t>
  </si>
  <si>
    <t>SELISIH/LABA BERSIH TOKO</t>
  </si>
  <si>
    <t>CAHYO CG</t>
  </si>
  <si>
    <t>YAYUK CG</t>
  </si>
  <si>
    <t>RARA CG</t>
  </si>
  <si>
    <t>TAMENGAN</t>
  </si>
  <si>
    <t>IM CG</t>
  </si>
  <si>
    <t>FINA CG</t>
  </si>
  <si>
    <t>ABIDZAR</t>
  </si>
  <si>
    <t>RIKA CG</t>
  </si>
  <si>
    <t>WULAN CG</t>
  </si>
  <si>
    <t>GLENGSERAN</t>
  </si>
  <si>
    <t>RARA GLENSERAN CG</t>
  </si>
  <si>
    <t>GIBRAN KHALFANI</t>
  </si>
  <si>
    <t>FINTA</t>
  </si>
  <si>
    <t>RAMBIGUNDAM</t>
  </si>
  <si>
    <t>AQEELA CG</t>
  </si>
  <si>
    <t>IZAH CG</t>
  </si>
  <si>
    <t>FEBY GIBRAN</t>
  </si>
  <si>
    <t>LELI</t>
  </si>
  <si>
    <t>LELI CG</t>
  </si>
  <si>
    <t>ROFIK CG</t>
  </si>
  <si>
    <t>BIBI CG</t>
  </si>
  <si>
    <t>ANI ANI</t>
  </si>
  <si>
    <t>LAILA CG</t>
  </si>
  <si>
    <t>KAS TOKO BERISI LABA BENSIH, LABA KARYAWAN, LABA ADMIN, LABA TOKO, LABA BERSIH</t>
  </si>
  <si>
    <t>VITA CG</t>
  </si>
  <si>
    <t>BAGAS CG</t>
  </si>
  <si>
    <t>ADIF CG</t>
  </si>
  <si>
    <t>SAOS TOMAT GRAM</t>
  </si>
  <si>
    <t>SAOS SAMBAL GRAM</t>
  </si>
  <si>
    <t>SAOS BBQ GRAM</t>
  </si>
  <si>
    <t>MAYONAIS GRAM</t>
  </si>
  <si>
    <t>SAOS SPAGHETI GRAM</t>
  </si>
  <si>
    <t>SAOS TOMAT SACHET</t>
  </si>
  <si>
    <t>SAOS SAMBAL SACHET</t>
  </si>
  <si>
    <t>KEJU SLICE MEDIUM SACHET</t>
  </si>
  <si>
    <t>NUGGET AYAM</t>
  </si>
  <si>
    <t>SOSIZ BATANG</t>
  </si>
  <si>
    <t>AYAM SUWIR</t>
  </si>
  <si>
    <t>KULIT KEBAB 19/20 CM</t>
  </si>
  <si>
    <t>ROTI BURGER MEDIUM</t>
  </si>
  <si>
    <t>TIMUN IRIS</t>
  </si>
  <si>
    <t>TOMAT IRIS</t>
  </si>
  <si>
    <t>SLADA</t>
  </si>
  <si>
    <t>MENTEGA</t>
  </si>
  <si>
    <t>GULA PASIR</t>
  </si>
  <si>
    <t>GARAM HALUS</t>
  </si>
  <si>
    <t>VERMIPAN</t>
  </si>
  <si>
    <t>SUSU BUBUK</t>
  </si>
  <si>
    <t>TEPUNG CAKRA KEMBAR</t>
  </si>
  <si>
    <t>TEPUNG SEGITIGA BIRU</t>
  </si>
  <si>
    <t>BASIL</t>
  </si>
  <si>
    <t>BAWANG BOMBAY</t>
  </si>
  <si>
    <t>ABON</t>
  </si>
  <si>
    <t>JAGUNG</t>
  </si>
  <si>
    <t>GAS ELPIJI</t>
  </si>
  <si>
    <t>AIR BIASA (CC/GRAM)</t>
  </si>
  <si>
    <t>AIR DINGIN (CC/GRAM)</t>
  </si>
  <si>
    <t>KERTAS NASI/BURGER</t>
  </si>
  <si>
    <t>KERTAS KEBAB</t>
  </si>
  <si>
    <t>KOTAK BURGER</t>
  </si>
  <si>
    <t>MISIS COKLAT</t>
  </si>
  <si>
    <t>KOTAK 18 CM</t>
  </si>
  <si>
    <t>KOTAK 21 CM</t>
  </si>
  <si>
    <t>KOTAK 26 CM</t>
  </si>
  <si>
    <t>TALI RAFIA</t>
  </si>
  <si>
    <t>KRESEK 15 CM</t>
  </si>
  <si>
    <t>KRESEK 10 CM</t>
  </si>
  <si>
    <t>KRESEK 20 CM</t>
  </si>
  <si>
    <t>KRESEK 23 CM</t>
  </si>
  <si>
    <t>KALDU JAMUR</t>
  </si>
  <si>
    <t>KRESEK 30 CM</t>
  </si>
  <si>
    <t>KRESEK 50 CM</t>
  </si>
  <si>
    <t>PEMASUKAN JUALAN ATAU PEMASUKAN KOTOR</t>
  </si>
  <si>
    <t>AIR PANAS (CC/GRAM)</t>
  </si>
  <si>
    <t>PLASTIK KLIP KECIL 10 CM</t>
  </si>
  <si>
    <t>PLASTIK KLIP SEDANG 13 CM</t>
  </si>
  <si>
    <t>PLASTIK KLIP BESAR 15 CM</t>
  </si>
  <si>
    <t>PLASTIK KLIP 20 CM</t>
  </si>
  <si>
    <t>BURGER MEDIUM NUGGET AYAM TANPA SAYUR</t>
  </si>
  <si>
    <t>KEBAB AYAM + SOSIZ (KECIL)</t>
  </si>
  <si>
    <t>KEBAB AYAM + SOSIZ (KECIL) PEDAS</t>
  </si>
  <si>
    <t>KEBAB AYAM + SOSIZ (KECIL) TANPA SAYUR EKSTRA AYAM</t>
  </si>
  <si>
    <t>KEBAB AYAM + SOSIZ (KECIL) TANPA SAYUR EKSTRA SOSIZ</t>
  </si>
  <si>
    <t>KEBAB AYAM + SOSIZ (MEDIUM)</t>
  </si>
  <si>
    <t>KEBAB AYAM + SOSIZ (MEDIUM) PEDAS</t>
  </si>
  <si>
    <t>KEBAB AYAM + SOSIZ (MEDIUM) TANPA SAYUR EKSTRA AYAM</t>
  </si>
  <si>
    <t>KEBAB AYAM + SOSIZ (MEIDUM) TANPA SAYUR EKSTRA SOSIZ</t>
  </si>
  <si>
    <t>KEBAB SOSIZ (KECIL)</t>
  </si>
  <si>
    <t>KEBAB SOSIZ (KECIL) PEDAS</t>
  </si>
  <si>
    <t>KEBAB SOSIZ (KECIL) PEDAS TANPA SAYUR EKSTRA SOSIZ</t>
  </si>
  <si>
    <t>KEBAB SOSIZ (KECIL) TANPA SAYUR EKSTRA SOSIZ</t>
  </si>
  <si>
    <t>PIZZA SIP 25 CM FULL SOSIZ + MOZZARELLA</t>
  </si>
  <si>
    <t>PIZZA SIP 25 CM JAGUNG + AYAM</t>
  </si>
  <si>
    <t>PIZZA SIP 25 CM KOREA SEKAT DASARAN AYAM+MOZZA</t>
  </si>
  <si>
    <t>PIZZA SIP 25 CM KOREA SEKAT DASARAN JAGUNG+MOZZA</t>
  </si>
  <si>
    <t>PIZZA SIP 25 CM KOREA TABUR</t>
  </si>
  <si>
    <t>PIZZA SIP 25 CM SOSIS + AYAM</t>
  </si>
  <si>
    <t>PIZZA YES 17 CM AYAM + JAMUR</t>
  </si>
  <si>
    <t>PIZZA YES 17 CM FULL SOSIZ + MOZZARELLA</t>
  </si>
  <si>
    <t>PIZZA YES 17 CM JAGUNG + AYAM</t>
  </si>
  <si>
    <t>PIZZA YES 17 CM KOREA SEKAT DASARAN AYAM+MOZZA</t>
  </si>
  <si>
    <t>PIZZA YES 17 CM KOREA SEKAT DASARAN JAGUNG+MOZZA</t>
  </si>
  <si>
    <t>PIZZA YES 17 CM KOREA TABUR</t>
  </si>
  <si>
    <t xml:space="preserve">PIZZA YES 17 CM SOSIS + AYAM </t>
  </si>
  <si>
    <t>PIZZA YUHU 21 CM AYAM + JAMUR</t>
  </si>
  <si>
    <t>PIZZA YUHU 21 CM FULL SOSIZ + MOZZARELLA</t>
  </si>
  <si>
    <t>PIZZA YUHU 21 CM JAGUNG + AYAM</t>
  </si>
  <si>
    <t>PIZZA YUHU 21 CM KOREA SEKAT DASARAN AYAM+MOZZA</t>
  </si>
  <si>
    <t>PIZZA YUHU 21 CM KOREA SEKAT DASARAN JAGUNG+MOZZA</t>
  </si>
  <si>
    <t>PIZZA YUHU 21 CM KOREA TABUR</t>
  </si>
  <si>
    <t xml:space="preserve">PIZZA YUHU 21 CM SOSIS + AYAM </t>
  </si>
  <si>
    <t>ROTI MARYAM COKLAT PAKET DOBEL KENYANG</t>
  </si>
  <si>
    <t>ROTI MARYAM COKLAT PAKET KENYANG</t>
  </si>
  <si>
    <t>ROTI MARYAM COKLAT SINGLE</t>
  </si>
  <si>
    <t>ROTI MARYAM ORI PAKET DOBEL KENYANG</t>
  </si>
  <si>
    <t>ROTI MARYAM ORI PAKET KENYANG</t>
  </si>
  <si>
    <t>ROTI MARYAM ORI SINGLE</t>
  </si>
  <si>
    <t>KERTAS BUNGKUS ROCAS</t>
  </si>
  <si>
    <t>RASYA CG</t>
  </si>
  <si>
    <t>DZIKRI</t>
  </si>
  <si>
    <t>JEMBER</t>
  </si>
  <si>
    <t>ANGEL</t>
  </si>
  <si>
    <t>DUKUHSIA</t>
  </si>
  <si>
    <t>FITRIA CG</t>
  </si>
  <si>
    <t>IFFA FUAD CG</t>
  </si>
  <si>
    <t>VEBRI VEBRI</t>
  </si>
  <si>
    <t>BU FAID NURUL</t>
  </si>
  <si>
    <t>BU RIRIN NURUL</t>
  </si>
  <si>
    <t>BU RANI NURUL</t>
  </si>
  <si>
    <t>PLASTIK KLIP 8 CM</t>
  </si>
  <si>
    <t>DIYAH</t>
  </si>
  <si>
    <t>BU RIRIN ANI</t>
  </si>
  <si>
    <t>BU URIP ANI</t>
  </si>
  <si>
    <t>KBS</t>
  </si>
  <si>
    <t>TALANGSARI</t>
  </si>
  <si>
    <t>BU AIS</t>
  </si>
  <si>
    <t>TK ABA</t>
  </si>
  <si>
    <t>ELY CG</t>
  </si>
  <si>
    <t>SULTON</t>
  </si>
  <si>
    <t>ZAMBI 10 CM SOSIZ+AYAM</t>
  </si>
  <si>
    <t>PAPRIKA GRAM</t>
  </si>
  <si>
    <t>FIRDAUS SEMPOL</t>
  </si>
  <si>
    <t>ANIK SUKORAMBI</t>
  </si>
  <si>
    <t>SUKORAMBI</t>
  </si>
  <si>
    <t>VITA</t>
  </si>
  <si>
    <t>RAMBIGUNDAN</t>
  </si>
  <si>
    <t>BU AMA</t>
  </si>
  <si>
    <t>MOM TJENDANI</t>
  </si>
  <si>
    <t>GALIH</t>
  </si>
  <si>
    <t>BU ZULIATI</t>
  </si>
  <si>
    <t>IIS</t>
  </si>
  <si>
    <t>MINYAK</t>
  </si>
  <si>
    <t>RIA NDU</t>
  </si>
  <si>
    <t>PAK MEGA</t>
  </si>
  <si>
    <t>SILO</t>
  </si>
  <si>
    <t>QEQEL</t>
  </si>
  <si>
    <t>QEELA</t>
  </si>
  <si>
    <t>BU ELIS</t>
  </si>
  <si>
    <t>BU RIRIS</t>
  </si>
  <si>
    <t>NOVI CG</t>
  </si>
  <si>
    <t>TOTAL BAHAN KELUAR</t>
  </si>
  <si>
    <t>NILAI BAHAN KELUAR</t>
  </si>
  <si>
    <t>CAHYA GALLERY FOOD AND BEVERAGE</t>
  </si>
  <si>
    <t>ZAMBI 10 CM DAGING SAPI</t>
  </si>
  <si>
    <t>NAMA BAHAN</t>
  </si>
  <si>
    <t>DAGING SAPI</t>
  </si>
  <si>
    <t>KODE BAHAN</t>
  </si>
  <si>
    <t>KEB. BAHAN</t>
  </si>
  <si>
    <t>JUMLAH KEB. BAHAN KELUAR</t>
  </si>
  <si>
    <t>WAJIB DIISI MANUAL BY DATA VALIDATION UNTUK MENAUTKAN JUMLAH PRODUK KELUAR</t>
  </si>
  <si>
    <t>INI AKAN TERISI OTOMATIS KETIKA JUMLAH PRODUK KELUAR PADA SHEET PRODUK KELUAR TELAH DIISI (PERHATIKAN BULAN KELUAR NYA)</t>
  </si>
  <si>
    <t>INGAT! SETIAP GANTI MENU/PRODUK MAKA NAMA PRODUK YG ADA DI DALAM RUMUS HARUS DIEDIT/DIGANTI</t>
  </si>
  <si>
    <t>KODE BAHAN WAJIB DIISI MANUAL UNTUK MENAMPILKAN NAMA BAHAN DAN KEBUTUHAN BAHAN</t>
  </si>
  <si>
    <t>RIA</t>
  </si>
  <si>
    <t>PIZZA SIP 25 CM MEAT LOVERS</t>
  </si>
  <si>
    <t>PIZZA YUHU 21 CM MEAT LOVERS</t>
  </si>
  <si>
    <t>PIZZA YES 17 CM MEAT LOVERS</t>
  </si>
  <si>
    <t>PIZZA SIP 25 CM SOSIS + ABON</t>
  </si>
  <si>
    <t>AKMAL</t>
  </si>
  <si>
    <t>PIZZA YES 17 CM SOSIS + ABON</t>
  </si>
  <si>
    <t>KEBAB AYAM MEDIUM</t>
  </si>
  <si>
    <t>KEBAB AYAM MEDIUM PEDAS</t>
  </si>
  <si>
    <t>KEBAB AYAM MEDIUM TANPA SAYUR</t>
  </si>
  <si>
    <t>KEBAB AYAM MEDIUM TANPA SAYUR PEDAS</t>
  </si>
  <si>
    <t>KEBAB AYAM (KECIL)</t>
  </si>
  <si>
    <t>KEBAB AYAM (KECIL) PEDAS</t>
  </si>
  <si>
    <t>KEBAB AYAM (KECIL) TANPA SAYUR</t>
  </si>
  <si>
    <t>KEBAB AYAM (KECIL) TANPA SAYUR PEDAS</t>
  </si>
  <si>
    <t>HAPPY</t>
  </si>
  <si>
    <t>LABA PENJUALAN</t>
  </si>
  <si>
    <t>INNEKE</t>
  </si>
  <si>
    <t>PIZZA KULIT KEBAB</t>
  </si>
  <si>
    <t>SUCI</t>
  </si>
  <si>
    <t>LINA NURUL</t>
  </si>
  <si>
    <t>NANDA MISS</t>
  </si>
  <si>
    <t>BU TJENDANI</t>
  </si>
  <si>
    <t>NISVI</t>
  </si>
  <si>
    <t>BURGER MEDIUM DAGING SAPI DOUBLE BEEF</t>
  </si>
  <si>
    <t>SISIL CG</t>
  </si>
  <si>
    <t>LINDA KIA DANU</t>
  </si>
  <si>
    <t>MBAK YANTI</t>
  </si>
  <si>
    <t>RAVINDA WIDYA</t>
  </si>
  <si>
    <t>BU FIKA</t>
  </si>
  <si>
    <t>NAMA</t>
  </si>
  <si>
    <t>KODE</t>
  </si>
  <si>
    <t>OVEN</t>
  </si>
  <si>
    <t>LOYANG</t>
  </si>
  <si>
    <t>JANGKA PENDEK</t>
  </si>
  <si>
    <t>JANGKA PANJANG</t>
  </si>
  <si>
    <t>PISAU PIZZA</t>
  </si>
  <si>
    <t>LAPTOP</t>
  </si>
  <si>
    <t>√</t>
  </si>
  <si>
    <t>BANNER</t>
  </si>
  <si>
    <t>BEDAK JUALAN</t>
  </si>
  <si>
    <t>WARUNG</t>
  </si>
  <si>
    <t>WASHTAFEL</t>
  </si>
  <si>
    <t>KULKAS</t>
  </si>
  <si>
    <t>BOX JUALAN</t>
  </si>
  <si>
    <t>KARET TALI</t>
  </si>
  <si>
    <t>WAKTU PEMBELIAN</t>
  </si>
  <si>
    <t>PINJAM UANG OWNER</t>
  </si>
  <si>
    <t>KOMPOR 2 TUNGKU RINNAI</t>
  </si>
  <si>
    <t>KOMPOR 1 TUNGKU RINNAI</t>
  </si>
  <si>
    <t>BENSIN BELANJA DAN KIRIM ORDERAN DAN PARKIR</t>
  </si>
  <si>
    <t>BESI KOMPOR 2 TUNGKU</t>
  </si>
  <si>
    <t>WASTAFEL KEDAI</t>
  </si>
  <si>
    <t>HAIKAL CG</t>
  </si>
  <si>
    <t>OZI</t>
  </si>
  <si>
    <t>CASHBACK BELANJA TGL 6 JANUARI 2025 DARI TOKO</t>
  </si>
  <si>
    <t>CASHBACK BELANJA TGL 6 JANUARI 2025</t>
  </si>
  <si>
    <t>KOMISI ANTAR ORDERAN</t>
  </si>
  <si>
    <t>NILAI ASET</t>
  </si>
  <si>
    <t>ANDRI MEMINJAMKAN UANG KE KAS TOKO PADA AGUSTUS 2025</t>
  </si>
  <si>
    <t>YUNI QEELA</t>
  </si>
  <si>
    <t>RAHMA RIRIS</t>
  </si>
  <si>
    <t>BU MURTI</t>
  </si>
  <si>
    <t>KEDAI CERIA</t>
  </si>
  <si>
    <t>BOTOL SAOS</t>
  </si>
  <si>
    <t>RAFA</t>
  </si>
  <si>
    <t>MIZAN CG</t>
  </si>
  <si>
    <t>OMZET JANUARI</t>
  </si>
  <si>
    <t>QIQI UDIN CG</t>
  </si>
  <si>
    <t>GLUNDENGAN</t>
  </si>
  <si>
    <t>MANDA</t>
  </si>
  <si>
    <t>TOTAL SELURUH KOMISI</t>
  </si>
  <si>
    <t>SISA SELURUH KOMISI</t>
  </si>
  <si>
    <t>KERTAS ROTI OVEN</t>
  </si>
  <si>
    <t>PEKAN 3</t>
  </si>
  <si>
    <t>UARAIAN</t>
  </si>
  <si>
    <t>KAS TOKO MENGEMBALIKAN PINJAMAN KEPADA ANDRI</t>
  </si>
  <si>
    <t>SISA PIUTANG</t>
  </si>
  <si>
    <t>ANDRI MEMINJAMKAN UANG KE KAS TOKO SEJAK 2021</t>
  </si>
  <si>
    <t>PERALATAN NGONTEN</t>
  </si>
  <si>
    <t>PERALATAN DAPUR GERAI</t>
  </si>
  <si>
    <t>NILAI OMZET HARIAN</t>
  </si>
  <si>
    <t>NILAI MODAL PER BULAN</t>
  </si>
  <si>
    <t>GAJI KARYAWAN PER BULAN</t>
  </si>
  <si>
    <t>OPERASIONAL PER BULAN</t>
  </si>
  <si>
    <t>LABA BERSIH PER BULAN</t>
  </si>
  <si>
    <t>GAJI OWNER PER BULAN</t>
  </si>
  <si>
    <t>BISMILLAH YA ALLAH</t>
  </si>
  <si>
    <t>NILAI OMZET PER BULAN (26 HARI)</t>
  </si>
  <si>
    <t>FREEZER</t>
  </si>
  <si>
    <t>PASANG LISTRIK</t>
  </si>
  <si>
    <t>KOMPOR</t>
  </si>
  <si>
    <t>ALAT MASAK</t>
  </si>
  <si>
    <t>GAZ</t>
  </si>
  <si>
    <t>YANG SUDAH TERHUTANG</t>
  </si>
  <si>
    <t>TARGET KEMBALI MODAL ASET</t>
  </si>
  <si>
    <t>KEBUTUHAN ASET</t>
  </si>
  <si>
    <t>MODAL ASET</t>
  </si>
  <si>
    <t>BUDGET KEMBALIKAN MODAL ASET</t>
  </si>
  <si>
    <t>BIKIN GERAI CABANG</t>
  </si>
  <si>
    <t>DISI</t>
  </si>
  <si>
    <t>MLOKO</t>
  </si>
  <si>
    <t xml:space="preserve">PIZZA YES 17 CM MEAT + AYAM </t>
  </si>
  <si>
    <t>PIZZA YUHU 21 CM MEAT + AYAM</t>
  </si>
  <si>
    <t>ANIS COKLATAN CG</t>
  </si>
  <si>
    <t>INUL CG</t>
  </si>
  <si>
    <t>UANG YANG HARUS ADA DI LACI GERAI</t>
  </si>
  <si>
    <t>RAHMA NURUL</t>
  </si>
  <si>
    <t>LEK LIS CG</t>
  </si>
  <si>
    <t>HASBY CG</t>
  </si>
  <si>
    <t>JUNI</t>
  </si>
  <si>
    <t>SISA SALDO DESEMBER 2025</t>
  </si>
  <si>
    <t>KULIT KEBAB 17/18 CM</t>
  </si>
  <si>
    <t>KEJU MOZZARELLA</t>
  </si>
  <si>
    <t>PERASA JAGUNG MANIS</t>
  </si>
  <si>
    <t>KOMISI BELANJA &amp; OLAH AYAM SUWIR</t>
  </si>
  <si>
    <t>PEMBAYARAN GAJI KARYAWAN</t>
  </si>
  <si>
    <t>KOMISI PENJUALAN UNTUK TOKO</t>
  </si>
  <si>
    <t>BOTOL SAOS KECIL</t>
  </si>
  <si>
    <t>GELAS UKUR KECIL</t>
  </si>
  <si>
    <t>GUNTING KECIL</t>
  </si>
  <si>
    <t>SARINGAN KRAN</t>
  </si>
  <si>
    <t>BELANJA ASET DAPUR</t>
  </si>
  <si>
    <t>JULI</t>
  </si>
  <si>
    <t>PEKAN 1</t>
  </si>
  <si>
    <t>BENSIN ANTAR ORDERAN</t>
  </si>
  <si>
    <t xml:space="preserve">KOMISI ANTAR ORDERAN </t>
  </si>
  <si>
    <t>KOMISI ANTAR ORDERAN &amp; BELANJA &amp; OLAH AYAM SUWIR</t>
  </si>
  <si>
    <t>UNTUK MENGGANTI BAHAN-BAHAN YANG RUSAK (TERPERINCI DI SHEET DATA BAHAN KELUAR)</t>
  </si>
  <si>
    <t>BAHAN RUSAK</t>
  </si>
  <si>
    <t>ANDRI MEMINJAMKAN MODAL KE KAS TOKO 4 JULI 2026</t>
  </si>
  <si>
    <t>DIPINJAMKAN KE KAS MODAL 17 JUNI 2026</t>
  </si>
  <si>
    <t>PINJAM MODAL DARI KAS TOKO 17 JUNI 2026</t>
  </si>
  <si>
    <t>BAHAN - BAHAN RUSAK GARANSI TOKO</t>
  </si>
  <si>
    <t>BENSIN ANTAR ORDERAN &amp; BELANJA &amp; PARKIR</t>
  </si>
  <si>
    <t>KOMISI ANTAR ORDERAN &amp; BELANJA</t>
  </si>
  <si>
    <t>PEKAN 2</t>
  </si>
  <si>
    <t>DIKEMBALIKAN PINJAMAN MODAL (PINJAM PADA ANDRI TGL 4 JULI 2026)</t>
  </si>
  <si>
    <t>KAS MODAL MENGEMBALIKAN PINJAMAN MODAL PADA KAS TOKO (PINJAM PADA ANDRI TGL 17 JUNI 2026)</t>
  </si>
  <si>
    <t>TARIK MODAL</t>
  </si>
  <si>
    <t>PARKIR</t>
  </si>
  <si>
    <t>DIKEMBALIKAN KE KAS TOKO PINJAMAN MODAL (TGL 17 JUNI 2026)</t>
  </si>
  <si>
    <t>PIZZA YUHU 21 CM SOSIS + ABON</t>
  </si>
  <si>
    <t>CAPIT UK 9 &amp; 12 &amp; 21</t>
  </si>
  <si>
    <t>BELANJA TISU</t>
  </si>
  <si>
    <t>KOMISI OLAH AYAM SUWIR</t>
  </si>
  <si>
    <t>PRODUK TDK LAKU</t>
  </si>
  <si>
    <t>DISKON JUMAT BERBAGI 5% DEPOSIT</t>
  </si>
  <si>
    <t>PEKAN 4</t>
  </si>
  <si>
    <t>CASHBACK BELANJA TGL 20 JULI 2026</t>
  </si>
  <si>
    <t>CASHBACK BELANJA TGL 25 JULI 2026</t>
  </si>
  <si>
    <t>BENSIN BELANJA DAN PARKIR DAN KIRIM ORDERAN</t>
  </si>
  <si>
    <t>CEMILAN KARYAWAN</t>
  </si>
  <si>
    <t>PEMINDAHAN MODAL KEMBALI DARI BAHAN TERJUAL KE TOKO</t>
  </si>
  <si>
    <t>SALARY KARYAWAN</t>
  </si>
  <si>
    <t>MIKA ROCAS MEDIUM</t>
  </si>
  <si>
    <t>ROCAS MEDIUM</t>
  </si>
  <si>
    <t>ROCAS MEDIUM 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</si>
</sst>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#,##0.0;[Red]#,##0.0"/>
    <numFmt numFmtId="166" formatCode="0.0"/>
  </numFmts>
  <fonts count="2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6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auto="1"/>
      </left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 style="slantDashDot">
        <color auto="1"/>
      </left>
      <right style="slantDashDot">
        <color auto="1"/>
      </right>
      <top/>
      <bottom/>
      <diagonal/>
    </border>
    <border>
      <left style="slantDashDot">
        <color auto="1"/>
      </left>
      <right style="slantDashDot">
        <color auto="1"/>
      </right>
      <top/>
      <bottom style="slantDashDot">
        <color auto="1"/>
      </bottom>
      <diagonal/>
    </border>
    <border>
      <left style="slantDashDot">
        <color auto="1"/>
      </left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 style="medium">
        <color auto="1"/>
      </right>
      <top style="slantDashDot">
        <color auto="1"/>
      </top>
      <bottom style="slantDashDot">
        <color auto="1"/>
      </bottom>
      <diagonal/>
    </border>
    <border>
      <left style="medium">
        <color auto="1"/>
      </left>
      <right style="medium">
        <color auto="1"/>
      </right>
      <top style="slantDashDot">
        <color auto="1"/>
      </top>
      <bottom style="slantDashDot">
        <color auto="1"/>
      </bottom>
      <diagonal/>
    </border>
    <border>
      <left style="medium">
        <color auto="1"/>
      </left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/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 style="medium">
        <color auto="1"/>
      </right>
      <top/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 style="medium">
        <color auto="1"/>
      </left>
      <right/>
      <top style="slantDashDot">
        <color auto="1"/>
      </top>
      <bottom style="slantDashDot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16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15" fontId="0" fillId="0" borderId="0" xfId="0" applyNumberFormat="1" applyAlignment="1">
      <alignment horizontal="center" vertical="center" wrapText="1"/>
    </xf>
    <xf numFmtId="164" fontId="0" fillId="0" borderId="0" xfId="0" applyNumberFormat="1"/>
    <xf numFmtId="164" fontId="0" fillId="3" borderId="2" xfId="0" applyNumberFormat="1" applyFill="1" applyBorder="1" applyAlignment="1">
      <alignment horizontal="center" vertical="center" wrapText="1"/>
    </xf>
    <xf numFmtId="0" fontId="0" fillId="0" borderId="8" xfId="0" applyBorder="1"/>
    <xf numFmtId="164" fontId="0" fillId="0" borderId="9" xfId="0" applyNumberFormat="1" applyBorder="1" applyAlignment="1">
      <alignment horizontal="right" wrapText="1"/>
    </xf>
    <xf numFmtId="164" fontId="0" fillId="0" borderId="12" xfId="0" applyNumberFormat="1" applyBorder="1" applyAlignment="1">
      <alignment horizontal="right" wrapText="1"/>
    </xf>
    <xf numFmtId="164" fontId="0" fillId="3" borderId="3" xfId="0" applyNumberForma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right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37" fontId="0" fillId="0" borderId="0" xfId="0" applyNumberFormat="1"/>
    <xf numFmtId="37" fontId="0" fillId="0" borderId="13" xfId="0" applyNumberFormat="1" applyBorder="1" applyAlignment="1">
      <alignment horizontal="right" wrapText="1"/>
    </xf>
    <xf numFmtId="0" fontId="0" fillId="0" borderId="5" xfId="0" applyBorder="1"/>
    <xf numFmtId="3" fontId="0" fillId="3" borderId="17" xfId="0" applyNumberFormat="1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49" fontId="0" fillId="0" borderId="0" xfId="0" applyNumberFormat="1"/>
    <xf numFmtId="3" fontId="0" fillId="0" borderId="14" xfId="0" applyNumberFormat="1" applyBorder="1" applyAlignment="1">
      <alignment horizontal="center" vertical="center" wrapText="1"/>
    </xf>
    <xf numFmtId="164" fontId="0" fillId="5" borderId="21" xfId="0" applyNumberFormat="1" applyFill="1" applyBorder="1"/>
    <xf numFmtId="164" fontId="0" fillId="0" borderId="22" xfId="0" applyNumberFormat="1" applyBorder="1" applyAlignment="1">
      <alignment horizontal="right" wrapText="1"/>
    </xf>
    <xf numFmtId="164" fontId="0" fillId="5" borderId="5" xfId="0" applyNumberFormat="1" applyFill="1" applyBorder="1"/>
    <xf numFmtId="164" fontId="0" fillId="0" borderId="23" xfId="0" applyNumberFormat="1" applyBorder="1" applyAlignment="1">
      <alignment horizontal="right" wrapText="1"/>
    </xf>
    <xf numFmtId="15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3" fontId="0" fillId="0" borderId="19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3" fontId="0" fillId="0" borderId="24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right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1" fontId="0" fillId="0" borderId="0" xfId="0" applyNumberFormat="1"/>
    <xf numFmtId="0" fontId="0" fillId="0" borderId="34" xfId="0" applyBorder="1"/>
    <xf numFmtId="0" fontId="0" fillId="0" borderId="32" xfId="0" applyBorder="1"/>
    <xf numFmtId="3" fontId="0" fillId="6" borderId="26" xfId="0" applyNumberFormat="1" applyFill="1" applyBorder="1" applyAlignment="1">
      <alignment horizontal="center" vertical="center" wrapText="1"/>
    </xf>
    <xf numFmtId="3" fontId="0" fillId="4" borderId="27" xfId="0" applyNumberFormat="1" applyFill="1" applyBorder="1" applyAlignment="1">
      <alignment horizontal="center" vertical="center" wrapText="1"/>
    </xf>
    <xf numFmtId="3" fontId="0" fillId="4" borderId="27" xfId="0" applyNumberFormat="1" applyFill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7" borderId="31" xfId="0" applyFill="1" applyBorder="1" applyAlignment="1">
      <alignment horizontal="left" vertical="center" wrapText="1"/>
    </xf>
    <xf numFmtId="0" fontId="0" fillId="4" borderId="33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/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7" fontId="0" fillId="0" borderId="10" xfId="0" applyNumberFormat="1" applyBorder="1" applyAlignment="1">
      <alignment horizontal="right" wrapText="1"/>
    </xf>
    <xf numFmtId="0" fontId="0" fillId="0" borderId="9" xfId="0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4" fontId="0" fillId="0" borderId="39" xfId="0" applyNumberFormat="1" applyBorder="1" applyAlignment="1">
      <alignment horizontal="center" vertical="center" wrapText="1"/>
    </xf>
    <xf numFmtId="0" fontId="0" fillId="0" borderId="39" xfId="0" applyBorder="1"/>
    <xf numFmtId="164" fontId="0" fillId="0" borderId="37" xfId="0" applyNumberFormat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3" fontId="0" fillId="3" borderId="41" xfId="0" applyNumberFormat="1" applyFill="1" applyBorder="1" applyAlignment="1">
      <alignment horizontal="center" vertical="center" wrapText="1"/>
    </xf>
    <xf numFmtId="164" fontId="0" fillId="3" borderId="41" xfId="0" applyNumberFormat="1" applyFill="1" applyBorder="1" applyAlignment="1">
      <alignment horizontal="center" vertical="center" wrapText="1"/>
    </xf>
    <xf numFmtId="37" fontId="0" fillId="3" borderId="42" xfId="0" applyNumberFormat="1" applyFill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right" wrapText="1"/>
    </xf>
    <xf numFmtId="37" fontId="0" fillId="0" borderId="23" xfId="0" applyNumberFormat="1" applyBorder="1" applyAlignment="1">
      <alignment horizontal="right" wrapText="1"/>
    </xf>
    <xf numFmtId="1" fontId="0" fillId="0" borderId="0" xfId="0" applyNumberFormat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3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7" fontId="0" fillId="0" borderId="44" xfId="0" applyNumberFormat="1" applyBorder="1" applyAlignment="1">
      <alignment horizontal="right" wrapText="1"/>
    </xf>
    <xf numFmtId="15" fontId="0" fillId="0" borderId="38" xfId="0" applyNumberFormat="1" applyBorder="1" applyAlignment="1">
      <alignment horizontal="center"/>
    </xf>
    <xf numFmtId="0" fontId="0" fillId="0" borderId="30" xfId="0" applyBorder="1"/>
    <xf numFmtId="164" fontId="0" fillId="0" borderId="44" xfId="0" applyNumberFormat="1" applyBorder="1" applyAlignment="1">
      <alignment horizontal="right" wrapText="1"/>
    </xf>
    <xf numFmtId="3" fontId="0" fillId="0" borderId="17" xfId="0" applyNumberFormat="1" applyBorder="1" applyAlignment="1">
      <alignment horizontal="center" vertical="center" wrapText="1"/>
    </xf>
    <xf numFmtId="164" fontId="0" fillId="0" borderId="45" xfId="0" applyNumberFormat="1" applyBorder="1" applyAlignment="1">
      <alignment horizontal="right" wrapText="1"/>
    </xf>
    <xf numFmtId="164" fontId="0" fillId="0" borderId="2" xfId="0" applyNumberFormat="1" applyBorder="1" applyAlignment="1">
      <alignment horizontal="right" wrapText="1"/>
    </xf>
    <xf numFmtId="164" fontId="0" fillId="0" borderId="3" xfId="0" applyNumberFormat="1" applyBorder="1" applyAlignment="1">
      <alignment horizontal="right" wrapText="1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5" fontId="0" fillId="0" borderId="46" xfId="0" applyNumberForma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47" xfId="0" applyBorder="1"/>
    <xf numFmtId="164" fontId="0" fillId="0" borderId="13" xfId="0" applyNumberFormat="1" applyBorder="1" applyAlignment="1">
      <alignment horizontal="right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3" fontId="0" fillId="0" borderId="28" xfId="0" applyNumberFormat="1" applyBorder="1" applyAlignment="1">
      <alignment horizontal="center" vertical="center" wrapText="1"/>
    </xf>
    <xf numFmtId="164" fontId="0" fillId="0" borderId="28" xfId="0" applyNumberFormat="1" applyBorder="1" applyAlignment="1">
      <alignment horizontal="right" wrapText="1"/>
    </xf>
    <xf numFmtId="164" fontId="0" fillId="0" borderId="21" xfId="0" applyNumberFormat="1" applyBorder="1" applyAlignment="1">
      <alignment horizontal="right" wrapText="1"/>
    </xf>
    <xf numFmtId="164" fontId="10" fillId="0" borderId="0" xfId="0" applyNumberFormat="1" applyFont="1" applyAlignment="1">
      <alignment horizontal="center" vertical="center" wrapText="1"/>
    </xf>
    <xf numFmtId="1" fontId="9" fillId="0" borderId="0" xfId="0" applyNumberFormat="1" applyFont="1"/>
    <xf numFmtId="1" fontId="9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1" fontId="9" fillId="3" borderId="0" xfId="0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15" fontId="0" fillId="0" borderId="49" xfId="0" applyNumberFormat="1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9" fillId="6" borderId="0" xfId="0" applyFont="1" applyFill="1"/>
    <xf numFmtId="0" fontId="15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5" fontId="12" fillId="2" borderId="0" xfId="0" applyNumberFormat="1" applyFont="1" applyFill="1" applyAlignment="1">
      <alignment horizontal="center" vertical="center" wrapText="1"/>
    </xf>
    <xf numFmtId="165" fontId="14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16" fillId="0" borderId="0" xfId="0" applyFont="1" applyAlignment="1">
      <alignment horizontal="left" vertical="center"/>
    </xf>
    <xf numFmtId="3" fontId="17" fillId="0" borderId="0" xfId="0" applyNumberFormat="1" applyFont="1" applyAlignment="1">
      <alignment horizontal="center" vertical="center"/>
    </xf>
    <xf numFmtId="3" fontId="17" fillId="0" borderId="0" xfId="0" applyNumberFormat="1" applyFont="1"/>
    <xf numFmtId="0" fontId="0" fillId="0" borderId="12" xfId="0" applyBorder="1"/>
    <xf numFmtId="3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15" fontId="0" fillId="4" borderId="14" xfId="0" applyNumberFormat="1" applyFill="1" applyBorder="1" applyAlignment="1">
      <alignment horizontal="center"/>
    </xf>
    <xf numFmtId="0" fontId="0" fillId="4" borderId="8" xfId="0" applyFill="1" applyBorder="1"/>
    <xf numFmtId="3" fontId="0" fillId="4" borderId="24" xfId="0" applyNumberFormat="1" applyFill="1" applyBorder="1" applyAlignment="1">
      <alignment horizontal="center" vertical="center" wrapText="1"/>
    </xf>
    <xf numFmtId="164" fontId="0" fillId="4" borderId="24" xfId="0" applyNumberFormat="1" applyFill="1" applyBorder="1" applyAlignment="1">
      <alignment horizontal="right" wrapText="1"/>
    </xf>
    <xf numFmtId="0" fontId="0" fillId="0" borderId="19" xfId="0" applyBorder="1" applyAlignment="1">
      <alignment horizontal="center" vertical="center" wrapText="1"/>
    </xf>
    <xf numFmtId="15" fontId="0" fillId="0" borderId="9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horizontal="center"/>
    </xf>
    <xf numFmtId="0" fontId="0" fillId="4" borderId="51" xfId="0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3" fontId="9" fillId="0" borderId="0" xfId="0" applyNumberFormat="1" applyFont="1"/>
    <xf numFmtId="3" fontId="0" fillId="0" borderId="51" xfId="0" applyNumberFormat="1" applyBorder="1" applyAlignment="1">
      <alignment horizontal="center" vertical="center" wrapText="1"/>
    </xf>
    <xf numFmtId="3" fontId="0" fillId="0" borderId="56" xfId="0" applyNumberFormat="1" applyBorder="1" applyAlignment="1">
      <alignment horizontal="center" vertical="center" wrapText="1"/>
    </xf>
    <xf numFmtId="3" fontId="0" fillId="0" borderId="55" xfId="0" applyNumberFormat="1" applyBorder="1" applyAlignment="1">
      <alignment horizontal="center" vertical="center" wrapText="1"/>
    </xf>
    <xf numFmtId="3" fontId="0" fillId="0" borderId="57" xfId="0" applyNumberFormat="1" applyBorder="1" applyAlignment="1">
      <alignment horizontal="center" vertical="center" wrapText="1"/>
    </xf>
    <xf numFmtId="3" fontId="0" fillId="4" borderId="51" xfId="0" applyNumberFormat="1" applyFill="1" applyBorder="1" applyAlignment="1">
      <alignment horizontal="center" vertical="center" wrapText="1"/>
    </xf>
    <xf numFmtId="3" fontId="0" fillId="4" borderId="55" xfId="0" applyNumberFormat="1" applyFill="1" applyBorder="1" applyAlignment="1">
      <alignment horizontal="center" vertical="center" wrapText="1"/>
    </xf>
    <xf numFmtId="3" fontId="0" fillId="9" borderId="51" xfId="0" applyNumberFormat="1" applyFill="1" applyBorder="1" applyAlignment="1">
      <alignment horizontal="center" vertical="center" wrapText="1"/>
    </xf>
    <xf numFmtId="3" fontId="0" fillId="9" borderId="56" xfId="0" applyNumberFormat="1" applyFill="1" applyBorder="1" applyAlignment="1">
      <alignment horizontal="center" vertical="center" wrapText="1"/>
    </xf>
    <xf numFmtId="3" fontId="0" fillId="3" borderId="55" xfId="0" applyNumberFormat="1" applyFill="1" applyBorder="1" applyAlignment="1">
      <alignment horizontal="center" vertical="center" wrapText="1"/>
    </xf>
    <xf numFmtId="3" fontId="0" fillId="3" borderId="58" xfId="0" applyNumberFormat="1" applyFill="1" applyBorder="1" applyAlignment="1">
      <alignment horizontal="center" vertical="center" wrapText="1"/>
    </xf>
    <xf numFmtId="3" fontId="0" fillId="0" borderId="60" xfId="0" applyNumberFormat="1" applyBorder="1"/>
    <xf numFmtId="3" fontId="0" fillId="0" borderId="59" xfId="0" applyNumberFormat="1" applyBorder="1" applyAlignment="1">
      <alignment horizontal="right" vertical="center" wrapText="1"/>
    </xf>
    <xf numFmtId="3" fontId="0" fillId="0" borderId="58" xfId="0" applyNumberFormat="1" applyBorder="1" applyAlignment="1">
      <alignment horizontal="right" vertical="center" wrapText="1"/>
    </xf>
    <xf numFmtId="3" fontId="0" fillId="0" borderId="61" xfId="0" applyNumberFormat="1" applyBorder="1" applyAlignment="1">
      <alignment horizontal="center" vertical="center" wrapText="1"/>
    </xf>
    <xf numFmtId="3" fontId="0" fillId="0" borderId="62" xfId="0" applyNumberForma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/>
    <xf numFmtId="3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37" fontId="0" fillId="0" borderId="22" xfId="0" applyNumberFormat="1" applyBorder="1" applyAlignment="1">
      <alignment horizontal="right" wrapText="1"/>
    </xf>
    <xf numFmtId="164" fontId="0" fillId="0" borderId="41" xfId="0" applyNumberFormat="1" applyBorder="1" applyAlignment="1">
      <alignment horizontal="right" wrapText="1"/>
    </xf>
    <xf numFmtId="0" fontId="0" fillId="11" borderId="0" xfId="0" applyFill="1"/>
    <xf numFmtId="3" fontId="0" fillId="11" borderId="0" xfId="0" applyNumberFormat="1" applyFill="1"/>
    <xf numFmtId="166" fontId="0" fillId="0" borderId="0" xfId="0" applyNumberFormat="1" applyAlignment="1">
      <alignment horizontal="center"/>
    </xf>
    <xf numFmtId="15" fontId="0" fillId="0" borderId="5" xfId="0" applyNumberFormat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1" xfId="0" applyFill="1" applyBorder="1"/>
    <xf numFmtId="3" fontId="0" fillId="4" borderId="21" xfId="0" applyNumberForma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64" fontId="0" fillId="4" borderId="21" xfId="0" applyNumberFormat="1" applyFill="1" applyBorder="1" applyAlignment="1">
      <alignment horizontal="right" wrapText="1"/>
    </xf>
    <xf numFmtId="0" fontId="0" fillId="4" borderId="25" xfId="0" applyFill="1" applyBorder="1" applyAlignment="1">
      <alignment horizontal="center" vertical="center" wrapText="1"/>
    </xf>
    <xf numFmtId="3" fontId="0" fillId="4" borderId="14" xfId="0" applyNumberFormat="1" applyFill="1" applyBorder="1" applyAlignment="1">
      <alignment horizontal="center" vertical="center" wrapText="1"/>
    </xf>
    <xf numFmtId="164" fontId="0" fillId="4" borderId="21" xfId="0" applyNumberFormat="1" applyFill="1" applyBorder="1"/>
    <xf numFmtId="0" fontId="21" fillId="0" borderId="0" xfId="0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1" fontId="14" fillId="4" borderId="0" xfId="0" applyNumberFormat="1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164" fontId="21" fillId="4" borderId="0" xfId="0" applyNumberFormat="1" applyFont="1" applyFill="1" applyAlignment="1">
      <alignment horizontal="center" vertical="center" wrapText="1"/>
    </xf>
    <xf numFmtId="165" fontId="21" fillId="4" borderId="0" xfId="0" applyNumberFormat="1" applyFont="1" applyFill="1" applyAlignment="1">
      <alignment horizontal="center" vertical="center" wrapText="1"/>
    </xf>
    <xf numFmtId="0" fontId="9" fillId="4" borderId="0" xfId="0" applyFont="1" applyFill="1"/>
    <xf numFmtId="0" fontId="0" fillId="0" borderId="4" xfId="0" applyBorder="1" applyAlignment="1">
      <alignment horizontal="center" vertical="center" wrapText="1"/>
    </xf>
    <xf numFmtId="0" fontId="0" fillId="0" borderId="49" xfId="0" applyBorder="1"/>
    <xf numFmtId="3" fontId="0" fillId="0" borderId="41" xfId="0" applyNumberFormat="1" applyBorder="1" applyAlignment="1">
      <alignment horizontal="center" vertical="center" wrapText="1"/>
    </xf>
    <xf numFmtId="164" fontId="0" fillId="0" borderId="9" xfId="0" applyNumberFormat="1" applyBorder="1"/>
    <xf numFmtId="3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7" fontId="0" fillId="0" borderId="63" xfId="0" applyNumberFormat="1" applyBorder="1" applyAlignment="1">
      <alignment horizontal="right" wrapText="1"/>
    </xf>
    <xf numFmtId="37" fontId="0" fillId="0" borderId="64" xfId="0" applyNumberFormat="1" applyBorder="1" applyAlignment="1">
      <alignment horizontal="right" wrapText="1"/>
    </xf>
    <xf numFmtId="15" fontId="9" fillId="8" borderId="0" xfId="0" applyNumberFormat="1" applyFont="1" applyFill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1" fontId="21" fillId="8" borderId="0" xfId="0" applyNumberFormat="1" applyFont="1" applyFill="1" applyAlignment="1">
      <alignment horizontal="center" vertical="center" wrapText="1"/>
    </xf>
    <xf numFmtId="0" fontId="21" fillId="8" borderId="0" xfId="0" applyFont="1" applyFill="1" applyAlignment="1">
      <alignment horizontal="center" vertical="center"/>
    </xf>
    <xf numFmtId="164" fontId="21" fillId="8" borderId="0" xfId="0" applyNumberFormat="1" applyFont="1" applyFill="1" applyAlignment="1">
      <alignment horizontal="center" vertical="center" wrapText="1"/>
    </xf>
    <xf numFmtId="165" fontId="21" fillId="8" borderId="0" xfId="0" applyNumberFormat="1" applyFont="1" applyFill="1" applyAlignment="1">
      <alignment horizontal="center" vertical="center" wrapText="1"/>
    </xf>
    <xf numFmtId="0" fontId="9" fillId="8" borderId="0" xfId="0" applyFont="1" applyFill="1"/>
    <xf numFmtId="0" fontId="9" fillId="8" borderId="0" xfId="0" applyFont="1" applyFill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3" fontId="0" fillId="4" borderId="24" xfId="0" applyNumberForma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15" fontId="0" fillId="2" borderId="14" xfId="0" applyNumberFormat="1" applyFill="1" applyBorder="1" applyAlignment="1">
      <alignment horizontal="center"/>
    </xf>
    <xf numFmtId="0" fontId="0" fillId="2" borderId="8" xfId="0" applyFill="1" applyBorder="1"/>
    <xf numFmtId="3" fontId="0" fillId="2" borderId="24" xfId="0" applyNumberFormat="1" applyFill="1" applyBorder="1" applyAlignment="1">
      <alignment horizontal="center" vertical="center" wrapText="1"/>
    </xf>
    <xf numFmtId="164" fontId="0" fillId="2" borderId="24" xfId="0" applyNumberFormat="1" applyFill="1" applyBorder="1" applyAlignment="1">
      <alignment horizontal="right" wrapText="1"/>
    </xf>
    <xf numFmtId="164" fontId="0" fillId="2" borderId="9" xfId="0" applyNumberFormat="1" applyFill="1" applyBorder="1" applyAlignment="1">
      <alignment horizontal="right" wrapText="1"/>
    </xf>
    <xf numFmtId="15" fontId="21" fillId="0" borderId="65" xfId="0" applyNumberFormat="1" applyFont="1" applyBorder="1" applyAlignment="1">
      <alignment horizontal="center" vertical="center" wrapText="1"/>
    </xf>
    <xf numFmtId="0" fontId="0" fillId="0" borderId="66" xfId="0" applyBorder="1" applyAlignment="1">
      <alignment horizontal="center"/>
    </xf>
    <xf numFmtId="15" fontId="0" fillId="0" borderId="67" xfId="0" applyNumberFormat="1" applyBorder="1" applyAlignment="1">
      <alignment horizontal="center" vertical="center"/>
    </xf>
    <xf numFmtId="15" fontId="9" fillId="0" borderId="0" xfId="0" applyNumberFormat="1" applyFont="1" applyAlignment="1">
      <alignment horizontal="center" vertical="center" wrapText="1"/>
    </xf>
    <xf numFmtId="15" fontId="21" fillId="0" borderId="0" xfId="0" applyNumberFormat="1" applyFont="1" applyAlignment="1">
      <alignment horizontal="center" vertical="center" wrapText="1"/>
    </xf>
    <xf numFmtId="0" fontId="0" fillId="0" borderId="68" xfId="0" applyBorder="1"/>
    <xf numFmtId="3" fontId="0" fillId="0" borderId="9" xfId="0" applyNumberFormat="1" applyBorder="1"/>
    <xf numFmtId="15" fontId="21" fillId="4" borderId="0" xfId="0" applyNumberFormat="1" applyFont="1" applyFill="1" applyAlignment="1">
      <alignment horizontal="center" vertical="center" wrapText="1"/>
    </xf>
    <xf numFmtId="1" fontId="21" fillId="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0" fillId="4" borderId="35" xfId="0" applyNumberFormat="1" applyFill="1" applyBorder="1" applyAlignment="1">
      <alignment horizontal="center" vertical="center" wrapText="1"/>
    </xf>
    <xf numFmtId="3" fontId="0" fillId="4" borderId="16" xfId="0" applyNumberFormat="1" applyFill="1" applyBorder="1" applyAlignment="1">
      <alignment horizontal="center" vertical="center" wrapText="1"/>
    </xf>
    <xf numFmtId="3" fontId="0" fillId="0" borderId="29" xfId="0" applyNumberForma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3" fontId="0" fillId="11" borderId="6" xfId="0" applyNumberFormat="1" applyFill="1" applyBorder="1" applyAlignment="1">
      <alignment horizontal="center" vertical="center" wrapText="1"/>
    </xf>
    <xf numFmtId="3" fontId="0" fillId="11" borderId="11" xfId="0" applyNumberFormat="1" applyFill="1" applyBorder="1" applyAlignment="1">
      <alignment horizontal="center" vertical="center" wrapText="1"/>
    </xf>
    <xf numFmtId="3" fontId="0" fillId="6" borderId="4" xfId="0" applyNumberFormat="1" applyFill="1" applyBorder="1" applyAlignment="1">
      <alignment horizontal="center" vertical="center" wrapText="1"/>
    </xf>
    <xf numFmtId="3" fontId="0" fillId="6" borderId="6" xfId="0" applyNumberFormat="1" applyFill="1" applyBorder="1" applyAlignment="1">
      <alignment horizontal="center" vertical="center" wrapText="1"/>
    </xf>
    <xf numFmtId="3" fontId="0" fillId="6" borderId="11" xfId="0" applyNumberFormat="1" applyFill="1" applyBorder="1" applyAlignment="1">
      <alignment horizontal="center" vertical="center" wrapText="1"/>
    </xf>
    <xf numFmtId="164" fontId="0" fillId="10" borderId="54" xfId="0" applyNumberFormat="1" applyFill="1" applyBorder="1" applyAlignment="1">
      <alignment horizontal="center" vertical="center" wrapText="1"/>
    </xf>
    <xf numFmtId="164" fontId="0" fillId="10" borderId="52" xfId="0" applyNumberFormat="1" applyFill="1" applyBorder="1" applyAlignment="1">
      <alignment horizontal="center" vertical="center" wrapText="1"/>
    </xf>
    <xf numFmtId="164" fontId="0" fillId="10" borderId="53" xfId="0" applyNumberFormat="1" applyFill="1" applyBorder="1" applyAlignment="1">
      <alignment horizontal="center" vertical="center" wrapText="1"/>
    </xf>
    <xf numFmtId="3" fontId="20" fillId="3" borderId="0" xfId="0" applyNumberFormat="1" applyFont="1" applyFill="1" applyAlignment="1">
      <alignment horizontal="center" vertical="center" wrapText="1"/>
    </xf>
    <xf numFmtId="3" fontId="0" fillId="4" borderId="54" xfId="0" applyNumberFormat="1" applyFill="1" applyBorder="1" applyAlignment="1">
      <alignment horizontal="center" vertical="center" wrapText="1"/>
    </xf>
    <xf numFmtId="3" fontId="0" fillId="4" borderId="52" xfId="0" applyNumberFormat="1" applyFill="1" applyBorder="1" applyAlignment="1">
      <alignment horizontal="center" vertical="center" wrapText="1"/>
    </xf>
    <xf numFmtId="3" fontId="0" fillId="4" borderId="5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221">
    <dxf>
      <numFmt numFmtId="164" formatCode="#,##0;[Red]#,##0"/>
      <alignment horizontal="center" vertical="center" textRotation="0" wrapText="1" indent="0" justifyLastLine="0" shrinkToFit="0" readingOrder="0"/>
    </dxf>
    <dxf>
      <numFmt numFmtId="164" formatCode="#,##0;[Red]#,##0"/>
      <alignment horizontal="center" vertical="center" textRotation="0" wrapText="1" indent="0" justifyLastLine="0" shrinkToFit="0" readingOrder="0"/>
    </dxf>
    <dxf>
      <numFmt numFmtId="164" formatCode="#,##0;[Red]#,##0"/>
      <alignment horizontal="center" vertical="center" textRotation="0" wrapText="1" indent="0" justifyLastLine="0" shrinkToFit="0" readingOrder="0"/>
    </dxf>
    <dxf>
      <numFmt numFmtId="164" formatCode="#,##0;[Red]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0" formatCode="dd\-mmm\-yy"/>
      <alignment horizontal="center" vertical="center" textRotation="0" wrapText="1" indent="0" justifyLastLine="0" shrinkToFit="0" readingOrder="0"/>
    </dxf>
    <dxf>
      <numFmt numFmtId="20" formatCode="dd\-mmm\-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0" formatCode="dd\-mmm\-yy"/>
      <alignment horizontal="center" vertical="center" textRotation="0" wrapText="1" indent="0" justifyLastLine="0" shrinkToFit="0" readingOrder="0"/>
    </dxf>
    <dxf>
      <numFmt numFmtId="20" formatCode="dd\-mmm\-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0" formatCode="dd\-mmm\-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0" formatCode="dd\-mmm\-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outline="0">
        <left style="thin">
          <color theme="0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0" formatCode="dd\-mmm\-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outline="0">
        <right style="thin">
          <color theme="0"/>
        </right>
      </border>
    </dxf>
    <dxf>
      <numFmt numFmtId="20" formatCode="dd\-mmm\-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0" formatCode="dd\-mmm\-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20" formatCode="dd\-mmm\-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.0;[Red]#,##0.0"/>
      <fill>
        <patternFill patternType="none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0" formatCode="dd\-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7" formatCode="d\-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rgb="FF000000"/>
        </right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6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5" formatCode="#,##0.0;[Red]#,##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#,##0;[Red]#,##0"/>
      <fill>
        <patternFill patternType="none">
          <fgColor theme="4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right style="medium">
          <color rgb="FF000000"/>
        </right>
      </border>
    </dxf>
    <dxf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6</xdr:row>
      <xdr:rowOff>19049</xdr:rowOff>
    </xdr:from>
    <xdr:to>
      <xdr:col>6</xdr:col>
      <xdr:colOff>542925</xdr:colOff>
      <xdr:row>6</xdr:row>
      <xdr:rowOff>123824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8753475" y="1209674"/>
          <a:ext cx="428625" cy="104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I%20-%20JUNI/CGFOOD&amp;BEVERAGE%20PEMBUKUAN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OMPOSISI%20BAH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AHYA%20GALLERY/CG%20FOOD&amp;BEVERAGE/LAPORAN%20EXCEL/2025/JANUARI%20-%20DESEMBER/LAPORAN%20PENJUALAN%20DAN%20KEUANGA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OMPOSISI%20BAH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ITRA"/>
      <sheetName val="DATA CUSTOMER"/>
      <sheetName val="KATALOG"/>
      <sheetName val="REKAP BAHAN"/>
      <sheetName val="DATA BAHAN MASUK"/>
      <sheetName val="DATA BAHAN KELUAR"/>
      <sheetName val="PRODUK KELUAR"/>
      <sheetName val="REKAP PENJUALAN"/>
      <sheetName val="KOMISI CAMPURAN"/>
      <sheetName val="KAS TOKO"/>
      <sheetName val="KAS PERPUTARAN MODAL"/>
      <sheetName val="REKAP KOMISI"/>
      <sheetName val="REKAP KEUANGAN"/>
      <sheetName val="CGFOOD&amp;BEVERAGE PEMBUKUAN 202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>
        <row r="44">
          <cell r="J44">
            <v>430791.58285846724</v>
          </cell>
        </row>
      </sheetData>
      <sheetData sheetId="10">
        <row r="97">
          <cell r="L97">
            <v>262131.9266157879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AMBI"/>
      <sheetName val="BURGER"/>
      <sheetName val="ROCAS"/>
      <sheetName val="ROTI MARYAM"/>
      <sheetName val=" KEBAB SOSIZ"/>
      <sheetName val="KEBAB AYAM"/>
      <sheetName val="KEBAB AYAM + SOSIZ (KECIL)"/>
      <sheetName val="KEBAB AYAM + SOSIZ (MEDIUM)"/>
      <sheetName val="PIZZA YES"/>
      <sheetName val="PIZZA YUHU"/>
      <sheetName val="PIZZA SIP"/>
      <sheetName val="PIZZA YES TOP KOREA"/>
      <sheetName val="PIZZA YUHU TOP KOREA"/>
      <sheetName val="PIZZA SIP TOP KOREA"/>
      <sheetName val="PIZZA KULIT KEBAB"/>
      <sheetName val="MODAL"/>
      <sheetName val="KOMPOSISI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ITRA"/>
      <sheetName val="DATA CUSTOMER"/>
      <sheetName val="KATALOG"/>
      <sheetName val="REKAP BAHAN"/>
      <sheetName val="DATA BAHAN MASUK"/>
      <sheetName val="DATA BAHAN KELUAR"/>
      <sheetName val="PRODUK KELUAR"/>
      <sheetName val="REKAP PENJUALAN"/>
      <sheetName val="KOMISI CAMPURAN"/>
      <sheetName val="KAS TOKO"/>
      <sheetName val="KAS PERPUTARAN MODAL"/>
      <sheetName val="REKAP KOMISI"/>
      <sheetName val="REKAP KEUANGAN"/>
      <sheetName val="ASET &amp; PIUTANG"/>
      <sheetName val="OM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54">
          <cell r="J154">
            <v>164784.86721519567</v>
          </cell>
        </row>
      </sheetData>
      <sheetData sheetId="10">
        <row r="68">
          <cell r="L68">
            <v>694776.42515379982</v>
          </cell>
        </row>
      </sheetData>
      <sheetData sheetId="11">
        <row r="60">
          <cell r="G60">
            <v>0.26938140805577859</v>
          </cell>
        </row>
        <row r="61">
          <cell r="G61">
            <v>-0.30944862155411101</v>
          </cell>
        </row>
        <row r="62">
          <cell r="G62">
            <v>0.47087719298360753</v>
          </cell>
        </row>
        <row r="63">
          <cell r="G63">
            <v>-0.4544152046742056</v>
          </cell>
        </row>
        <row r="64">
          <cell r="G64">
            <v>0</v>
          </cell>
        </row>
        <row r="65">
          <cell r="G65">
            <v>-0.49605263157855006</v>
          </cell>
        </row>
        <row r="66">
          <cell r="G66">
            <v>0.42889724310816746</v>
          </cell>
        </row>
        <row r="67">
          <cell r="G67">
            <v>-0.35497076023375485</v>
          </cell>
        </row>
        <row r="68">
          <cell r="G68">
            <v>0.42982456140634895</v>
          </cell>
        </row>
        <row r="71">
          <cell r="G71">
            <v>65403.446445659691</v>
          </cell>
        </row>
        <row r="72">
          <cell r="G72">
            <v>-0.32444444444445253</v>
          </cell>
        </row>
        <row r="73">
          <cell r="G73">
            <v>-6.9476722110266564E-3</v>
          </cell>
        </row>
        <row r="74">
          <cell r="G74">
            <v>5108.8206182121976</v>
          </cell>
        </row>
        <row r="75">
          <cell r="G75">
            <v>-0.48487886383736623</v>
          </cell>
        </row>
        <row r="76">
          <cell r="G76">
            <v>0.27401837928482564</v>
          </cell>
        </row>
        <row r="77">
          <cell r="G77">
            <v>-0.25386420598624682</v>
          </cell>
        </row>
        <row r="78">
          <cell r="G78">
            <v>-0.45035543405720091</v>
          </cell>
        </row>
        <row r="79">
          <cell r="G79">
            <v>0.12496867167646997</v>
          </cell>
        </row>
        <row r="80">
          <cell r="G80">
            <v>0.38297789927219128</v>
          </cell>
        </row>
        <row r="81">
          <cell r="G81">
            <v>-0.18771929824561084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AMBI"/>
      <sheetName val="BURGER"/>
      <sheetName val="ROCAS"/>
      <sheetName val="ROTI MARYAM"/>
      <sheetName val=" KEBAB SOSIZ"/>
      <sheetName val="KEBAB AYAM"/>
      <sheetName val="KEBAB AYAM + SOSIZ (KECIL)"/>
      <sheetName val="KEBAB AYAM + SOSIZ (MEDIUM)"/>
      <sheetName val="PIZZA YES"/>
      <sheetName val="PIZZA YUHU"/>
      <sheetName val="PIZZA SIP"/>
      <sheetName val="PIZZA YES TOP KOREA"/>
      <sheetName val="PIZZA YUHU TOP KOREA"/>
      <sheetName val="PIZZA SIP TOP KOREA"/>
      <sheetName val="PIZZA KULIT KEBAB"/>
      <sheetName val="MOD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DATAMITRAEPC" displayName="TBLDATAMITRAEPC" ref="A4:E30" totalsRowShown="0" headerRowDxfId="220" dataDxfId="219">
  <autoFilter ref="A4:E30" xr:uid="{00000000-0009-0000-0100-000004000000}"/>
  <sortState xmlns:xlrd2="http://schemas.microsoft.com/office/spreadsheetml/2017/richdata2" ref="A5:E29">
    <sortCondition ref="B4:B29"/>
  </sortState>
  <tableColumns count="5">
    <tableColumn id="7" xr3:uid="{00000000-0010-0000-0000-000007000000}" name="KODE MITRA" dataDxfId="218">
      <calculatedColumnFormula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calculatedColumnFormula>
    </tableColumn>
    <tableColumn id="2" xr3:uid="{00000000-0010-0000-0000-000002000000}" name="NAMA MITRA" dataDxfId="217"/>
    <tableColumn id="13" xr3:uid="{00000000-0010-0000-0000-00000D000000}" name="NAMA PEREKRUT" dataDxfId="216"/>
    <tableColumn id="14" xr3:uid="{00000000-0010-0000-0000-00000E000000}" name="NO HP/WA" dataDxfId="215"/>
    <tableColumn id="16" xr3:uid="{00000000-0010-0000-0000-000010000000}" name="Column1" dataDxfId="21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DATACUSTOMER" displayName="TBLDATACUSTOMER" ref="A3:E230" totalsRowShown="0" headerRowDxfId="213" dataDxfId="212">
  <autoFilter ref="A3:E230" xr:uid="{00000000-0009-0000-0100-000003000000}"/>
  <sortState xmlns:xlrd2="http://schemas.microsoft.com/office/spreadsheetml/2017/richdata2" ref="A4:E230">
    <sortCondition ref="A3:A230"/>
  </sortState>
  <tableColumns count="5">
    <tableColumn id="2" xr3:uid="{00000000-0010-0000-0100-000002000000}" name="NAMA CUSTOMER" dataDxfId="211"/>
    <tableColumn id="3" xr3:uid="{00000000-0010-0000-0100-000003000000}" name="NO HP" dataDxfId="210"/>
    <tableColumn id="5" xr3:uid="{00000000-0010-0000-0100-000005000000}" name="ALAMAT KIRIM" dataDxfId="209"/>
    <tableColumn id="9" xr3:uid="{00000000-0010-0000-0100-000009000000}" name="NAMA MITRA" dataDxfId="208"/>
    <tableColumn id="10" xr3:uid="{00000000-0010-0000-0100-00000A000000}" name="NAMA PEREKRUT" dataDxfId="20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BLKATALOG" displayName="TBLKATALOG" ref="B3:J68" totalsRowShown="0" headerRowDxfId="206" dataDxfId="205">
  <autoFilter ref="B3:J68" xr:uid="{00000000-0009-0000-0100-000009000000}"/>
  <sortState xmlns:xlrd2="http://schemas.microsoft.com/office/spreadsheetml/2017/richdata2" ref="B4:J67">
    <sortCondition ref="B3:B67"/>
  </sortState>
  <tableColumns count="9">
    <tableColumn id="3" xr3:uid="{00000000-0010-0000-0200-000003000000}" name="NAMA PRODUK" dataDxfId="204"/>
    <tableColumn id="2" xr3:uid="{00000000-0010-0000-0200-000002000000}" name="MODAL KEMBALI KE PERUSAHAAN PRODUK OFF LINE" dataDxfId="203">
      <calculatedColumnFormula>VLOOKUP(TBLKATALOG[[#This Row],[NAMA PRODUK]],[4]!TBLMODAL[[NAMA MENU]:[MODAL KEMBALI KE PERUSAHAAN PRODUK OFF LINE]],2,FALSE)</calculatedColumnFormula>
    </tableColumn>
    <tableColumn id="5" xr3:uid="{00000000-0010-0000-0200-000005000000}" name="BUDGET KOMISI RESELLER" dataDxfId="202">
      <calculatedColumnFormula>SUM(TBLKATALOG[[#This Row],[LABA MITRA 5 %]:[LABA KIRIM 5 %]])</calculatedColumnFormula>
    </tableColumn>
    <tableColumn id="6" xr3:uid="{00000000-0010-0000-0200-000006000000}" name="MODAL SETELAH DITAMBAH BUDGET KOMISI" dataDxfId="201">
      <calculatedColumnFormula>C4+D4</calculatedColumnFormula>
    </tableColumn>
    <tableColumn id="7" xr3:uid="{00000000-0010-0000-0200-000007000000}" name="HARGA JUAL" dataDxfId="200"/>
    <tableColumn id="8" xr3:uid="{00000000-0010-0000-0200-000008000000}" name="SELISIH/LABA BERSIH TOKO" dataDxfId="199">
      <calculatedColumnFormula>F4-E4</calculatedColumnFormula>
    </tableColumn>
    <tableColumn id="9" xr3:uid="{00000000-0010-0000-0200-000009000000}" name="LABA MITRA 5 %" dataDxfId="198">
      <calculatedColumnFormula>0.05*C4</calculatedColumnFormula>
    </tableColumn>
    <tableColumn id="10" xr3:uid="{00000000-0010-0000-0200-00000A000000}" name="LABA KIRIM 5 %" dataDxfId="197">
      <calculatedColumnFormula>0.05*C4</calculatedColumnFormula>
    </tableColumn>
    <tableColumn id="11" xr3:uid="{00000000-0010-0000-0200-00000B000000}" name="LABA BERSIH" dataDxfId="196">
      <calculatedColumnFormula>TBLKATALOG[[#This Row],[HARGA JUAL]]-TBLKATALOG[[#This Row],[MODAL SETELAH DITAMBAH BUDGET KOMISI]]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REKAPBAHAN" displayName="TBLREKAPBAHAN" ref="A4:I71" insertRowShift="1" totalsRowShown="0" headerRowDxfId="195" dataDxfId="194" tableBorderDxfId="193">
  <autoFilter ref="A4:I71" xr:uid="{00000000-0009-0000-0100-00000A000000}"/>
  <tableColumns count="9">
    <tableColumn id="1" xr3:uid="{00000000-0010-0000-0300-000001000000}" name="NAMA BAHAN" dataDxfId="192"/>
    <tableColumn id="3" xr3:uid="{00000000-0010-0000-0300-000003000000}" name="MODAL" dataDxfId="191"/>
    <tableColumn id="13" xr3:uid="{00000000-0010-0000-0300-00000D000000}" name="ISI" dataDxfId="190"/>
    <tableColumn id="12" xr3:uid="{00000000-0010-0000-0300-00000C000000}" name="MODAL SATUAN" dataDxfId="189">
      <calculatedColumnFormula>TBLREKAPBAHAN[[#This Row],[MODAL]]/TBLREKAPBAHAN[[#This Row],[ISI]]</calculatedColumnFormula>
    </tableColumn>
    <tableColumn id="4" xr3:uid="{00000000-0010-0000-0300-000004000000}" name="STOK" dataDxfId="188"/>
    <tableColumn id="8" xr3:uid="{00000000-0010-0000-0300-000008000000}" name="MASUK" dataDxfId="187">
      <calculatedColumnFormula>SUMIF(TBLBAHANMASUK[NAMA BAHAN],TBLREKAPBAHAN[[#This Row],[NAMA BAHAN]],TBLBAHANMASUK[MASUK])</calculatedColumnFormula>
    </tableColumn>
    <tableColumn id="5" xr3:uid="{00000000-0010-0000-0300-000005000000}" name="KELUAR" dataDxfId="186">
      <calculatedColumnFormula>SUMIF(TBLBAHANKELUAR[NAMA BAHAN],TBLREKAPBAHAN[[#This Row],[NAMA BAHAN]],TBLBAHANKELUAR[TOTAL BAHAN KELUAR])</calculatedColumnFormula>
    </tableColumn>
    <tableColumn id="6" xr3:uid="{00000000-0010-0000-0300-000006000000}" name="SISA STOK" dataDxfId="185">
      <calculatedColumnFormula>TBLREKAPBAHAN[[#This Row],[STOK]]+TBLREKAPBAHAN[[#This Row],[MASUK]]-TBLREKAPBAHAN[[#This Row],[KELUAR]]</calculatedColumnFormula>
    </tableColumn>
    <tableColumn id="7" xr3:uid="{00000000-0010-0000-0300-000007000000}" name="NILAI SISA STOK" dataDxfId="184">
      <calculatedColumnFormula>TBLREKAPBAHAN[[#This Row],[MODAL SATUAN]]*TBLREKAPBAHAN[[#This Row],[SISA STOK]]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BLBAHANMASUK" displayName="TBLBAHANMASUK" ref="A4:O74" insertRowShift="1" totalsRowShown="0" headerRowDxfId="183" dataDxfId="182" tableBorderDxfId="181">
  <autoFilter ref="A4:O74" xr:uid="{00000000-0009-0000-0100-00000C000000}"/>
  <tableColumns count="15">
    <tableColumn id="1" xr3:uid="{00000000-0010-0000-0400-000001000000}" name="TAHUN" dataDxfId="180" totalsRowDxfId="179"/>
    <tableColumn id="6" xr3:uid="{00000000-0010-0000-0400-000006000000}" name="BULAN" dataDxfId="178" totalsRowDxfId="177"/>
    <tableColumn id="5" xr3:uid="{00000000-0010-0000-0400-000005000000}" name="TANGGAL" dataDxfId="176" totalsRowDxfId="175"/>
    <tableColumn id="2" xr3:uid="{00000000-0010-0000-0400-000002000000}" name="NAMA BAHAN" dataDxfId="174" totalsRowDxfId="173"/>
    <tableColumn id="3" xr3:uid="{00000000-0010-0000-0400-000003000000}" name="MODAL" dataDxfId="172" totalsRowDxfId="171">
      <calculatedColumnFormula>VLOOKUP(TBLBAHANMASUK[[#This Row],[NAMA BAHAN]],TBLREKAPBAHAN[[NAMA BAHAN]:[MODAL SATUAN]],2,FALSE)</calculatedColumnFormula>
    </tableColumn>
    <tableColumn id="13" xr3:uid="{00000000-0010-0000-0400-00000D000000}" name="ISI" dataDxfId="170" totalsRowDxfId="169">
      <calculatedColumnFormula>VLOOKUP(TBLBAHANMASUK[[#This Row],[NAMA BAHAN]],TBLREKAPBAHAN[[NAMA BAHAN]:[MODAL SATUAN]],3,FALSE)</calculatedColumnFormula>
    </tableColumn>
    <tableColumn id="12" xr3:uid="{00000000-0010-0000-0400-00000C000000}" name="MODAL SATUAN" dataDxfId="168" totalsRowDxfId="167">
      <calculatedColumnFormula>VLOOKUP(TBLBAHANMASUK[[#This Row],[NAMA BAHAN]],TBLREKAPBAHAN[[NAMA BAHAN]:[MODAL SATUAN]],4,FALSE)</calculatedColumnFormula>
    </tableColumn>
    <tableColumn id="8" xr3:uid="{00000000-0010-0000-0400-000008000000}" name="MASUK" dataDxfId="166" totalsRowDxfId="165"/>
    <tableColumn id="7" xr3:uid="{00000000-0010-0000-0400-000007000000}" name="NILAI MASUK" dataDxfId="164" totalsRowDxfId="163">
      <calculatedColumnFormula>TBLBAHANMASUK[[#This Row],[MODAL SATUAN]]*TBLBAHANMASUK[[#This Row],[MASUK]]</calculatedColumnFormula>
    </tableColumn>
    <tableColumn id="9" xr3:uid="{00000000-0010-0000-0400-000009000000}" name="HARGA ASLI" dataDxfId="162" totalsRowDxfId="161"/>
    <tableColumn id="11" xr3:uid="{00000000-0010-0000-0400-00000B000000}" name="QTY" dataDxfId="160" totalsRowDxfId="159">
      <calculatedColumnFormula>TBLBAHANMASUK[[#This Row],[ISI]]</calculatedColumnFormula>
    </tableColumn>
    <tableColumn id="10" xr3:uid="{00000000-0010-0000-0400-00000A000000}" name="MODAL ASLI" dataDxfId="158" totalsRowDxfId="157">
      <calculatedColumnFormula>TBLBAHANMASUK[[#This Row],[HARGA ASLI]]/TBLBAHANMASUK[[#This Row],[QTY]]</calculatedColumnFormula>
    </tableColumn>
    <tableColumn id="14" xr3:uid="{00000000-0010-0000-0400-00000E000000}" name="QTY MASUK" dataDxfId="156" totalsRowDxfId="155">
      <calculatedColumnFormula>TBLBAHANMASUK[[#This Row],[MASUK]]</calculatedColumnFormula>
    </tableColumn>
    <tableColumn id="15" xr3:uid="{00000000-0010-0000-0400-00000F000000}" name="NILAI MASUK ASLI" dataDxfId="154" totalsRowDxfId="153">
      <calculatedColumnFormula>TBLBAHANMASUK[[#This Row],[MODAL ASLI]]*TBLBAHANMASUK[[#This Row],[QTY MASUK]]</calculatedColumnFormula>
    </tableColumn>
    <tableColumn id="16" xr3:uid="{00000000-0010-0000-0400-000010000000}" name="CASHBACK BELANJA" dataDxfId="152" totalsRowDxfId="151">
      <calculatedColumnFormula>TBLBAHANMASUK[[#This Row],[NILAI MASUK]]-TBLBAHANMASUK[[#This Row],[NILAI MASUK ASLI]]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BLBAHANKELUAR" displayName="TBLBAHANKELUAR" ref="A6:N392" insertRowShift="1" totalsRowShown="0" headerRowDxfId="150" dataDxfId="149" tableBorderDxfId="148">
  <autoFilter ref="A6:N392" xr:uid="{00000000-0009-0000-0100-000002000000}"/>
  <tableColumns count="14">
    <tableColumn id="1" xr3:uid="{00000000-0010-0000-0500-000001000000}" name="TAHUN" dataDxfId="147"/>
    <tableColumn id="9" xr3:uid="{00000000-0010-0000-0500-000009000000}" name="BULAN" dataDxfId="146"/>
    <tableColumn id="8" xr3:uid="{00000000-0010-0000-0500-000008000000}" name="PEKAN" dataDxfId="145"/>
    <tableColumn id="6" xr3:uid="{00000000-0010-0000-0500-000006000000}" name="TANGGAL" dataDxfId="144"/>
    <tableColumn id="4" xr3:uid="{00000000-0010-0000-0500-000004000000}" name="NAMA PRODUK" dataDxfId="143"/>
    <tableColumn id="14" xr3:uid="{00000000-0010-0000-0500-00000E000000}" name="KODE BAHAN" dataDxfId="142"/>
    <tableColumn id="2" xr3:uid="{00000000-0010-0000-0500-000002000000}" name="NAMA BAHAN" dataDxfId="141">
      <calculatedColumnFormula>VLOOKUP(TBLBAHANKELUAR[[#This Row],[KODE BAHAN]],[4]!TBLKEBABSOSYAMKECIL[#Data],2,FALSE)</calculatedColumnFormula>
    </tableColumn>
    <tableColumn id="3" xr3:uid="{00000000-0010-0000-0500-000003000000}" name="MODAL" dataDxfId="140">
      <calculatedColumnFormula>VLOOKUP(TBLBAHANKELUAR[[#This Row],[NAMA BAHAN]],TBLREKAPBAHAN[[NAMA BAHAN]:[MODAL SATUAN]],2,FALSE)</calculatedColumnFormula>
    </tableColumn>
    <tableColumn id="13" xr3:uid="{00000000-0010-0000-0500-00000D000000}" name="ISI" dataDxfId="139">
      <calculatedColumnFormula>VLOOKUP(TBLBAHANKELUAR[[#This Row],[NAMA BAHAN]],TBLREKAPBAHAN[[NAMA BAHAN]:[MODAL SATUAN]],3,FALSE)</calculatedColumnFormula>
    </tableColumn>
    <tableColumn id="12" xr3:uid="{00000000-0010-0000-0500-00000C000000}" name="MODAL SATUAN" dataDxfId="138">
      <calculatedColumnFormula>VLOOKUP(TBLBAHANKELUAR[[#This Row],[NAMA BAHAN]],TBLREKAPBAHAN[[NAMA BAHAN]:[MODAL SATUAN]],4,FALSE)</calculatedColumnFormula>
    </tableColumn>
    <tableColumn id="5" xr3:uid="{00000000-0010-0000-0500-000005000000}" name="KEB. BAHAN" dataDxfId="137">
      <calculatedColumnFormula>VLOOKUP(TBLBAHANKELUAR[[#This Row],[KODE BAHAN]],[2]ZAMBI!$B$3:$J$24,7,FALSE)</calculatedColumnFormula>
    </tableColumn>
    <tableColumn id="10" xr3:uid="{00000000-0010-0000-0500-00000A000000}" name="JUMLAH KEB. BAHAN KELUAR" dataDxfId="136">
      <calculatedColumnFormula>SUMIF(TBLPRODUKKELUARJUNI[NAMA PRODUK],TBLBAHANKELUAR[[#This Row],[NAMA PRODUK]],TBLPRODUKKELUARJUNI[JUMLAH TERJUAL])</calculatedColumnFormula>
    </tableColumn>
    <tableColumn id="11" xr3:uid="{00000000-0010-0000-0500-00000B000000}" name="TOTAL BAHAN KELUAR" dataDxfId="135">
      <calculatedColumnFormula>TBLBAHANKELUAR[[#This Row],[KEB. BAHAN]]*TBLBAHANKELUAR[[#This Row],[JUMLAH KEB. BAHAN KELUAR]]</calculatedColumnFormula>
    </tableColumn>
    <tableColumn id="7" xr3:uid="{00000000-0010-0000-0500-000007000000}" name="NILAI BAHAN KELUAR" dataDxfId="134">
      <calculatedColumnFormula>TBLBAHANKELUAR[[#This Row],[MODAL SATUAN]]*TBLBAHANKELUAR[[#This Row],[TOTAL BAHAN KELUAR]]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BLPRODUKKELUARJUNI" displayName="TBLPRODUKKELUARJUNI" ref="A3:Y10" totalsRowShown="0" headerRowDxfId="133" dataDxfId="132">
  <autoFilter ref="A3:Y10" xr:uid="{00000000-0009-0000-0100-000001000000}"/>
  <tableColumns count="25">
    <tableColumn id="2" xr3:uid="{00000000-0010-0000-0600-000002000000}" name="TAHUN" dataDxfId="131"/>
    <tableColumn id="34" xr3:uid="{00000000-0010-0000-0600-000022000000}" name="BULAN" dataDxfId="130"/>
    <tableColumn id="33" xr3:uid="{00000000-0010-0000-0600-000021000000}" name="TANGGAL" dataDxfId="129"/>
    <tableColumn id="3" xr3:uid="{00000000-0010-0000-0600-000003000000}" name="NAMA PRODUK" dataDxfId="128"/>
    <tableColumn id="28" xr3:uid="{00000000-0010-0000-0600-00001C000000}" name="NAMA CUSTOMER" dataDxfId="127"/>
    <tableColumn id="27" xr3:uid="{00000000-0010-0000-0600-00001B000000}" name="NAMA MITRA" dataDxfId="126">
      <calculatedColumnFormula>VLOOKUP(TBLPRODUKKELUARJUNI[[#This Row],[NAMA CUSTOMER]],TBLDATACUSTOMER[],4,FALSE)</calculatedColumnFormula>
    </tableColumn>
    <tableColumn id="4" xr3:uid="{00000000-0010-0000-0600-000004000000}" name="MODAL" dataDxfId="125">
      <calculatedColumnFormula>VLOOKUP(TBLPRODUKKELUARJUNI[[#This Row],[NAMA PRODUK]],TBLKATALOG[],2,FALSE)</calculatedColumnFormula>
    </tableColumn>
    <tableColumn id="9" xr3:uid="{00000000-0010-0000-0600-000009000000}" name="BUDGET KOMISI" dataDxfId="124">
      <calculatedColumnFormula>VLOOKUP(TBLPRODUKKELUARJUNI[[#This Row],[NAMA PRODUK]],TBLKATALOG[],3,FALSE)</calculatedColumnFormula>
    </tableColumn>
    <tableColumn id="11" xr3:uid="{00000000-0010-0000-0600-00000B000000}" name="MODAL DITAMBAH BUDGET KOMISI" dataDxfId="123">
      <calculatedColumnFormula>VLOOKUP(TBLPRODUKKELUARJUNI[[#This Row],[NAMA PRODUK]],TBLKATALOG[],4,FALSE)</calculatedColumnFormula>
    </tableColumn>
    <tableColumn id="18" xr3:uid="{00000000-0010-0000-0600-000012000000}" name="HARGA JUAL" dataDxfId="122">
      <calculatedColumnFormula>VLOOKUP(TBLPRODUKKELUARJUNI[[#This Row],[NAMA PRODUK]],TBLKATALOG[],5,FALSE)</calculatedColumnFormula>
    </tableColumn>
    <tableColumn id="8" xr3:uid="{00000000-0010-0000-0600-000008000000}" name="SELISIH" dataDxfId="121">
      <calculatedColumnFormula>VLOOKUP(TBLPRODUKKELUARJUNI[[#This Row],[NAMA PRODUK]],TBLKATALOG[],6,FALSE)</calculatedColumnFormula>
    </tableColumn>
    <tableColumn id="13" xr3:uid="{00000000-0010-0000-0600-00000D000000}" name="LABA MITRA 8 %" dataDxfId="120">
      <calculatedColumnFormula>VLOOKUP(TBLPRODUKKELUARJUNI[[#This Row],[NAMA PRODUK]],TBLKATALOG[],7,FALSE)</calculatedColumnFormula>
    </tableColumn>
    <tableColumn id="10" xr3:uid="{00000000-0010-0000-0600-00000A000000}" name="LABA KIRIM 8 %" dataDxfId="119">
      <calculatedColumnFormula>VLOOKUP(TBLPRODUKKELUARJUNI[[#This Row],[NAMA PRODUK]],TBLKATALOG[],8,FALSE)</calculatedColumnFormula>
    </tableColumn>
    <tableColumn id="32" xr3:uid="{00000000-0010-0000-0600-000020000000}" name="LABA BERSIH TOKO" dataDxfId="118">
      <calculatedColumnFormula>VLOOKUP(TBLPRODUKKELUARJUNI[[#This Row],[NAMA PRODUK]],TBLKATALOG[],9,FALSE)</calculatedColumnFormula>
    </tableColumn>
    <tableColumn id="17" xr3:uid="{00000000-0010-0000-0600-000011000000}" name="JUMLAH TERJUAL" dataDxfId="117"/>
    <tableColumn id="30" xr3:uid="{00000000-0010-0000-0600-00001E000000}" name="JUMLAH TERKIRIM" dataDxfId="116"/>
    <tableColumn id="6" xr3:uid="{00000000-0010-0000-0600-000006000000}" name="TOTAL MODAL" dataDxfId="115">
      <calculatedColumnFormula>TBLPRODUKKELUARJUNI[[#This Row],[MODAL]]*TBLPRODUKKELUARJUNI[[#This Row],[JUMLAH TERJUAL]]</calculatedColumnFormula>
    </tableColumn>
    <tableColumn id="12" xr3:uid="{00000000-0010-0000-0600-00000C000000}" name="TOTAL JUMLAH LABA" dataDxfId="114">
      <calculatedColumnFormula>TBLPRODUKKELUARJUNI[[#This Row],[BUDGET KOMISI]]*TBLPRODUKKELUARJUNI[[#This Row],[JUMLAH TERJUAL]]</calculatedColumnFormula>
    </tableColumn>
    <tableColumn id="15" xr3:uid="{00000000-0010-0000-0600-00000F000000}" name="TOTAL MODAL DITAMBAH LABA" dataDxfId="113">
      <calculatedColumnFormula>TBLPRODUKKELUARJUNI[[#This Row],[MODAL DITAMBAH BUDGET KOMISI]]*TBLPRODUKKELUARJUNI[[#This Row],[JUMLAH TERJUAL]]</calculatedColumnFormula>
    </tableColumn>
    <tableColumn id="16" xr3:uid="{00000000-0010-0000-0600-000010000000}" name="TOTAL HARGA JUAL" dataDxfId="112">
      <calculatedColumnFormula>TBLPRODUKKELUARJUNI[[#This Row],[HARGA JUAL]]*TBLPRODUKKELUARJUNI[[#This Row],[JUMLAH TERJUAL]]</calculatedColumnFormula>
    </tableColumn>
    <tableColumn id="20" xr3:uid="{00000000-0010-0000-0600-000014000000}" name="TOTAL SELISIH" dataDxfId="111">
      <calculatedColumnFormula>TBLPRODUKKELUARJUNI[[#This Row],[SELISIH]]*TBLPRODUKKELUARJUNI[[#This Row],[JUMLAH TERJUAL]]</calculatedColumnFormula>
    </tableColumn>
    <tableColumn id="21" xr3:uid="{00000000-0010-0000-0600-000015000000}" name="TOTAL LABA MITRA 5%" dataDxfId="110">
      <calculatedColumnFormula>TBLPRODUKKELUARJUNI[[#This Row],[LABA MITRA 8 %]]*TBLPRODUKKELUARJUNI[[#This Row],[JUMLAH TERJUAL]]</calculatedColumnFormula>
    </tableColumn>
    <tableColumn id="22" xr3:uid="{00000000-0010-0000-0600-000016000000}" name="TOTAL LABA KIRIM 5%" dataDxfId="109">
      <calculatedColumnFormula>TBLPRODUKKELUARJUNI[[#This Row],[LABA KIRIM 8 %]]*TBLPRODUKKELUARJUNI[[#This Row],[JUMLAH TERKIRIM]]</calculatedColumnFormula>
    </tableColumn>
    <tableColumn id="29" xr3:uid="{00000000-0010-0000-0600-00001D000000}" name="TAKE HOME KOMISI UTAMA" dataDxfId="108">
      <calculatedColumnFormula>TBLPRODUKKELUARJUNI[[#This Row],[TOTAL LABA MITRA 5%]]+TBLPRODUKKELUARJUNI[[#This Row],[TOTAL LABA KIRIM 5%]]</calculatedColumnFormula>
    </tableColumn>
    <tableColumn id="31" xr3:uid="{00000000-0010-0000-0600-00001F000000}" name="TOTAL LABA BERSIH TOKO" dataDxfId="107">
      <calculatedColumnFormula>TBLPRODUKKELUARJUNI[[#This Row],[LABA BERSIH TOKO]]*TBLPRODUKKELUARJUNI[[#This Row],[JUMLAH TERJUAL]]</calculatedColumnFormula>
    </tableColumn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BLPRODUKKELUARJULI" displayName="TBLPRODUKKELUARJULI" ref="A15:Y87" totalsRowShown="0" headerRowDxfId="106" dataDxfId="105">
  <autoFilter ref="A15:Y87" xr:uid="{00000000-0009-0000-0100-000005000000}"/>
  <tableColumns count="25">
    <tableColumn id="2" xr3:uid="{00000000-0010-0000-0700-000002000000}" name="TAHUN" dataDxfId="104"/>
    <tableColumn id="34" xr3:uid="{00000000-0010-0000-0700-000022000000}" name="BULAN" dataDxfId="103"/>
    <tableColumn id="33" xr3:uid="{00000000-0010-0000-0700-000021000000}" name="TANGGAL" dataDxfId="102"/>
    <tableColumn id="3" xr3:uid="{00000000-0010-0000-0700-000003000000}" name="NAMA PRODUK" dataDxfId="101"/>
    <tableColumn id="28" xr3:uid="{00000000-0010-0000-0700-00001C000000}" name="NAMA CUSTOMER" dataDxfId="100"/>
    <tableColumn id="27" xr3:uid="{00000000-0010-0000-0700-00001B000000}" name="NAMA MITRA" dataDxfId="99">
      <calculatedColumnFormula>VLOOKUP(TBLPRODUKKELUARJULI[[#This Row],[NAMA CUSTOMER]],TBLDATACUSTOMER[],4,FALSE)</calculatedColumnFormula>
    </tableColumn>
    <tableColumn id="4" xr3:uid="{00000000-0010-0000-0700-000004000000}" name="MODAL" dataDxfId="98">
      <calculatedColumnFormula>VLOOKUP(TBLPRODUKKELUARJULI[[#This Row],[NAMA PRODUK]],TBLKATALOG[],2,FALSE)</calculatedColumnFormula>
    </tableColumn>
    <tableColumn id="9" xr3:uid="{00000000-0010-0000-0700-000009000000}" name="BUDGET KOMISI" dataDxfId="97">
      <calculatedColumnFormula>VLOOKUP(TBLPRODUKKELUARJULI[[#This Row],[NAMA PRODUK]],TBLKATALOG[],3,FALSE)</calculatedColumnFormula>
    </tableColumn>
    <tableColumn id="11" xr3:uid="{00000000-0010-0000-0700-00000B000000}" name="MODAL DITAMBAH BUDGET KOMISI" dataDxfId="96">
      <calculatedColumnFormula>VLOOKUP(TBLPRODUKKELUARJULI[[#This Row],[NAMA PRODUK]],TBLKATALOG[],4,FALSE)</calculatedColumnFormula>
    </tableColumn>
    <tableColumn id="18" xr3:uid="{00000000-0010-0000-0700-000012000000}" name="HARGA JUAL" dataDxfId="95">
      <calculatedColumnFormula>VLOOKUP(TBLPRODUKKELUARJULI[[#This Row],[NAMA PRODUK]],TBLKATALOG[],5,FALSE)</calculatedColumnFormula>
    </tableColumn>
    <tableColumn id="8" xr3:uid="{00000000-0010-0000-0700-000008000000}" name="SELISIH" dataDxfId="94">
      <calculatedColumnFormula>VLOOKUP(TBLPRODUKKELUARJULI[[#This Row],[NAMA PRODUK]],TBLKATALOG[],6,FALSE)</calculatedColumnFormula>
    </tableColumn>
    <tableColumn id="13" xr3:uid="{00000000-0010-0000-0700-00000D000000}" name="LABA MITRA 8 %" dataDxfId="93">
      <calculatedColumnFormula>VLOOKUP(TBLPRODUKKELUARJULI[[#This Row],[NAMA PRODUK]],TBLKATALOG[],7,FALSE)</calculatedColumnFormula>
    </tableColumn>
    <tableColumn id="10" xr3:uid="{00000000-0010-0000-0700-00000A000000}" name="LABA KIRIM 8 %" dataDxfId="92">
      <calculatedColumnFormula>VLOOKUP(TBLPRODUKKELUARJULI[[#This Row],[NAMA PRODUK]],TBLKATALOG[],8,FALSE)</calculatedColumnFormula>
    </tableColumn>
    <tableColumn id="32" xr3:uid="{00000000-0010-0000-0700-000020000000}" name="LABA BERSIH TOKO" dataDxfId="91">
      <calculatedColumnFormula>VLOOKUP(TBLPRODUKKELUARJULI[[#This Row],[NAMA PRODUK]],TBLKATALOG[],9,FALSE)</calculatedColumnFormula>
    </tableColumn>
    <tableColumn id="17" xr3:uid="{00000000-0010-0000-0700-000011000000}" name="JUMLAH TERJUAL" dataDxfId="90"/>
    <tableColumn id="30" xr3:uid="{00000000-0010-0000-0700-00001E000000}" name="JUMLAH TERKIRIM" dataDxfId="89"/>
    <tableColumn id="6" xr3:uid="{00000000-0010-0000-0700-000006000000}" name="TOTAL MODAL" dataDxfId="88">
      <calculatedColumnFormula>TBLPRODUKKELUARJULI[[#This Row],[MODAL]]*TBLPRODUKKELUARJULI[[#This Row],[JUMLAH TERJUAL]]</calculatedColumnFormula>
    </tableColumn>
    <tableColumn id="12" xr3:uid="{00000000-0010-0000-0700-00000C000000}" name="TOTAL JUMLAH LABA" dataDxfId="87">
      <calculatedColumnFormula>TBLPRODUKKELUARJULI[[#This Row],[BUDGET KOMISI]]*TBLPRODUKKELUARJULI[[#This Row],[JUMLAH TERJUAL]]</calculatedColumnFormula>
    </tableColumn>
    <tableColumn id="15" xr3:uid="{00000000-0010-0000-0700-00000F000000}" name="TOTAL MODAL DITAMBAH LABA" dataDxfId="86">
      <calculatedColumnFormula>TBLPRODUKKELUARJULI[[#This Row],[MODAL DITAMBAH BUDGET KOMISI]]*TBLPRODUKKELUARJULI[[#This Row],[JUMLAH TERJUAL]]</calculatedColumnFormula>
    </tableColumn>
    <tableColumn id="16" xr3:uid="{00000000-0010-0000-0700-000010000000}" name="TOTAL HARGA JUAL" dataDxfId="85">
      <calculatedColumnFormula>TBLPRODUKKELUARJULI[[#This Row],[HARGA JUAL]]*TBLPRODUKKELUARJULI[[#This Row],[JUMLAH TERJUAL]]</calculatedColumnFormula>
    </tableColumn>
    <tableColumn id="20" xr3:uid="{00000000-0010-0000-0700-000014000000}" name="TOTAL SELISIH" dataDxfId="84">
      <calculatedColumnFormula>TBLPRODUKKELUARJULI[[#This Row],[SELISIH]]*TBLPRODUKKELUARJULI[[#This Row],[JUMLAH TERJUAL]]</calculatedColumnFormula>
    </tableColumn>
    <tableColumn id="21" xr3:uid="{00000000-0010-0000-0700-000015000000}" name="TOTAL LABA MITRA 5%" dataDxfId="83">
      <calculatedColumnFormula>TBLPRODUKKELUARJULI[[#This Row],[LABA MITRA 8 %]]*TBLPRODUKKELUARJULI[[#This Row],[JUMLAH TERJUAL]]</calculatedColumnFormula>
    </tableColumn>
    <tableColumn id="22" xr3:uid="{00000000-0010-0000-0700-000016000000}" name="TOTAL LABA KIRIM 5%" dataDxfId="82">
      <calculatedColumnFormula>TBLPRODUKKELUARJULI[[#This Row],[LABA KIRIM 8 %]]*TBLPRODUKKELUARJULI[[#This Row],[JUMLAH TERKIRIM]]</calculatedColumnFormula>
    </tableColumn>
    <tableColumn id="29" xr3:uid="{00000000-0010-0000-0700-00001D000000}" name="TAKE HOME KOMISI UTAMA" dataDxfId="81">
      <calculatedColumnFormula>TBLPRODUKKELUARJULI[[#This Row],[TOTAL LABA MITRA 5%]]+TBLPRODUKKELUARJULI[[#This Row],[TOTAL LABA KIRIM 5%]]</calculatedColumnFormula>
    </tableColumn>
    <tableColumn id="31" xr3:uid="{00000000-0010-0000-0700-00001F000000}" name="TOTAL LABA BERSIH TOKO" dataDxfId="80">
      <calculatedColumnFormula>TBLPRODUKKELUARJULI[[#This Row],[LABA BERSIH TOKO]]*TBLPRODUKKELUARJULI[[#This Row],[JUMLAH TERJUAL]]</calculatedColumnFormula>
    </tableColumn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REKAPJUNI" displayName="TBLREKAPJUNI" ref="A4:G5" totalsRowShown="0" headerRowDxfId="79">
  <autoFilter ref="A4:G5" xr:uid="{00000000-0009-0000-0100-000006000000}"/>
  <tableColumns count="7">
    <tableColumn id="7" xr3:uid="{00000000-0010-0000-0800-000007000000}" name="TAHUN" dataDxfId="78"/>
    <tableColumn id="6" xr3:uid="{00000000-0010-0000-0800-000006000000}" name="BULAN" dataDxfId="77"/>
    <tableColumn id="8" xr3:uid="{00000000-0010-0000-0800-000008000000}" name="TANGGAL" dataDxfId="76"/>
    <tableColumn id="2" xr3:uid="{00000000-0010-0000-0800-000002000000}" name="TOTAL PENJUALAN" dataDxfId="75">
      <calculatedColumnFormula>SUMIF(TBLPRODUKKELUARJUNI[TANGGAL],TBLREKAPJUNI[TANGGAL],TBLPRODUKKELUARJUNI[TOTAL HARGA JUAL])</calculatedColumnFormula>
    </tableColumn>
    <tableColumn id="3" xr3:uid="{00000000-0010-0000-0800-000003000000}" name="TOTAL MODAL" dataDxfId="74">
      <calculatedColumnFormula>SUMIF(TBLPRODUKKELUARJUNI[TANGGAL],TBLREKAPJUNI[TANGGAL],TBLPRODUKKELUARJUNI[TOTAL MODAL])</calculatedColumnFormula>
    </tableColumn>
    <tableColumn id="4" xr3:uid="{00000000-0010-0000-0800-000004000000}" name="TOTAL KOMISI UTAMA" dataDxfId="73">
      <calculatedColumnFormula>SUMIF(TBLPRODUKKELUARJUNI[TANGGAL],TBLREKAPJUNI[TANGGAL],TBLPRODUKKELUARJUNI[TAKE HOME KOMISI UTAMA])</calculatedColumnFormula>
    </tableColumn>
    <tableColumn id="5" xr3:uid="{00000000-0010-0000-0800-000005000000}" name="LABA BERSIH TOKO" dataDxfId="72">
      <calculatedColumnFormula>SUMIF(TBLPRODUKKELUARJUNI[TANGGAL],TBLREKAPJUNI[TANGGAL],TBLPRODUKKELUARJUNI[TOTAL LABA BERSIH TOKO])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BLREKAPJULI" displayName="TBLREKAPJULI" ref="A9:G29" totalsRowShown="0" headerRowDxfId="71">
  <autoFilter ref="A9:G29" xr:uid="{00000000-0009-0000-0100-00000B000000}"/>
  <tableColumns count="7">
    <tableColumn id="7" xr3:uid="{00000000-0010-0000-0900-000007000000}" name="TAHUN" dataDxfId="70"/>
    <tableColumn id="6" xr3:uid="{00000000-0010-0000-0900-000006000000}" name="BULAN" dataDxfId="69"/>
    <tableColumn id="8" xr3:uid="{00000000-0010-0000-0900-000008000000}" name="TANGGAL" dataDxfId="68"/>
    <tableColumn id="2" xr3:uid="{00000000-0010-0000-0900-000002000000}" name="TOTAL PENJUALAN" dataDxfId="67">
      <calculatedColumnFormula>SUMIF(TBLPRODUKKELUARJULI[TANGGAL],TBLREKAPJULI[[#This Row],[TANGGAL]],TBLPRODUKKELUARJULI[TOTAL HARGA JUAL])</calculatedColumnFormula>
    </tableColumn>
    <tableColumn id="3" xr3:uid="{00000000-0010-0000-0900-000003000000}" name="TOTAL MODAL" dataDxfId="66">
      <calculatedColumnFormula>SUMIF(TBLPRODUKKELUARJULI[TANGGAL],TBLREKAPJULI[[#This Row],[TANGGAL]],TBLPRODUKKELUARJULI[TOTAL MODAL])</calculatedColumnFormula>
    </tableColumn>
    <tableColumn id="4" xr3:uid="{00000000-0010-0000-0900-000004000000}" name="TOTAL KOMISI UTAMA" dataDxfId="65">
      <calculatedColumnFormula>SUMIF(TBLPRODUKKELUARJULI[TANGGAL],TBLREKAPJULI[[#This Row],[TANGGAL]],TBLPRODUKKELUARJULI[TAKE HOME KOMISI UTAMA])</calculatedColumnFormula>
    </tableColumn>
    <tableColumn id="5" xr3:uid="{00000000-0010-0000-0900-000005000000}" name="LABA BERSIH TOKO" dataDxfId="64">
      <calculatedColumnFormula>SUMIF(TBLPRODUKKELUARJULI[TANGGAL],TBLREKAPJULI[[#This Row],[TANGGAL]],TBLPRODUKKELUARJULI[TOTAL LABA BERSIH TOKO])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BLKOMISICAMPURANJUNI" displayName="TBLKOMISICAMPURANJUNI" ref="A3:I5" insertRowShift="1" totalsRowShown="0" headerRowDxfId="63" dataDxfId="62">
  <autoFilter ref="A3:I5" xr:uid="{00000000-0009-0000-0100-000007000000}"/>
  <tableColumns count="9">
    <tableColumn id="1" xr3:uid="{00000000-0010-0000-0A00-000001000000}" name="TAHUN" dataDxfId="61"/>
    <tableColumn id="6" xr3:uid="{00000000-0010-0000-0A00-000006000000}" name="BULAN" dataDxfId="60"/>
    <tableColumn id="4" xr3:uid="{00000000-0010-0000-0A00-000004000000}" name="TANGGAL" dataDxfId="59"/>
    <tableColumn id="2" xr3:uid="{00000000-0010-0000-0A00-000002000000}" name="NAMA MITRA" dataDxfId="58"/>
    <tableColumn id="5" xr3:uid="{00000000-0010-0000-0A00-000005000000}" name="SISA KOMISI" dataDxfId="57"/>
    <tableColumn id="7" xr3:uid="{00000000-0010-0000-0A00-000007000000}" name="KOMISI LAIN LAIN" dataDxfId="56"/>
    <tableColumn id="3" xr3:uid="{00000000-0010-0000-0A00-000003000000}" name="NILAI SISA KOMISI" dataDxfId="55">
      <calculatedColumnFormula>TBLKOMISICAMPURANJUNI[[#This Row],[SISA KOMISI]]</calculatedColumnFormula>
    </tableColumn>
    <tableColumn id="8" xr3:uid="{00000000-0010-0000-0A00-000008000000}" name="NILAI KOMISI LAIN LAIN" dataDxfId="54"/>
    <tableColumn id="9" xr3:uid="{00000000-0010-0000-0A00-000009000000}" name="TOTAL KOMISI" dataDxfId="53">
      <calculatedColumnFormula>TBLKOMISICAMPURANJUNI[[#This Row],[NILAI SISA KOMISI]]+TBLKOMISICAMPURANJUNI[[#This Row],[NILAI KOMISI LAIN LAIN]]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BLKOMISICAMPURANJULI" displayName="TBLKOMISICAMPURANJULI" ref="A9:I23" insertRowShift="1" totalsRowShown="0" headerRowDxfId="52" dataDxfId="51">
  <autoFilter ref="A9:I23" xr:uid="{00000000-0009-0000-0100-00000D000000}"/>
  <tableColumns count="9">
    <tableColumn id="1" xr3:uid="{00000000-0010-0000-0B00-000001000000}" name="TAHUN" dataDxfId="50"/>
    <tableColumn id="6" xr3:uid="{00000000-0010-0000-0B00-000006000000}" name="BULAN" dataDxfId="49"/>
    <tableColumn id="4" xr3:uid="{00000000-0010-0000-0B00-000004000000}" name="TANGGAL" dataDxfId="48"/>
    <tableColumn id="2" xr3:uid="{00000000-0010-0000-0B00-000002000000}" name="NAMA MITRA" dataDxfId="47"/>
    <tableColumn id="5" xr3:uid="{00000000-0010-0000-0B00-000005000000}" name="SISA KOMISI" dataDxfId="46"/>
    <tableColumn id="7" xr3:uid="{00000000-0010-0000-0B00-000007000000}" name="KOMISI LAIN LAIN" dataDxfId="45"/>
    <tableColumn id="3" xr3:uid="{00000000-0010-0000-0B00-000003000000}" name="NILAI SISA KOMISI" dataDxfId="44">
      <calculatedColumnFormula>TBLKOMISICAMPURANJULI[[#This Row],[SISA KOMISI]]</calculatedColumnFormula>
    </tableColumn>
    <tableColumn id="8" xr3:uid="{00000000-0010-0000-0B00-000008000000}" name="NILAI KOMISI LAIN LAIN" dataDxfId="43"/>
    <tableColumn id="9" xr3:uid="{00000000-0010-0000-0B00-000009000000}" name="TOTAL KOMISI" dataDxfId="42">
      <calculatedColumnFormula>TBLKOMISICAMPURANJULI[[#This Row],[NILAI SISA KOMISI]]+TBLKOMISICAMPURANJULI[[#This Row],[NILAI KOMISI LAIN LAIN]]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C000000}" name="TBLREKAPKOMISIJUNI" displayName="TBLREKAPKOMISIJUNI" ref="A3:G23" totalsRowShown="0" headerRowDxfId="41" dataDxfId="40">
  <autoFilter ref="A3:G23" xr:uid="{00000000-0009-0000-0100-000008000000}"/>
  <tableColumns count="7">
    <tableColumn id="5" xr3:uid="{00000000-0010-0000-0C00-000005000000}" name="NAMA MITRA" dataDxfId="39"/>
    <tableColumn id="3" xr3:uid="{00000000-0010-0000-0C00-000003000000}" name="KOMISI UTAMA" dataDxfId="38">
      <calculatedColumnFormula>SUMIF(TBLPRODUKKELUARJUNI[NAMA MITRA],TBLREKAPKOMISIJUNI[[#This Row],[NAMA MITRA]],TBLPRODUKKELUARJUNI[TAKE HOME KOMISI UTAMA])</calculatedColumnFormula>
    </tableColumn>
    <tableColumn id="1" xr3:uid="{00000000-0010-0000-0C00-000001000000}" name="KOMISI LAIN LAIN" dataDxfId="37">
      <calculatedColumnFormula>SUMIF(TBLKOMISICAMPURANJUNI[NAMA MITRA],TBLREKAPKOMISIJUNI[[#This Row],[NAMA MITRA]],TBLKOMISICAMPURANJUNI[TOTAL KOMISI])</calculatedColumnFormula>
    </tableColumn>
    <tableColumn id="6" xr3:uid="{00000000-0010-0000-0C00-000006000000}" name="SISA KOMISI" dataDxfId="36"/>
    <tableColumn id="2" xr3:uid="{00000000-0010-0000-0C00-000002000000}" name="TOTAL KOMISI" dataDxfId="35">
      <calculatedColumnFormula>TBLREKAPKOMISIJUNI[[#This Row],[KOMISI UTAMA]]+TBLREKAPKOMISIJUNI[[#This Row],[KOMISI LAIN LAIN]]+TBLREKAPKOMISIJUNI[[#This Row],[SISA KOMISI]]</calculatedColumnFormula>
    </tableColumn>
    <tableColumn id="4" xr3:uid="{00000000-0010-0000-0C00-000004000000}" name="TARIK KOMISI" dataDxfId="34">
      <calculatedColumnFormula>18977</calculatedColumnFormula>
    </tableColumn>
    <tableColumn id="7" xr3:uid="{00000000-0010-0000-0C00-000007000000}" name="SISA AKHIR KOMISI" dataDxfId="33">
      <calculatedColumnFormula>TBLREKAPKOMISIJUNI[[#This Row],[TOTAL KOMISI]]-TBLREKAPKOMISIJUNI[[#This Row],[TARIK KOMISI]]</calculatedColumnFormula>
    </tableColumn>
  </tableColumns>
  <tableStyleInfo name="TableStyleMedium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REKAPKOMISIJULI" displayName="TBLREKAPKOMISIJULI" ref="A28:G48" totalsRowShown="0" headerRowDxfId="32" dataDxfId="31">
  <autoFilter ref="A28:G48" xr:uid="{00000000-0009-0000-0100-00000E000000}"/>
  <tableColumns count="7">
    <tableColumn id="5" xr3:uid="{00000000-0010-0000-0D00-000005000000}" name="NAMA MITRA" dataDxfId="30"/>
    <tableColumn id="3" xr3:uid="{00000000-0010-0000-0D00-000003000000}" name="KOMISI UTAMA" dataDxfId="29">
      <calculatedColumnFormula>SUMIF(TBLPRODUKKELUARJULI[NAMA MITRA],TBLREKAPKOMISIJULI[[#This Row],[NAMA MITRA]],TBLPRODUKKELUARJULI[TAKE HOME KOMISI UTAMA])</calculatedColumnFormula>
    </tableColumn>
    <tableColumn id="1" xr3:uid="{00000000-0010-0000-0D00-000001000000}" name="KOMISI LAIN LAIN" dataDxfId="28">
      <calculatedColumnFormula>SUMIF(TBLKOMISICAMPURANJULI[NAMA MITRA],TBLREKAPKOMISIJULI[[#This Row],[NAMA MITRA]],TBLKOMISICAMPURANJULI[TOTAL KOMISI])</calculatedColumnFormula>
    </tableColumn>
    <tableColumn id="6" xr3:uid="{00000000-0010-0000-0D00-000006000000}" name="SISA KOMISI" dataDxfId="27">
      <calculatedColumnFormula>G4</calculatedColumnFormula>
    </tableColumn>
    <tableColumn id="2" xr3:uid="{00000000-0010-0000-0D00-000002000000}" name="TOTAL KOMISI" dataDxfId="26">
      <calculatedColumnFormula>TBLREKAPKOMISIJULI[[#This Row],[KOMISI UTAMA]]+TBLREKAPKOMISIJULI[[#This Row],[KOMISI LAIN LAIN]]+TBLREKAPKOMISIJULI[[#This Row],[SISA KOMISI]]</calculatedColumnFormula>
    </tableColumn>
    <tableColumn id="4" xr3:uid="{00000000-0010-0000-0D00-000004000000}" name="TARIK KOMISI" dataDxfId="25">
      <calculatedColumnFormula>18977</calculatedColumnFormula>
    </tableColumn>
    <tableColumn id="7" xr3:uid="{00000000-0010-0000-0D00-000007000000}" name="SISA AKHIR KOMISI" dataDxfId="24">
      <calculatedColumnFormula>TBLREKAPKOMISIJULI[[#This Row],[TOTAL KOMISI]]-TBLREKAPKOMISIJULI[[#This Row],[TARIK KOMISI]]</calculatedColumnFormula>
    </tableColumn>
  </tableColumns>
  <tableStyleInfo name="TableStyleMedium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E000000}" name="TBLNILAIPERALATAN" displayName="TBLNILAIPERALATAN" ref="A3:F31" totalsRowCount="1" headerRowDxfId="23">
  <autoFilter ref="A3:F30" xr:uid="{00000000-0009-0000-0100-00001D000000}"/>
  <tableColumns count="6">
    <tableColumn id="1" xr3:uid="{00000000-0010-0000-0E00-000001000000}" name="KODE" dataDxfId="22" totalsRowDxfId="21"/>
    <tableColumn id="2" xr3:uid="{00000000-0010-0000-0E00-000002000000}" name="NAMA" dataDxfId="20" totalsRowDxfId="19"/>
    <tableColumn id="6" xr3:uid="{00000000-0010-0000-0E00-000006000000}" name="WAKTU PEMBELIAN" dataDxfId="18" totalsRowDxfId="17"/>
    <tableColumn id="5" xr3:uid="{00000000-0010-0000-0E00-000005000000}" name="JANGKA PENDEK" dataDxfId="16" totalsRowDxfId="15"/>
    <tableColumn id="4" xr3:uid="{00000000-0010-0000-0E00-000004000000}" name="JANGKA PANJANG" dataDxfId="14" totalsRowDxfId="13"/>
    <tableColumn id="3" xr3:uid="{00000000-0010-0000-0E00-000003000000}" name="NILAI" totalsRowFunction="custom" dataDxfId="12" totalsRowDxfId="11">
      <totalsRowFormula>SUM(F4:F30)</totalsRow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TBLNILAIPIUTANG" displayName="TBLNILAIPIUTANG" ref="A38:E47" totalsRowCount="1" headerRowDxfId="10">
  <autoFilter ref="A38:E46" xr:uid="{00000000-0009-0000-0100-00000F000000}"/>
  <tableColumns count="5">
    <tableColumn id="1" xr3:uid="{00000000-0010-0000-0F00-000001000000}" name="TAHUN" dataDxfId="9" totalsRowDxfId="8"/>
    <tableColumn id="2" xr3:uid="{00000000-0010-0000-0F00-000002000000}" name="TANGGAL" dataDxfId="7" totalsRowDxfId="6"/>
    <tableColumn id="6" xr3:uid="{00000000-0010-0000-0F00-000006000000}" name="UARAIAN" dataDxfId="5" totalsRowDxfId="4"/>
    <tableColumn id="5" xr3:uid="{00000000-0010-0000-0F00-000005000000}" name="MASUK" totalsRowFunction="custom" dataDxfId="3" totalsRowDxfId="2">
      <totalsRowFormula>SUM(TBLNILAIPIUTANG[MASUK])</totalsRowFormula>
    </tableColumn>
    <tableColumn id="4" xr3:uid="{00000000-0010-0000-0F00-000004000000}" name="KELUAR" totalsRowFunction="custom" dataDxfId="1" totalsRowDxfId="0">
      <totalsRowFormula>SUM(TBLNILAIPIUTANG[KELUAR])</totalsRow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opLeftCell="A7" workbookViewId="0">
      <selection activeCell="C26" sqref="C26"/>
    </sheetView>
  </sheetViews>
  <sheetFormatPr defaultColWidth="9.109375" defaultRowHeight="14.4" x14ac:dyDescent="0.3"/>
  <cols>
    <col min="1" max="1" width="14.5546875" customWidth="1"/>
    <col min="2" max="3" width="27.88671875" customWidth="1"/>
    <col min="4" max="4" width="16.6640625" customWidth="1"/>
    <col min="5" max="5" width="34.5546875" customWidth="1"/>
  </cols>
  <sheetData>
    <row r="1" spans="1:5" ht="26.25" customHeight="1" x14ac:dyDescent="0.5">
      <c r="A1" s="261" t="s">
        <v>4</v>
      </c>
      <c r="B1" s="261"/>
      <c r="C1" s="261"/>
      <c r="D1" s="261"/>
      <c r="E1" s="261"/>
    </row>
    <row r="4" spans="1:5" x14ac:dyDescent="0.3">
      <c r="A4" s="3" t="s">
        <v>55</v>
      </c>
      <c r="B4" s="3" t="s">
        <v>54</v>
      </c>
      <c r="C4" s="3" t="s">
        <v>5</v>
      </c>
      <c r="D4" s="3" t="s">
        <v>6</v>
      </c>
      <c r="E4" s="3" t="s">
        <v>24</v>
      </c>
    </row>
    <row r="5" spans="1:5" x14ac:dyDescent="0.3">
      <c r="A5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A</v>
      </c>
      <c r="B5" t="s">
        <v>415</v>
      </c>
      <c r="C5" t="s">
        <v>12</v>
      </c>
      <c r="D5" s="7"/>
    </row>
    <row r="6" spans="1:5" x14ac:dyDescent="0.3">
      <c r="A6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A</v>
      </c>
      <c r="B6" t="s">
        <v>81</v>
      </c>
      <c r="C6" t="s">
        <v>12</v>
      </c>
      <c r="D6" s="7"/>
    </row>
    <row r="7" spans="1:5" x14ac:dyDescent="0.3">
      <c r="A7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CG</v>
      </c>
      <c r="B7" t="s">
        <v>188</v>
      </c>
      <c r="C7" t="s">
        <v>188</v>
      </c>
      <c r="D7" s="7"/>
    </row>
    <row r="8" spans="1:5" x14ac:dyDescent="0.3">
      <c r="A8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D</v>
      </c>
      <c r="B8" t="s">
        <v>119</v>
      </c>
      <c r="C8" t="s">
        <v>12</v>
      </c>
      <c r="D8" s="38"/>
    </row>
    <row r="9" spans="1:5" x14ac:dyDescent="0.3">
      <c r="A9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D</v>
      </c>
      <c r="B9" t="s">
        <v>14</v>
      </c>
      <c r="C9" t="s">
        <v>12</v>
      </c>
      <c r="D9" s="7"/>
    </row>
    <row r="10" spans="1:5" x14ac:dyDescent="0.3">
      <c r="A10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DZ</v>
      </c>
      <c r="B10" t="s">
        <v>92</v>
      </c>
      <c r="C10" t="s">
        <v>12</v>
      </c>
      <c r="D10" s="38"/>
    </row>
    <row r="11" spans="1:5" x14ac:dyDescent="0.3">
      <c r="A11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G</v>
      </c>
      <c r="B11" t="s">
        <v>442</v>
      </c>
      <c r="C11" t="s">
        <v>12</v>
      </c>
      <c r="D11" s="38"/>
    </row>
    <row r="12" spans="1:5" x14ac:dyDescent="0.3">
      <c r="A12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H</v>
      </c>
      <c r="B12" t="s">
        <v>170</v>
      </c>
      <c r="C12" t="s">
        <v>12</v>
      </c>
      <c r="D12" s="38"/>
    </row>
    <row r="13" spans="1:5" x14ac:dyDescent="0.3">
      <c r="A13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IS</v>
      </c>
      <c r="B13" t="s">
        <v>15</v>
      </c>
      <c r="C13" t="s">
        <v>12</v>
      </c>
      <c r="D13" s="7"/>
    </row>
    <row r="14" spans="1:5" x14ac:dyDescent="0.3">
      <c r="A14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I</v>
      </c>
      <c r="B14" t="s">
        <v>184</v>
      </c>
      <c r="C14" t="s">
        <v>14</v>
      </c>
      <c r="D14" s="38"/>
    </row>
    <row r="15" spans="1:5" x14ac:dyDescent="0.3">
      <c r="A15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IF</v>
      </c>
      <c r="B15" t="s">
        <v>100</v>
      </c>
      <c r="C15" t="s">
        <v>12</v>
      </c>
      <c r="D15" s="38"/>
    </row>
    <row r="16" spans="1:5" x14ac:dyDescent="0.3">
      <c r="A16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KC</v>
      </c>
      <c r="B16" t="s">
        <v>530</v>
      </c>
      <c r="C16" t="s">
        <v>12</v>
      </c>
      <c r="D16" s="38"/>
    </row>
    <row r="17" spans="1:4" x14ac:dyDescent="0.3">
      <c r="A17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L</v>
      </c>
      <c r="B17" t="s">
        <v>311</v>
      </c>
      <c r="C17" t="s">
        <v>188</v>
      </c>
      <c r="D17" s="7"/>
    </row>
    <row r="18" spans="1:4" x14ac:dyDescent="0.3">
      <c r="A18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NT</v>
      </c>
      <c r="B18" t="s">
        <v>85</v>
      </c>
      <c r="C18" t="s">
        <v>12</v>
      </c>
      <c r="D18" s="38"/>
    </row>
    <row r="19" spans="1:4" x14ac:dyDescent="0.3">
      <c r="A19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NP</v>
      </c>
      <c r="B19" t="s">
        <v>236</v>
      </c>
      <c r="C19" t="s">
        <v>12</v>
      </c>
      <c r="D19" s="7"/>
    </row>
    <row r="20" spans="1:4" x14ac:dyDescent="0.3">
      <c r="A20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NHS</v>
      </c>
      <c r="B20" t="s">
        <v>12</v>
      </c>
      <c r="C20" t="s">
        <v>12</v>
      </c>
      <c r="D20" s="7" t="s">
        <v>16</v>
      </c>
    </row>
    <row r="21" spans="1:4" x14ac:dyDescent="0.3">
      <c r="A21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Q</v>
      </c>
      <c r="B21" t="s">
        <v>449</v>
      </c>
      <c r="C21" t="s">
        <v>12</v>
      </c>
      <c r="D21" s="7"/>
    </row>
    <row r="22" spans="1:4" x14ac:dyDescent="0.3">
      <c r="A22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RDA</v>
      </c>
      <c r="B22" t="s">
        <v>39</v>
      </c>
      <c r="C22" t="s">
        <v>12</v>
      </c>
      <c r="D22" s="7"/>
    </row>
    <row r="23" spans="1:4" x14ac:dyDescent="0.3">
      <c r="A23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R</v>
      </c>
      <c r="B23" t="s">
        <v>467</v>
      </c>
      <c r="C23" t="s">
        <v>12</v>
      </c>
      <c r="D23" s="7"/>
    </row>
    <row r="24" spans="1:4" x14ac:dyDescent="0.3">
      <c r="A24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RD</v>
      </c>
      <c r="B24" t="s">
        <v>47</v>
      </c>
      <c r="C24" t="s">
        <v>12</v>
      </c>
      <c r="D24" s="7"/>
    </row>
    <row r="25" spans="1:4" x14ac:dyDescent="0.3">
      <c r="A25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M</v>
      </c>
      <c r="B25" t="s">
        <v>537</v>
      </c>
      <c r="C25" t="s">
        <v>12</v>
      </c>
      <c r="D25" s="7"/>
    </row>
    <row r="26" spans="1:4" x14ac:dyDescent="0.3">
      <c r="A26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R</v>
      </c>
      <c r="B26" t="s">
        <v>69</v>
      </c>
      <c r="C26" t="s">
        <v>12</v>
      </c>
      <c r="D26" s="7"/>
    </row>
    <row r="27" spans="1:4" x14ac:dyDescent="0.3">
      <c r="A27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R</v>
      </c>
      <c r="B27" t="s">
        <v>103</v>
      </c>
      <c r="C27" t="s">
        <v>12</v>
      </c>
      <c r="D27" s="38"/>
    </row>
    <row r="28" spans="1:4" x14ac:dyDescent="0.3">
      <c r="A28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UDL</v>
      </c>
      <c r="B28" t="s">
        <v>13</v>
      </c>
      <c r="C28" t="s">
        <v>12</v>
      </c>
      <c r="D28" s="7"/>
    </row>
    <row r="29" spans="1:4" x14ac:dyDescent="0.3">
      <c r="A29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V</v>
      </c>
      <c r="B29" t="s">
        <v>277</v>
      </c>
      <c r="C29" t="s">
        <v>12</v>
      </c>
      <c r="D29" s="7"/>
    </row>
    <row r="30" spans="1:4" x14ac:dyDescent="0.3">
      <c r="A30" t="str">
        <f>LEFT(TBLDATAMITRAEPC[[#This Row],[NAMA MITRA]],1)&amp;IFERROR(MID(TBLDATAMITRAEPC[[#This Row],[NAMA MITRA]],FIND(" ",TBLDATAMITRAEPC[[#This Row],[NAMA MITRA]],1)+1,1),"")&amp;IFERROR(MID(TBLDATAMITRAEPC[[#This Row],[NAMA MITRA]],FIND(" ",TBLDATAMITRAEPC[[#This Row],[NAMA MITRA]],FIND(" ",TBLDATAMITRAEPC[[#This Row],[NAMA MITRA]],1)+1)+1,1),"")&amp;IFERROR(MID(TBLDATAMITRAEPC[[#This Row],[NAMA MITRA]],FIND(" ",TBLDATAMITRAEPC[[#This Row],[NAMA MITRA]],FIND(" ",TBLDATAMITRAEPC[[#This Row],[NAMA MITRA]],FIND(" ",TBLDATAMITRAEPC[[#This Row],[NAMA MITRA]],1)+1)+1)+1,1),"")&amp;IFERROR(MID(TBLDATAMITRAEPC[[#This Row],[NAMA MITRA]],FIND(" ",TBLDATAMITRAEPC[[#This Row],[NAMA MITRA]],FIND(" ",TBLDATAMITRAEPC[[#This Row],[NAMA MITRA]],FIND(" ",TBLDATAMITRAEPC[[#This Row],[NAMA MITRA]],FIND(" ",TBLDATAMITRAEPC[[#This Row],[NAMA MITRA]],1)+1)+1)+1)+1,1),"")</f>
        <v>V</v>
      </c>
      <c r="B30" t="s">
        <v>438</v>
      </c>
      <c r="C30" t="s">
        <v>12</v>
      </c>
      <c r="D30" s="7"/>
    </row>
    <row r="32" spans="1:4" x14ac:dyDescent="0.3">
      <c r="B32" s="8" t="s">
        <v>7</v>
      </c>
    </row>
    <row r="33" spans="2:2" x14ac:dyDescent="0.3">
      <c r="B33" t="s">
        <v>8</v>
      </c>
    </row>
    <row r="34" spans="2:2" x14ac:dyDescent="0.3">
      <c r="B34" t="s">
        <v>9</v>
      </c>
    </row>
    <row r="35" spans="2:2" x14ac:dyDescent="0.3">
      <c r="B35" t="s">
        <v>10</v>
      </c>
    </row>
    <row r="36" spans="2:2" x14ac:dyDescent="0.3">
      <c r="B36" t="s">
        <v>11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0"/>
  <sheetViews>
    <sheetView workbookViewId="0">
      <pane ySplit="3" topLeftCell="A228" activePane="bottomLeft" state="frozen"/>
      <selection pane="bottomLeft" activeCell="A232" sqref="A232"/>
    </sheetView>
  </sheetViews>
  <sheetFormatPr defaultColWidth="9.109375" defaultRowHeight="14.4" x14ac:dyDescent="0.3"/>
  <cols>
    <col min="1" max="1" width="20.6640625" style="1" bestFit="1" customWidth="1"/>
    <col min="2" max="2" width="24.44140625" style="1" customWidth="1"/>
    <col min="3" max="3" width="18" style="1" bestFit="1" customWidth="1"/>
    <col min="4" max="4" width="32.33203125" style="1" customWidth="1"/>
    <col min="5" max="5" width="34.109375" style="1" customWidth="1"/>
    <col min="6" max="16384" width="9.109375" style="1"/>
  </cols>
  <sheetData>
    <row r="1" spans="1:5" ht="25.8" x14ac:dyDescent="0.3">
      <c r="A1" s="262"/>
      <c r="B1" s="262"/>
      <c r="C1" s="262"/>
      <c r="D1" s="262"/>
      <c r="E1" s="262"/>
    </row>
    <row r="3" spans="1:5" x14ac:dyDescent="0.3">
      <c r="A3" s="1" t="s">
        <v>25</v>
      </c>
      <c r="B3" s="1" t="s">
        <v>26</v>
      </c>
      <c r="C3" s="1" t="s">
        <v>27</v>
      </c>
      <c r="D3" s="1" t="s">
        <v>54</v>
      </c>
      <c r="E3" s="1" t="s">
        <v>5</v>
      </c>
    </row>
    <row r="4" spans="1:5" ht="15" customHeight="1" x14ac:dyDescent="0.3">
      <c r="A4" s="1" t="s">
        <v>300</v>
      </c>
      <c r="B4" s="13"/>
      <c r="C4" s="1" t="s">
        <v>271</v>
      </c>
      <c r="D4" s="1" t="s">
        <v>188</v>
      </c>
      <c r="E4" s="1" t="s">
        <v>12</v>
      </c>
    </row>
    <row r="5" spans="1:5" ht="15" customHeight="1" x14ac:dyDescent="0.3">
      <c r="A5" s="1" t="s">
        <v>179</v>
      </c>
      <c r="B5" s="13"/>
      <c r="C5" s="1" t="s">
        <v>118</v>
      </c>
      <c r="D5" s="1" t="s">
        <v>119</v>
      </c>
      <c r="E5" s="1" t="s">
        <v>12</v>
      </c>
    </row>
    <row r="6" spans="1:5" ht="15" customHeight="1" x14ac:dyDescent="0.3">
      <c r="A6" s="1" t="s">
        <v>173</v>
      </c>
      <c r="B6" s="13"/>
      <c r="C6" s="1" t="s">
        <v>174</v>
      </c>
      <c r="D6" s="1" t="s">
        <v>12</v>
      </c>
      <c r="E6" s="1" t="s">
        <v>12</v>
      </c>
    </row>
    <row r="7" spans="1:5" ht="15" customHeight="1" x14ac:dyDescent="0.3">
      <c r="A7" s="1" t="s">
        <v>190</v>
      </c>
      <c r="B7" s="13"/>
      <c r="C7" s="1" t="s">
        <v>174</v>
      </c>
      <c r="D7" s="1" t="s">
        <v>188</v>
      </c>
      <c r="E7" s="1" t="s">
        <v>12</v>
      </c>
    </row>
    <row r="8" spans="1:5" ht="15" customHeight="1" x14ac:dyDescent="0.3">
      <c r="A8" s="1" t="s">
        <v>123</v>
      </c>
      <c r="B8" s="13"/>
      <c r="C8" s="1" t="s">
        <v>37</v>
      </c>
      <c r="D8" s="1" t="s">
        <v>12</v>
      </c>
      <c r="E8" s="1" t="s">
        <v>12</v>
      </c>
    </row>
    <row r="9" spans="1:5" ht="15" customHeight="1" x14ac:dyDescent="0.3">
      <c r="A9" s="1" t="s">
        <v>238</v>
      </c>
      <c r="B9" s="13"/>
      <c r="C9" s="1" t="s">
        <v>37</v>
      </c>
      <c r="D9" s="1" t="s">
        <v>188</v>
      </c>
      <c r="E9" s="1" t="s">
        <v>12</v>
      </c>
    </row>
    <row r="10" spans="1:5" ht="15" customHeight="1" x14ac:dyDescent="0.3">
      <c r="A10" s="1" t="s">
        <v>320</v>
      </c>
      <c r="B10" s="13"/>
      <c r="C10" s="1" t="s">
        <v>232</v>
      </c>
      <c r="D10" s="1" t="s">
        <v>188</v>
      </c>
      <c r="E10" s="1" t="s">
        <v>12</v>
      </c>
    </row>
    <row r="11" spans="1:5" ht="15" customHeight="1" x14ac:dyDescent="0.3">
      <c r="A11" s="1" t="s">
        <v>80</v>
      </c>
      <c r="B11" s="13"/>
      <c r="C11" s="1" t="s">
        <v>43</v>
      </c>
      <c r="D11" s="1" t="s">
        <v>12</v>
      </c>
      <c r="E11" s="1" t="s">
        <v>12</v>
      </c>
    </row>
    <row r="12" spans="1:5" ht="15" customHeight="1" x14ac:dyDescent="0.3">
      <c r="A12" s="1" t="s">
        <v>191</v>
      </c>
      <c r="B12" s="13"/>
      <c r="C12" s="1" t="s">
        <v>43</v>
      </c>
      <c r="D12" s="1" t="s">
        <v>188</v>
      </c>
      <c r="E12" s="1" t="s">
        <v>12</v>
      </c>
    </row>
    <row r="13" spans="1:5" ht="15" customHeight="1" x14ac:dyDescent="0.3">
      <c r="A13" s="11" t="s">
        <v>46</v>
      </c>
      <c r="B13" s="13"/>
      <c r="C13" s="11" t="s">
        <v>37</v>
      </c>
      <c r="D13" s="1" t="s">
        <v>12</v>
      </c>
      <c r="E13" s="1" t="s">
        <v>12</v>
      </c>
    </row>
    <row r="14" spans="1:5" ht="15" customHeight="1" x14ac:dyDescent="0.3">
      <c r="A14" s="11" t="s">
        <v>192</v>
      </c>
      <c r="B14" s="13"/>
      <c r="C14" s="11" t="s">
        <v>37</v>
      </c>
      <c r="D14" s="1" t="s">
        <v>188</v>
      </c>
      <c r="E14" s="1" t="s">
        <v>12</v>
      </c>
    </row>
    <row r="15" spans="1:5" ht="15" customHeight="1" x14ac:dyDescent="0.3">
      <c r="A15" s="1" t="s">
        <v>71</v>
      </c>
      <c r="B15" s="13"/>
      <c r="C15" s="1" t="s">
        <v>37</v>
      </c>
      <c r="D15" s="1" t="s">
        <v>14</v>
      </c>
      <c r="E15" s="1" t="s">
        <v>12</v>
      </c>
    </row>
    <row r="16" spans="1:5" ht="15" customHeight="1" x14ac:dyDescent="0.3">
      <c r="A16" s="1" t="s">
        <v>472</v>
      </c>
      <c r="B16" s="13"/>
      <c r="C16" s="1" t="s">
        <v>87</v>
      </c>
      <c r="D16" s="1" t="s">
        <v>12</v>
      </c>
      <c r="E16" s="1" t="s">
        <v>12</v>
      </c>
    </row>
    <row r="17" spans="1:5" ht="15" customHeight="1" x14ac:dyDescent="0.3">
      <c r="A17" s="1" t="s">
        <v>91</v>
      </c>
      <c r="B17" s="13"/>
      <c r="C17" s="1" t="s">
        <v>37</v>
      </c>
      <c r="D17" s="1" t="s">
        <v>12</v>
      </c>
      <c r="E17" s="1" t="s">
        <v>12</v>
      </c>
    </row>
    <row r="18" spans="1:5" ht="15" customHeight="1" x14ac:dyDescent="0.3">
      <c r="A18" s="1" t="s">
        <v>193</v>
      </c>
      <c r="B18" s="13"/>
      <c r="C18" s="1" t="s">
        <v>194</v>
      </c>
      <c r="D18" s="1" t="s">
        <v>188</v>
      </c>
      <c r="E18" s="1" t="s">
        <v>12</v>
      </c>
    </row>
    <row r="19" spans="1:5" ht="15" customHeight="1" x14ac:dyDescent="0.3">
      <c r="A19" s="11" t="s">
        <v>34</v>
      </c>
      <c r="B19" s="12"/>
      <c r="C19" s="11" t="s">
        <v>35</v>
      </c>
      <c r="D19" s="1" t="s">
        <v>12</v>
      </c>
      <c r="E19" s="1" t="s">
        <v>12</v>
      </c>
    </row>
    <row r="20" spans="1:5" ht="15" customHeight="1" x14ac:dyDescent="0.3">
      <c r="A20" s="11" t="s">
        <v>195</v>
      </c>
      <c r="B20" s="12"/>
      <c r="C20" s="11" t="s">
        <v>35</v>
      </c>
      <c r="D20" s="1" t="s">
        <v>188</v>
      </c>
      <c r="E20" s="1" t="s">
        <v>12</v>
      </c>
    </row>
    <row r="21" spans="1:5" ht="15" customHeight="1" x14ac:dyDescent="0.3">
      <c r="A21" s="1" t="s">
        <v>415</v>
      </c>
      <c r="B21" s="13"/>
      <c r="C21" s="1" t="s">
        <v>37</v>
      </c>
      <c r="D21" s="1" t="s">
        <v>415</v>
      </c>
      <c r="E21" s="1" t="s">
        <v>12</v>
      </c>
    </row>
    <row r="22" spans="1:5" ht="15" customHeight="1" x14ac:dyDescent="0.3">
      <c r="A22" s="1" t="s">
        <v>255</v>
      </c>
      <c r="B22" s="13"/>
      <c r="C22" s="1" t="s">
        <v>37</v>
      </c>
      <c r="D22" s="1" t="s">
        <v>14</v>
      </c>
      <c r="E22" s="1" t="s">
        <v>12</v>
      </c>
    </row>
    <row r="23" spans="1:5" ht="15" customHeight="1" x14ac:dyDescent="0.3">
      <c r="A23" s="1" t="s">
        <v>256</v>
      </c>
      <c r="B23" s="13"/>
      <c r="C23" s="1" t="s">
        <v>37</v>
      </c>
      <c r="D23" s="1" t="s">
        <v>188</v>
      </c>
      <c r="E23" s="1" t="s">
        <v>12</v>
      </c>
    </row>
    <row r="24" spans="1:5" ht="15" customHeight="1" x14ac:dyDescent="0.3">
      <c r="A24" s="1" t="s">
        <v>81</v>
      </c>
      <c r="B24" s="13"/>
      <c r="C24" s="1" t="s">
        <v>86</v>
      </c>
      <c r="D24" s="1" t="s">
        <v>12</v>
      </c>
      <c r="E24" s="1" t="s">
        <v>12</v>
      </c>
    </row>
    <row r="25" spans="1:5" ht="15" customHeight="1" x14ac:dyDescent="0.3">
      <c r="A25" s="1" t="s">
        <v>315</v>
      </c>
      <c r="B25" s="13"/>
      <c r="C25" s="1" t="s">
        <v>86</v>
      </c>
      <c r="D25" s="1" t="s">
        <v>81</v>
      </c>
      <c r="E25" s="1" t="s">
        <v>12</v>
      </c>
    </row>
    <row r="26" spans="1:5" ht="15" customHeight="1" x14ac:dyDescent="0.3">
      <c r="A26" s="1" t="s">
        <v>197</v>
      </c>
      <c r="B26" s="13"/>
      <c r="C26" s="1" t="s">
        <v>86</v>
      </c>
      <c r="D26" s="1" t="s">
        <v>188</v>
      </c>
      <c r="E26" s="1" t="s">
        <v>12</v>
      </c>
    </row>
    <row r="27" spans="1:5" ht="15" customHeight="1" x14ac:dyDescent="0.3">
      <c r="A27" s="1" t="s">
        <v>436</v>
      </c>
      <c r="B27" s="13"/>
      <c r="C27" s="1" t="s">
        <v>437</v>
      </c>
      <c r="D27" s="1" t="s">
        <v>12</v>
      </c>
      <c r="E27" s="1" t="s">
        <v>12</v>
      </c>
    </row>
    <row r="28" spans="1:5" ht="15" customHeight="1" x14ac:dyDescent="0.3">
      <c r="A28" s="1" t="s">
        <v>571</v>
      </c>
      <c r="B28" s="13"/>
      <c r="C28" s="1" t="s">
        <v>37</v>
      </c>
      <c r="D28" s="1" t="s">
        <v>188</v>
      </c>
      <c r="E28" s="1" t="s">
        <v>12</v>
      </c>
    </row>
    <row r="29" spans="1:5" ht="15" customHeight="1" x14ac:dyDescent="0.3">
      <c r="A29" s="11" t="s">
        <v>308</v>
      </c>
      <c r="B29" s="12"/>
      <c r="C29" s="11" t="s">
        <v>307</v>
      </c>
      <c r="D29" s="1" t="s">
        <v>188</v>
      </c>
      <c r="E29" s="1" t="s">
        <v>12</v>
      </c>
    </row>
    <row r="30" spans="1:5" ht="15" customHeight="1" x14ac:dyDescent="0.3">
      <c r="A30" s="1" t="s">
        <v>257</v>
      </c>
      <c r="B30" s="13"/>
      <c r="C30" s="1" t="s">
        <v>37</v>
      </c>
      <c r="D30" s="1" t="s">
        <v>188</v>
      </c>
      <c r="E30" s="1" t="s">
        <v>12</v>
      </c>
    </row>
    <row r="31" spans="1:5" ht="15" customHeight="1" x14ac:dyDescent="0.3">
      <c r="A31" s="1" t="s">
        <v>258</v>
      </c>
      <c r="B31" s="13"/>
      <c r="C31" s="1" t="s">
        <v>37</v>
      </c>
      <c r="D31" s="1" t="s">
        <v>188</v>
      </c>
      <c r="E31" s="1" t="s">
        <v>12</v>
      </c>
    </row>
    <row r="32" spans="1:5" ht="15" customHeight="1" x14ac:dyDescent="0.3">
      <c r="A32" s="1" t="s">
        <v>253</v>
      </c>
      <c r="B32" s="13"/>
      <c r="C32" s="1" t="s">
        <v>37</v>
      </c>
      <c r="D32" s="1" t="s">
        <v>12</v>
      </c>
      <c r="E32" s="1" t="s">
        <v>12</v>
      </c>
    </row>
    <row r="33" spans="1:5" ht="15" customHeight="1" x14ac:dyDescent="0.3">
      <c r="A33" s="1" t="s">
        <v>254</v>
      </c>
      <c r="B33" s="13"/>
      <c r="C33" s="1" t="s">
        <v>37</v>
      </c>
      <c r="D33" s="1" t="s">
        <v>188</v>
      </c>
      <c r="E33" s="1" t="s">
        <v>12</v>
      </c>
    </row>
    <row r="34" spans="1:5" ht="15" customHeight="1" x14ac:dyDescent="0.3">
      <c r="A34" s="1" t="s">
        <v>319</v>
      </c>
      <c r="B34" s="13"/>
      <c r="C34" s="1" t="s">
        <v>232</v>
      </c>
      <c r="D34" s="1" t="s">
        <v>188</v>
      </c>
      <c r="E34" s="1" t="s">
        <v>12</v>
      </c>
    </row>
    <row r="35" spans="1:5" ht="15" customHeight="1" x14ac:dyDescent="0.3">
      <c r="A35" s="11" t="s">
        <v>314</v>
      </c>
      <c r="B35" s="12"/>
      <c r="C35" s="11" t="s">
        <v>232</v>
      </c>
      <c r="D35" s="1" t="s">
        <v>188</v>
      </c>
      <c r="E35" s="1" t="s">
        <v>12</v>
      </c>
    </row>
    <row r="36" spans="1:5" ht="15" customHeight="1" x14ac:dyDescent="0.3">
      <c r="A36" s="1" t="s">
        <v>314</v>
      </c>
      <c r="B36" s="13"/>
      <c r="C36" s="1" t="s">
        <v>232</v>
      </c>
      <c r="D36" s="1" t="s">
        <v>188</v>
      </c>
      <c r="E36" s="1" t="s">
        <v>12</v>
      </c>
    </row>
    <row r="37" spans="1:5" ht="15" customHeight="1" x14ac:dyDescent="0.3">
      <c r="A37" s="11" t="s">
        <v>429</v>
      </c>
      <c r="B37" s="12"/>
      <c r="C37" s="11" t="s">
        <v>430</v>
      </c>
      <c r="D37" s="1" t="s">
        <v>12</v>
      </c>
      <c r="E37" s="1" t="s">
        <v>12</v>
      </c>
    </row>
    <row r="38" spans="1:5" ht="15" customHeight="1" x14ac:dyDescent="0.3">
      <c r="A38" s="1" t="s">
        <v>440</v>
      </c>
      <c r="B38" s="13"/>
      <c r="C38" s="1" t="s">
        <v>416</v>
      </c>
      <c r="D38" s="1" t="s">
        <v>12</v>
      </c>
      <c r="E38" s="1" t="s">
        <v>12</v>
      </c>
    </row>
    <row r="39" spans="1:5" ht="15" customHeight="1" x14ac:dyDescent="0.3">
      <c r="A39" s="1" t="s">
        <v>451</v>
      </c>
      <c r="B39" s="13"/>
      <c r="C39" s="1" t="s">
        <v>37</v>
      </c>
      <c r="D39" s="1" t="s">
        <v>188</v>
      </c>
      <c r="E39" s="1" t="s">
        <v>12</v>
      </c>
    </row>
    <row r="40" spans="1:5" ht="15" customHeight="1" x14ac:dyDescent="0.3">
      <c r="A40" s="1" t="s">
        <v>420</v>
      </c>
      <c r="B40" s="13"/>
      <c r="C40" s="1" t="s">
        <v>37</v>
      </c>
      <c r="D40" s="1" t="s">
        <v>12</v>
      </c>
      <c r="E40" s="1" t="s">
        <v>12</v>
      </c>
    </row>
    <row r="41" spans="1:5" ht="15" customHeight="1" x14ac:dyDescent="0.3">
      <c r="A41" s="1" t="s">
        <v>496</v>
      </c>
      <c r="B41" s="13"/>
      <c r="C41" s="1" t="s">
        <v>232</v>
      </c>
      <c r="D41" s="1" t="s">
        <v>449</v>
      </c>
      <c r="E41" s="1" t="s">
        <v>12</v>
      </c>
    </row>
    <row r="42" spans="1:5" ht="15" customHeight="1" x14ac:dyDescent="0.3">
      <c r="A42" s="1" t="s">
        <v>529</v>
      </c>
      <c r="B42" s="13"/>
      <c r="C42" s="1" t="s">
        <v>37</v>
      </c>
      <c r="D42" s="1" t="s">
        <v>12</v>
      </c>
      <c r="E42" s="1" t="s">
        <v>12</v>
      </c>
    </row>
    <row r="43" spans="1:5" ht="15" customHeight="1" x14ac:dyDescent="0.3">
      <c r="A43" s="1" t="s">
        <v>180</v>
      </c>
      <c r="B43" s="13"/>
      <c r="C43" s="1" t="s">
        <v>181</v>
      </c>
      <c r="D43" s="1" t="s">
        <v>12</v>
      </c>
      <c r="E43" s="1" t="s">
        <v>12</v>
      </c>
    </row>
    <row r="44" spans="1:5" ht="15" customHeight="1" x14ac:dyDescent="0.3">
      <c r="A44" s="1" t="s">
        <v>196</v>
      </c>
      <c r="B44" s="13"/>
      <c r="C44" s="1" t="s">
        <v>181</v>
      </c>
      <c r="D44" s="1" t="s">
        <v>188</v>
      </c>
      <c r="E44" s="1" t="s">
        <v>12</v>
      </c>
    </row>
    <row r="45" spans="1:5" ht="15" customHeight="1" x14ac:dyDescent="0.3">
      <c r="A45" s="11" t="s">
        <v>422</v>
      </c>
      <c r="B45" s="12"/>
      <c r="C45" s="11" t="s">
        <v>271</v>
      </c>
      <c r="D45" s="1" t="s">
        <v>12</v>
      </c>
      <c r="E45" s="1" t="s">
        <v>12</v>
      </c>
    </row>
    <row r="46" spans="1:5" ht="15" customHeight="1" x14ac:dyDescent="0.3">
      <c r="A46" s="11" t="s">
        <v>425</v>
      </c>
      <c r="B46" s="12"/>
      <c r="C46" s="11" t="s">
        <v>427</v>
      </c>
      <c r="D46" s="1" t="s">
        <v>81</v>
      </c>
      <c r="E46" s="1" t="s">
        <v>12</v>
      </c>
    </row>
    <row r="47" spans="1:5" ht="15" customHeight="1" x14ac:dyDescent="0.3">
      <c r="A47" s="1" t="s">
        <v>421</v>
      </c>
      <c r="B47" s="13"/>
      <c r="C47" s="1" t="s">
        <v>232</v>
      </c>
      <c r="D47" s="1" t="s">
        <v>12</v>
      </c>
      <c r="E47" s="1" t="s">
        <v>12</v>
      </c>
    </row>
    <row r="48" spans="1:5" ht="15" customHeight="1" x14ac:dyDescent="0.3">
      <c r="A48" s="1" t="s">
        <v>452</v>
      </c>
      <c r="B48" s="13"/>
      <c r="C48" s="1" t="s">
        <v>37</v>
      </c>
      <c r="D48" s="1" t="s">
        <v>188</v>
      </c>
      <c r="E48" s="1" t="s">
        <v>12</v>
      </c>
    </row>
    <row r="49" spans="1:5" ht="15" customHeight="1" x14ac:dyDescent="0.3">
      <c r="A49" s="1" t="s">
        <v>489</v>
      </c>
      <c r="B49" s="13"/>
      <c r="C49" s="1" t="s">
        <v>414</v>
      </c>
      <c r="D49" s="1" t="s">
        <v>12</v>
      </c>
      <c r="E49" s="1" t="s">
        <v>12</v>
      </c>
    </row>
    <row r="50" spans="1:5" ht="15" customHeight="1" x14ac:dyDescent="0.3">
      <c r="A50" s="11" t="s">
        <v>426</v>
      </c>
      <c r="B50" s="12"/>
      <c r="C50" s="11" t="s">
        <v>428</v>
      </c>
      <c r="D50" s="1" t="s">
        <v>81</v>
      </c>
      <c r="E50" s="1" t="s">
        <v>12</v>
      </c>
    </row>
    <row r="51" spans="1:5" ht="15" customHeight="1" x14ac:dyDescent="0.3">
      <c r="A51" s="11" t="s">
        <v>443</v>
      </c>
      <c r="B51" s="13"/>
      <c r="C51" s="11"/>
      <c r="D51" s="1" t="s">
        <v>12</v>
      </c>
      <c r="E51" s="1" t="s">
        <v>12</v>
      </c>
    </row>
    <row r="52" spans="1:5" ht="15" customHeight="1" x14ac:dyDescent="0.3">
      <c r="A52" s="1" t="s">
        <v>294</v>
      </c>
      <c r="B52" s="13"/>
      <c r="C52" s="1" t="s">
        <v>174</v>
      </c>
      <c r="D52" s="1" t="s">
        <v>188</v>
      </c>
      <c r="E52" s="1" t="s">
        <v>12</v>
      </c>
    </row>
    <row r="53" spans="1:5" ht="15" customHeight="1" x14ac:dyDescent="0.3">
      <c r="A53" s="1" t="s">
        <v>263</v>
      </c>
      <c r="B53" s="13"/>
      <c r="C53" s="1" t="s">
        <v>37</v>
      </c>
      <c r="D53" s="1" t="s">
        <v>188</v>
      </c>
      <c r="E53" s="1" t="s">
        <v>12</v>
      </c>
    </row>
    <row r="54" spans="1:5" ht="15" customHeight="1" x14ac:dyDescent="0.3">
      <c r="A54" s="1" t="s">
        <v>286</v>
      </c>
      <c r="B54" s="13"/>
      <c r="C54" s="1" t="s">
        <v>287</v>
      </c>
      <c r="D54" s="1" t="s">
        <v>188</v>
      </c>
      <c r="E54" s="1" t="s">
        <v>12</v>
      </c>
    </row>
    <row r="55" spans="1:5" ht="15" customHeight="1" x14ac:dyDescent="0.3">
      <c r="A55" s="1" t="s">
        <v>168</v>
      </c>
      <c r="B55" s="13"/>
      <c r="C55" s="1" t="s">
        <v>43</v>
      </c>
      <c r="D55" s="1" t="s">
        <v>12</v>
      </c>
      <c r="E55" s="1" t="s">
        <v>12</v>
      </c>
    </row>
    <row r="56" spans="1:5" ht="15" customHeight="1" x14ac:dyDescent="0.3">
      <c r="A56" s="1" t="s">
        <v>198</v>
      </c>
      <c r="B56" s="13"/>
      <c r="C56" s="1" t="s">
        <v>43</v>
      </c>
      <c r="D56" s="1" t="s">
        <v>188</v>
      </c>
      <c r="E56" s="1" t="s">
        <v>12</v>
      </c>
    </row>
    <row r="57" spans="1:5" ht="15" customHeight="1" x14ac:dyDescent="0.3">
      <c r="A57" s="1" t="s">
        <v>252</v>
      </c>
      <c r="B57" s="13"/>
      <c r="C57" s="1" t="s">
        <v>37</v>
      </c>
      <c r="D57" s="1" t="s">
        <v>188</v>
      </c>
      <c r="E57" s="1" t="s">
        <v>12</v>
      </c>
    </row>
    <row r="58" spans="1:5" ht="15" customHeight="1" x14ac:dyDescent="0.3">
      <c r="A58" s="1" t="s">
        <v>251</v>
      </c>
      <c r="B58" s="13"/>
      <c r="C58" s="1" t="s">
        <v>37</v>
      </c>
      <c r="D58" s="1" t="s">
        <v>236</v>
      </c>
      <c r="E58" s="1" t="s">
        <v>12</v>
      </c>
    </row>
    <row r="59" spans="1:5" ht="15" customHeight="1" x14ac:dyDescent="0.3">
      <c r="A59" s="1" t="s">
        <v>14</v>
      </c>
      <c r="B59" s="13"/>
      <c r="C59" s="1" t="s">
        <v>37</v>
      </c>
      <c r="D59" s="1" t="s">
        <v>14</v>
      </c>
      <c r="E59" s="1" t="s">
        <v>12</v>
      </c>
    </row>
    <row r="60" spans="1:5" ht="15" customHeight="1" x14ac:dyDescent="0.3">
      <c r="A60" s="1" t="s">
        <v>44</v>
      </c>
      <c r="B60" s="13"/>
      <c r="C60" s="1" t="s">
        <v>37</v>
      </c>
      <c r="D60" s="1" t="s">
        <v>14</v>
      </c>
      <c r="E60" s="1" t="s">
        <v>12</v>
      </c>
    </row>
    <row r="61" spans="1:5" ht="15" customHeight="1" x14ac:dyDescent="0.3">
      <c r="A61" s="1" t="s">
        <v>92</v>
      </c>
      <c r="B61" s="13"/>
      <c r="C61" s="1" t="s">
        <v>93</v>
      </c>
      <c r="D61" s="1" t="s">
        <v>92</v>
      </c>
      <c r="E61" s="1" t="s">
        <v>12</v>
      </c>
    </row>
    <row r="62" spans="1:5" x14ac:dyDescent="0.3">
      <c r="A62" s="1" t="s">
        <v>94</v>
      </c>
      <c r="B62" s="13"/>
      <c r="C62" s="1" t="s">
        <v>93</v>
      </c>
      <c r="D62" s="1" t="s">
        <v>12</v>
      </c>
      <c r="E62" s="1" t="s">
        <v>12</v>
      </c>
    </row>
    <row r="63" spans="1:5" x14ac:dyDescent="0.3">
      <c r="A63" s="1" t="s">
        <v>175</v>
      </c>
      <c r="B63" s="13"/>
      <c r="C63" s="1" t="s">
        <v>35</v>
      </c>
      <c r="D63" s="1" t="s">
        <v>12</v>
      </c>
      <c r="E63" s="1" t="s">
        <v>12</v>
      </c>
    </row>
    <row r="64" spans="1:5" x14ac:dyDescent="0.3">
      <c r="A64" s="1" t="s">
        <v>199</v>
      </c>
      <c r="B64" s="13"/>
      <c r="C64" s="1" t="s">
        <v>35</v>
      </c>
      <c r="D64" s="1" t="s">
        <v>188</v>
      </c>
      <c r="E64" s="1" t="s">
        <v>12</v>
      </c>
    </row>
    <row r="65" spans="1:5" x14ac:dyDescent="0.3">
      <c r="A65" s="1" t="s">
        <v>567</v>
      </c>
      <c r="B65" s="13"/>
      <c r="C65" s="1" t="s">
        <v>568</v>
      </c>
      <c r="D65" s="1" t="s">
        <v>12</v>
      </c>
      <c r="E65" s="1" t="s">
        <v>12</v>
      </c>
    </row>
    <row r="66" spans="1:5" x14ac:dyDescent="0.3">
      <c r="A66" s="11" t="s">
        <v>424</v>
      </c>
      <c r="B66" s="12"/>
      <c r="C66" s="11" t="s">
        <v>150</v>
      </c>
      <c r="D66" s="1" t="s">
        <v>12</v>
      </c>
      <c r="E66" s="1" t="s">
        <v>12</v>
      </c>
    </row>
    <row r="67" spans="1:5" x14ac:dyDescent="0.3">
      <c r="A67" s="1" t="s">
        <v>413</v>
      </c>
      <c r="B67" s="13"/>
      <c r="C67" s="1" t="s">
        <v>414</v>
      </c>
      <c r="D67" s="1" t="s">
        <v>81</v>
      </c>
      <c r="E67" s="1" t="s">
        <v>12</v>
      </c>
    </row>
    <row r="68" spans="1:5" x14ac:dyDescent="0.3">
      <c r="A68" s="1" t="s">
        <v>431</v>
      </c>
      <c r="B68" s="13"/>
      <c r="C68" s="1" t="s">
        <v>37</v>
      </c>
      <c r="D68" s="1" t="s">
        <v>12</v>
      </c>
      <c r="E68" s="1" t="s">
        <v>12</v>
      </c>
    </row>
    <row r="69" spans="1:5" x14ac:dyDescent="0.3">
      <c r="A69" s="1" t="s">
        <v>182</v>
      </c>
      <c r="B69" s="13"/>
      <c r="C69" s="1" t="s">
        <v>183</v>
      </c>
      <c r="D69" s="1" t="s">
        <v>12</v>
      </c>
      <c r="E69" s="1" t="s">
        <v>12</v>
      </c>
    </row>
    <row r="70" spans="1:5" x14ac:dyDescent="0.3">
      <c r="A70" s="1" t="s">
        <v>200</v>
      </c>
      <c r="B70" s="13"/>
      <c r="C70" s="1" t="s">
        <v>183</v>
      </c>
      <c r="D70" s="1" t="s">
        <v>188</v>
      </c>
      <c r="E70" s="1" t="s">
        <v>12</v>
      </c>
    </row>
    <row r="71" spans="1:5" x14ac:dyDescent="0.3">
      <c r="A71" s="1" t="s">
        <v>275</v>
      </c>
      <c r="B71" s="13"/>
      <c r="C71" s="1" t="s">
        <v>37</v>
      </c>
      <c r="D71" s="1" t="s">
        <v>12</v>
      </c>
      <c r="E71" s="1" t="s">
        <v>12</v>
      </c>
    </row>
    <row r="72" spans="1:5" x14ac:dyDescent="0.3">
      <c r="A72" s="1" t="s">
        <v>276</v>
      </c>
      <c r="B72" s="13"/>
      <c r="C72" s="1" t="s">
        <v>37</v>
      </c>
      <c r="D72" s="1" t="s">
        <v>188</v>
      </c>
      <c r="E72" s="1" t="s">
        <v>12</v>
      </c>
    </row>
    <row r="73" spans="1:5" x14ac:dyDescent="0.3">
      <c r="A73" s="1" t="s">
        <v>267</v>
      </c>
      <c r="B73" s="13"/>
      <c r="C73" s="1" t="s">
        <v>271</v>
      </c>
      <c r="D73" s="1" t="s">
        <v>188</v>
      </c>
      <c r="E73" s="1" t="s">
        <v>12</v>
      </c>
    </row>
    <row r="74" spans="1:5" x14ac:dyDescent="0.3">
      <c r="A74" s="1" t="s">
        <v>268</v>
      </c>
      <c r="B74" s="13"/>
      <c r="C74" s="1" t="s">
        <v>271</v>
      </c>
      <c r="D74" s="1" t="s">
        <v>12</v>
      </c>
      <c r="E74" s="1" t="s">
        <v>12</v>
      </c>
    </row>
    <row r="75" spans="1:5" x14ac:dyDescent="0.3">
      <c r="A75" s="11" t="s">
        <v>38</v>
      </c>
      <c r="B75" s="12"/>
      <c r="C75" s="11" t="s">
        <v>37</v>
      </c>
      <c r="D75" s="1" t="s">
        <v>14</v>
      </c>
      <c r="E75" s="1" t="s">
        <v>12</v>
      </c>
    </row>
    <row r="76" spans="1:5" x14ac:dyDescent="0.3">
      <c r="A76" s="1" t="s">
        <v>310</v>
      </c>
      <c r="B76" s="13"/>
      <c r="C76" s="1" t="s">
        <v>37</v>
      </c>
      <c r="D76" s="1" t="s">
        <v>188</v>
      </c>
      <c r="E76" s="1" t="s">
        <v>12</v>
      </c>
    </row>
    <row r="77" spans="1:5" x14ac:dyDescent="0.3">
      <c r="A77" s="11" t="s">
        <v>45</v>
      </c>
      <c r="B77" s="13"/>
      <c r="C77" s="11" t="s">
        <v>37</v>
      </c>
      <c r="D77" s="1" t="s">
        <v>12</v>
      </c>
      <c r="E77" s="1" t="s">
        <v>12</v>
      </c>
    </row>
    <row r="78" spans="1:5" x14ac:dyDescent="0.3">
      <c r="A78" s="11" t="s">
        <v>201</v>
      </c>
      <c r="B78" s="13"/>
      <c r="C78" s="11" t="s">
        <v>37</v>
      </c>
      <c r="D78" s="1" t="s">
        <v>188</v>
      </c>
      <c r="E78" s="1" t="s">
        <v>12</v>
      </c>
    </row>
    <row r="79" spans="1:5" x14ac:dyDescent="0.3">
      <c r="A79" s="11" t="s">
        <v>31</v>
      </c>
      <c r="B79" s="12"/>
      <c r="C79" s="1" t="s">
        <v>32</v>
      </c>
      <c r="D79" s="1" t="s">
        <v>12</v>
      </c>
      <c r="E79" s="1" t="s">
        <v>12</v>
      </c>
    </row>
    <row r="80" spans="1:5" x14ac:dyDescent="0.3">
      <c r="A80" s="11" t="s">
        <v>202</v>
      </c>
      <c r="B80" s="12"/>
      <c r="C80" s="1" t="s">
        <v>32</v>
      </c>
      <c r="D80" s="1" t="s">
        <v>188</v>
      </c>
      <c r="E80" s="1" t="s">
        <v>12</v>
      </c>
    </row>
    <row r="81" spans="1:5" x14ac:dyDescent="0.3">
      <c r="A81" s="1" t="s">
        <v>243</v>
      </c>
      <c r="B81" s="13"/>
      <c r="C81" s="1" t="s">
        <v>244</v>
      </c>
      <c r="D81" s="1" t="s">
        <v>245</v>
      </c>
      <c r="E81" s="1" t="s">
        <v>12</v>
      </c>
    </row>
    <row r="82" spans="1:5" x14ac:dyDescent="0.3">
      <c r="A82" s="1" t="s">
        <v>242</v>
      </c>
      <c r="B82" s="13"/>
      <c r="C82" s="1" t="s">
        <v>244</v>
      </c>
      <c r="D82" s="1" t="s">
        <v>188</v>
      </c>
      <c r="E82" s="1" t="s">
        <v>12</v>
      </c>
    </row>
    <row r="83" spans="1:5" x14ac:dyDescent="0.3">
      <c r="A83" s="1" t="s">
        <v>152</v>
      </c>
      <c r="B83" s="13"/>
      <c r="C83" s="1" t="s">
        <v>153</v>
      </c>
      <c r="D83" s="1" t="s">
        <v>12</v>
      </c>
      <c r="E83" s="1" t="s">
        <v>12</v>
      </c>
    </row>
    <row r="84" spans="1:5" x14ac:dyDescent="0.3">
      <c r="A84" s="1" t="s">
        <v>203</v>
      </c>
      <c r="B84" s="13"/>
      <c r="C84" s="1" t="s">
        <v>153</v>
      </c>
      <c r="D84" s="1" t="s">
        <v>188</v>
      </c>
      <c r="E84" s="1" t="s">
        <v>12</v>
      </c>
    </row>
    <row r="85" spans="1:5" x14ac:dyDescent="0.3">
      <c r="A85" s="1" t="s">
        <v>101</v>
      </c>
      <c r="B85" s="13"/>
      <c r="C85" s="1" t="s">
        <v>37</v>
      </c>
      <c r="D85" s="1" t="s">
        <v>100</v>
      </c>
      <c r="E85" s="1" t="s">
        <v>12</v>
      </c>
    </row>
    <row r="86" spans="1:5" x14ac:dyDescent="0.3">
      <c r="A86" s="1" t="s">
        <v>299</v>
      </c>
      <c r="B86" s="13"/>
      <c r="C86" s="1" t="s">
        <v>37</v>
      </c>
      <c r="D86" s="1" t="s">
        <v>188</v>
      </c>
      <c r="E86" s="1" t="s">
        <v>12</v>
      </c>
    </row>
    <row r="87" spans="1:5" x14ac:dyDescent="0.3">
      <c r="A87" s="11" t="s">
        <v>306</v>
      </c>
      <c r="B87" s="12"/>
      <c r="C87" s="11" t="s">
        <v>37</v>
      </c>
      <c r="D87" s="1" t="s">
        <v>12</v>
      </c>
      <c r="E87" s="1" t="s">
        <v>12</v>
      </c>
    </row>
    <row r="88" spans="1:5" x14ac:dyDescent="0.3">
      <c r="A88" s="1" t="s">
        <v>187</v>
      </c>
      <c r="B88" s="13"/>
      <c r="C88" s="1" t="s">
        <v>185</v>
      </c>
      <c r="D88" s="1" t="s">
        <v>14</v>
      </c>
      <c r="E88" s="1" t="s">
        <v>12</v>
      </c>
    </row>
    <row r="89" spans="1:5" x14ac:dyDescent="0.3">
      <c r="A89" s="1" t="s">
        <v>186</v>
      </c>
      <c r="B89" s="13"/>
      <c r="C89" s="1" t="s">
        <v>185</v>
      </c>
      <c r="D89" s="1" t="s">
        <v>184</v>
      </c>
      <c r="E89" s="1" t="s">
        <v>12</v>
      </c>
    </row>
    <row r="90" spans="1:5" x14ac:dyDescent="0.3">
      <c r="A90" s="1" t="s">
        <v>435</v>
      </c>
      <c r="B90" s="13"/>
      <c r="C90" s="1" t="s">
        <v>232</v>
      </c>
      <c r="D90" s="1" t="s">
        <v>12</v>
      </c>
      <c r="E90" s="1" t="s">
        <v>12</v>
      </c>
    </row>
    <row r="91" spans="1:5" x14ac:dyDescent="0.3">
      <c r="A91" s="1" t="s">
        <v>417</v>
      </c>
      <c r="B91" s="13"/>
      <c r="C91" s="1" t="s">
        <v>416</v>
      </c>
      <c r="D91" s="1" t="s">
        <v>188</v>
      </c>
      <c r="E91" s="1" t="s">
        <v>12</v>
      </c>
    </row>
    <row r="92" spans="1:5" x14ac:dyDescent="0.3">
      <c r="A92" s="1" t="s">
        <v>305</v>
      </c>
      <c r="B92" s="13"/>
      <c r="C92" s="1" t="s">
        <v>37</v>
      </c>
      <c r="D92" s="1" t="s">
        <v>12</v>
      </c>
      <c r="E92" s="1" t="s">
        <v>12</v>
      </c>
    </row>
    <row r="93" spans="1:5" x14ac:dyDescent="0.3">
      <c r="A93" s="1" t="s">
        <v>520</v>
      </c>
      <c r="B93" s="13"/>
      <c r="C93" s="1" t="s">
        <v>37</v>
      </c>
      <c r="D93" s="1" t="s">
        <v>188</v>
      </c>
      <c r="E93" s="1" t="s">
        <v>12</v>
      </c>
    </row>
    <row r="94" spans="1:5" x14ac:dyDescent="0.3">
      <c r="A94" s="1" t="s">
        <v>170</v>
      </c>
      <c r="B94" s="13"/>
      <c r="C94" s="1" t="s">
        <v>171</v>
      </c>
      <c r="D94" s="1" t="s">
        <v>170</v>
      </c>
      <c r="E94" s="1" t="s">
        <v>12</v>
      </c>
    </row>
    <row r="95" spans="1:5" x14ac:dyDescent="0.3">
      <c r="A95" s="1" t="s">
        <v>237</v>
      </c>
      <c r="B95" s="13"/>
      <c r="C95" s="1" t="s">
        <v>171</v>
      </c>
      <c r="D95" s="1" t="s">
        <v>188</v>
      </c>
      <c r="E95" s="1" t="s">
        <v>12</v>
      </c>
    </row>
    <row r="96" spans="1:5" x14ac:dyDescent="0.3">
      <c r="A96" s="1" t="s">
        <v>172</v>
      </c>
      <c r="B96" s="13"/>
      <c r="C96" s="1" t="s">
        <v>171</v>
      </c>
      <c r="D96" s="1" t="s">
        <v>12</v>
      </c>
      <c r="E96" s="1" t="s">
        <v>12</v>
      </c>
    </row>
    <row r="97" spans="1:5" x14ac:dyDescent="0.3">
      <c r="A97" s="1" t="s">
        <v>482</v>
      </c>
      <c r="B97" s="13"/>
      <c r="C97" s="1" t="s">
        <v>37</v>
      </c>
      <c r="D97" s="1" t="s">
        <v>12</v>
      </c>
      <c r="E97" s="1" t="s">
        <v>12</v>
      </c>
    </row>
    <row r="98" spans="1:5" x14ac:dyDescent="0.3">
      <c r="A98" s="1" t="s">
        <v>576</v>
      </c>
      <c r="B98" s="13"/>
      <c r="C98" s="1" t="s">
        <v>37</v>
      </c>
      <c r="D98" s="1" t="s">
        <v>188</v>
      </c>
      <c r="E98" s="1" t="s">
        <v>12</v>
      </c>
    </row>
    <row r="99" spans="1:5" x14ac:dyDescent="0.3">
      <c r="A99" s="11" t="s">
        <v>418</v>
      </c>
      <c r="B99" s="12"/>
      <c r="C99" s="11" t="s">
        <v>41</v>
      </c>
      <c r="D99" s="1" t="s">
        <v>188</v>
      </c>
      <c r="E99" s="1" t="s">
        <v>12</v>
      </c>
    </row>
    <row r="100" spans="1:5" x14ac:dyDescent="0.3">
      <c r="A100" s="11" t="s">
        <v>40</v>
      </c>
      <c r="B100" s="13"/>
      <c r="C100" s="1" t="s">
        <v>41</v>
      </c>
      <c r="D100" s="1" t="s">
        <v>12</v>
      </c>
      <c r="E100" s="1" t="s">
        <v>12</v>
      </c>
    </row>
    <row r="101" spans="1:5" x14ac:dyDescent="0.3">
      <c r="A101" s="11" t="s">
        <v>444</v>
      </c>
      <c r="B101" s="12"/>
      <c r="C101" s="11" t="s">
        <v>37</v>
      </c>
      <c r="D101" s="1" t="s">
        <v>15</v>
      </c>
      <c r="E101" s="1" t="s">
        <v>12</v>
      </c>
    </row>
    <row r="102" spans="1:5" x14ac:dyDescent="0.3">
      <c r="A102" s="1" t="s">
        <v>176</v>
      </c>
      <c r="B102" s="13"/>
      <c r="C102" s="1" t="s">
        <v>37</v>
      </c>
      <c r="D102" s="1" t="s">
        <v>188</v>
      </c>
      <c r="E102" s="1" t="s">
        <v>12</v>
      </c>
    </row>
    <row r="103" spans="1:5" x14ac:dyDescent="0.3">
      <c r="A103" s="1" t="s">
        <v>298</v>
      </c>
      <c r="B103" s="13"/>
      <c r="C103" s="1" t="s">
        <v>37</v>
      </c>
      <c r="D103" s="1" t="s">
        <v>188</v>
      </c>
      <c r="E103" s="1" t="s">
        <v>12</v>
      </c>
    </row>
    <row r="104" spans="1:5" x14ac:dyDescent="0.3">
      <c r="A104" s="1" t="s">
        <v>84</v>
      </c>
      <c r="B104" s="13"/>
      <c r="C104" s="1" t="s">
        <v>87</v>
      </c>
      <c r="D104" s="1" t="s">
        <v>12</v>
      </c>
      <c r="E104" s="1" t="s">
        <v>12</v>
      </c>
    </row>
    <row r="105" spans="1:5" x14ac:dyDescent="0.3">
      <c r="A105" s="1" t="s">
        <v>204</v>
      </c>
      <c r="B105" s="13"/>
      <c r="C105" s="1" t="s">
        <v>87</v>
      </c>
      <c r="D105" s="1" t="s">
        <v>188</v>
      </c>
      <c r="E105" s="1" t="s">
        <v>12</v>
      </c>
    </row>
    <row r="106" spans="1:5" x14ac:dyDescent="0.3">
      <c r="A106" s="1" t="s">
        <v>484</v>
      </c>
      <c r="B106" s="13"/>
      <c r="C106" s="1" t="s">
        <v>232</v>
      </c>
      <c r="D106" s="1" t="s">
        <v>449</v>
      </c>
      <c r="E106" s="1" t="s">
        <v>12</v>
      </c>
    </row>
    <row r="107" spans="1:5" x14ac:dyDescent="0.3">
      <c r="A107" s="1" t="s">
        <v>184</v>
      </c>
      <c r="B107" s="13"/>
      <c r="C107" s="1" t="s">
        <v>185</v>
      </c>
      <c r="D107" s="1" t="s">
        <v>14</v>
      </c>
      <c r="E107" s="1" t="s">
        <v>12</v>
      </c>
    </row>
    <row r="108" spans="1:5" x14ac:dyDescent="0.3">
      <c r="A108" s="1" t="s">
        <v>572</v>
      </c>
      <c r="B108" s="13"/>
      <c r="C108" s="1" t="s">
        <v>536</v>
      </c>
      <c r="D108" s="1" t="s">
        <v>188</v>
      </c>
      <c r="E108" s="1" t="s">
        <v>12</v>
      </c>
    </row>
    <row r="109" spans="1:5" x14ac:dyDescent="0.3">
      <c r="A109" s="1" t="s">
        <v>246</v>
      </c>
      <c r="B109" s="13"/>
      <c r="C109" s="1" t="s">
        <v>248</v>
      </c>
      <c r="D109" s="1" t="s">
        <v>12</v>
      </c>
      <c r="E109" s="1" t="s">
        <v>12</v>
      </c>
    </row>
    <row r="110" spans="1:5" x14ac:dyDescent="0.3">
      <c r="A110" s="1" t="s">
        <v>247</v>
      </c>
      <c r="B110" s="13"/>
      <c r="C110" s="1" t="s">
        <v>248</v>
      </c>
      <c r="D110" s="1" t="s">
        <v>188</v>
      </c>
      <c r="E110" s="1" t="s">
        <v>12</v>
      </c>
    </row>
    <row r="111" spans="1:5" x14ac:dyDescent="0.3">
      <c r="A111" s="11" t="s">
        <v>309</v>
      </c>
      <c r="B111" s="12"/>
      <c r="C111" s="11" t="s">
        <v>37</v>
      </c>
      <c r="D111" s="1" t="s">
        <v>188</v>
      </c>
      <c r="E111" s="1" t="s">
        <v>12</v>
      </c>
    </row>
    <row r="112" spans="1:5" x14ac:dyDescent="0.3">
      <c r="A112" s="1" t="s">
        <v>102</v>
      </c>
      <c r="B112" s="13"/>
      <c r="C112" s="1" t="s">
        <v>37</v>
      </c>
      <c r="D112" s="1" t="s">
        <v>12</v>
      </c>
      <c r="E112" s="1" t="s">
        <v>12</v>
      </c>
    </row>
    <row r="113" spans="1:5" x14ac:dyDescent="0.3">
      <c r="A113" s="1" t="s">
        <v>205</v>
      </c>
      <c r="B113" s="13"/>
      <c r="C113" s="1" t="s">
        <v>37</v>
      </c>
      <c r="D113" s="1" t="s">
        <v>188</v>
      </c>
      <c r="E113" s="1" t="s">
        <v>12</v>
      </c>
    </row>
    <row r="114" spans="1:5" x14ac:dyDescent="0.3">
      <c r="A114" s="1" t="s">
        <v>279</v>
      </c>
      <c r="B114" s="13"/>
      <c r="C114" s="1" t="s">
        <v>37</v>
      </c>
      <c r="D114" s="1" t="s">
        <v>188</v>
      </c>
      <c r="E114" s="1" t="s">
        <v>12</v>
      </c>
    </row>
    <row r="115" spans="1:5" x14ac:dyDescent="0.3">
      <c r="A115" s="1" t="s">
        <v>316</v>
      </c>
      <c r="B115" s="13"/>
      <c r="C115" s="1" t="s">
        <v>185</v>
      </c>
      <c r="D115" s="1" t="s">
        <v>188</v>
      </c>
      <c r="E115" s="1" t="s">
        <v>12</v>
      </c>
    </row>
    <row r="116" spans="1:5" x14ac:dyDescent="0.3">
      <c r="A116" s="1" t="s">
        <v>166</v>
      </c>
      <c r="B116" s="13"/>
      <c r="C116" s="1" t="s">
        <v>167</v>
      </c>
      <c r="D116" s="1" t="s">
        <v>12</v>
      </c>
      <c r="E116" s="1" t="s">
        <v>12</v>
      </c>
    </row>
    <row r="117" spans="1:5" x14ac:dyDescent="0.3">
      <c r="A117" s="1" t="s">
        <v>239</v>
      </c>
      <c r="B117" s="13"/>
      <c r="C117" s="1" t="s">
        <v>167</v>
      </c>
      <c r="D117" s="1" t="s">
        <v>188</v>
      </c>
      <c r="E117" s="1" t="s">
        <v>12</v>
      </c>
    </row>
    <row r="118" spans="1:5" x14ac:dyDescent="0.3">
      <c r="A118" s="1" t="s">
        <v>575</v>
      </c>
      <c r="B118" s="13"/>
      <c r="C118" s="1" t="s">
        <v>185</v>
      </c>
      <c r="D118" s="1" t="s">
        <v>188</v>
      </c>
      <c r="E118" s="1" t="s">
        <v>12</v>
      </c>
    </row>
    <row r="119" spans="1:5" x14ac:dyDescent="0.3">
      <c r="A119" s="1" t="s">
        <v>311</v>
      </c>
      <c r="B119" s="13"/>
      <c r="C119" s="1" t="s">
        <v>37</v>
      </c>
      <c r="D119" s="1" t="s">
        <v>311</v>
      </c>
      <c r="E119" s="1" t="s">
        <v>12</v>
      </c>
    </row>
    <row r="120" spans="1:5" x14ac:dyDescent="0.3">
      <c r="A120" s="1" t="s">
        <v>312</v>
      </c>
      <c r="B120" s="13"/>
      <c r="C120" s="1" t="s">
        <v>37</v>
      </c>
      <c r="D120" s="1" t="s">
        <v>188</v>
      </c>
      <c r="E120" s="1" t="s">
        <v>12</v>
      </c>
    </row>
    <row r="121" spans="1:5" x14ac:dyDescent="0.3">
      <c r="A121" s="11" t="s">
        <v>36</v>
      </c>
      <c r="B121" s="12"/>
      <c r="C121" s="11" t="s">
        <v>37</v>
      </c>
      <c r="D121" s="1" t="s">
        <v>14</v>
      </c>
      <c r="E121" s="1" t="s">
        <v>12</v>
      </c>
    </row>
    <row r="122" spans="1:5" x14ac:dyDescent="0.3">
      <c r="A122" s="1" t="s">
        <v>143</v>
      </c>
      <c r="B122" s="13"/>
      <c r="C122" s="1" t="s">
        <v>37</v>
      </c>
      <c r="D122" s="1" t="s">
        <v>12</v>
      </c>
      <c r="E122" s="1" t="s">
        <v>12</v>
      </c>
    </row>
    <row r="123" spans="1:5" x14ac:dyDescent="0.3">
      <c r="A123" s="1" t="s">
        <v>143</v>
      </c>
      <c r="B123" s="13"/>
      <c r="C123" s="1" t="s">
        <v>37</v>
      </c>
      <c r="D123" s="1" t="s">
        <v>188</v>
      </c>
      <c r="E123" s="1" t="s">
        <v>12</v>
      </c>
    </row>
    <row r="124" spans="1:5" x14ac:dyDescent="0.3">
      <c r="A124" s="1" t="s">
        <v>82</v>
      </c>
      <c r="B124" s="13"/>
      <c r="C124" s="1" t="s">
        <v>87</v>
      </c>
      <c r="D124" s="1" t="s">
        <v>85</v>
      </c>
      <c r="E124" s="1" t="s">
        <v>12</v>
      </c>
    </row>
    <row r="125" spans="1:5" x14ac:dyDescent="0.3">
      <c r="A125" s="1" t="s">
        <v>206</v>
      </c>
      <c r="B125" s="13"/>
      <c r="C125" s="1" t="s">
        <v>87</v>
      </c>
      <c r="D125" s="1" t="s">
        <v>188</v>
      </c>
      <c r="E125" s="1" t="s">
        <v>12</v>
      </c>
    </row>
    <row r="126" spans="1:5" x14ac:dyDescent="0.3">
      <c r="A126" s="1" t="s">
        <v>88</v>
      </c>
      <c r="B126" s="13"/>
      <c r="C126" s="1" t="s">
        <v>87</v>
      </c>
      <c r="D126" s="1" t="s">
        <v>12</v>
      </c>
      <c r="E126" s="1" t="s">
        <v>12</v>
      </c>
    </row>
    <row r="127" spans="1:5" x14ac:dyDescent="0.3">
      <c r="A127" s="1" t="s">
        <v>285</v>
      </c>
      <c r="B127" s="13"/>
      <c r="C127" s="1" t="s">
        <v>271</v>
      </c>
      <c r="D127" s="1" t="s">
        <v>188</v>
      </c>
      <c r="E127" s="1" t="s">
        <v>12</v>
      </c>
    </row>
    <row r="128" spans="1:5" x14ac:dyDescent="0.3">
      <c r="A128" s="1" t="s">
        <v>487</v>
      </c>
      <c r="B128" s="13"/>
      <c r="C128" s="1" t="s">
        <v>486</v>
      </c>
      <c r="D128" s="1" t="s">
        <v>12</v>
      </c>
      <c r="E128" s="1" t="s">
        <v>12</v>
      </c>
    </row>
    <row r="129" spans="1:5" x14ac:dyDescent="0.3">
      <c r="A129" s="1" t="s">
        <v>493</v>
      </c>
      <c r="B129" s="13"/>
      <c r="C129" s="1" t="s">
        <v>37</v>
      </c>
      <c r="D129" s="1" t="s">
        <v>188</v>
      </c>
      <c r="E129" s="1" t="s">
        <v>12</v>
      </c>
    </row>
    <row r="130" spans="1:5" x14ac:dyDescent="0.3">
      <c r="A130" s="1" t="s">
        <v>70</v>
      </c>
      <c r="B130" s="13"/>
      <c r="C130" s="1" t="s">
        <v>37</v>
      </c>
      <c r="D130" s="1" t="s">
        <v>14</v>
      </c>
      <c r="E130" s="1" t="s">
        <v>12</v>
      </c>
    </row>
    <row r="131" spans="1:5" x14ac:dyDescent="0.3">
      <c r="A131" s="1" t="s">
        <v>189</v>
      </c>
      <c r="B131" s="13"/>
      <c r="C131" s="1" t="s">
        <v>37</v>
      </c>
      <c r="D131" s="1" t="s">
        <v>188</v>
      </c>
      <c r="E131" s="1" t="s">
        <v>12</v>
      </c>
    </row>
    <row r="132" spans="1:5" x14ac:dyDescent="0.3">
      <c r="A132" s="1" t="s">
        <v>537</v>
      </c>
      <c r="B132" s="13"/>
      <c r="C132" s="1" t="s">
        <v>37</v>
      </c>
      <c r="D132" s="1" t="s">
        <v>537</v>
      </c>
      <c r="E132" s="1" t="s">
        <v>12</v>
      </c>
    </row>
    <row r="133" spans="1:5" x14ac:dyDescent="0.3">
      <c r="A133" s="1" t="s">
        <v>116</v>
      </c>
      <c r="B133" s="13"/>
      <c r="C133" s="1" t="s">
        <v>118</v>
      </c>
      <c r="D133" s="1" t="s">
        <v>119</v>
      </c>
      <c r="E133" s="1" t="s">
        <v>12</v>
      </c>
    </row>
    <row r="134" spans="1:5" x14ac:dyDescent="0.3">
      <c r="A134" s="1" t="s">
        <v>141</v>
      </c>
      <c r="B134" s="13"/>
      <c r="C134" s="1" t="s">
        <v>37</v>
      </c>
      <c r="D134" s="1" t="s">
        <v>12</v>
      </c>
      <c r="E134" s="1" t="s">
        <v>12</v>
      </c>
    </row>
    <row r="135" spans="1:5" x14ac:dyDescent="0.3">
      <c r="A135" s="1" t="s">
        <v>207</v>
      </c>
      <c r="B135" s="13"/>
      <c r="C135" s="1" t="s">
        <v>37</v>
      </c>
      <c r="D135" s="1" t="s">
        <v>188</v>
      </c>
      <c r="E135" s="1" t="s">
        <v>12</v>
      </c>
    </row>
    <row r="136" spans="1:5" x14ac:dyDescent="0.3">
      <c r="A136" s="1" t="s">
        <v>117</v>
      </c>
      <c r="B136" s="13"/>
      <c r="C136" s="1" t="s">
        <v>118</v>
      </c>
      <c r="D136" s="1" t="s">
        <v>119</v>
      </c>
      <c r="E136" s="1" t="s">
        <v>12</v>
      </c>
    </row>
    <row r="137" spans="1:5" x14ac:dyDescent="0.3">
      <c r="A137" s="1" t="s">
        <v>177</v>
      </c>
      <c r="B137" s="13"/>
      <c r="C137" s="1" t="s">
        <v>178</v>
      </c>
      <c r="D137" s="1" t="s">
        <v>12</v>
      </c>
      <c r="E137" s="1" t="s">
        <v>12</v>
      </c>
    </row>
    <row r="138" spans="1:5" x14ac:dyDescent="0.3">
      <c r="A138" s="1" t="s">
        <v>208</v>
      </c>
      <c r="B138" s="13"/>
      <c r="C138" s="1" t="s">
        <v>178</v>
      </c>
      <c r="D138" s="1" t="s">
        <v>188</v>
      </c>
      <c r="E138" s="1" t="s">
        <v>12</v>
      </c>
    </row>
    <row r="139" spans="1:5" x14ac:dyDescent="0.3">
      <c r="A139" s="1" t="s">
        <v>494</v>
      </c>
      <c r="B139" s="13"/>
      <c r="C139" s="1" t="s">
        <v>37</v>
      </c>
      <c r="D139" s="1" t="s">
        <v>188</v>
      </c>
      <c r="E139" s="1" t="s">
        <v>12</v>
      </c>
    </row>
    <row r="140" spans="1:5" x14ac:dyDescent="0.3">
      <c r="A140" s="11" t="s">
        <v>533</v>
      </c>
      <c r="B140" s="13"/>
      <c r="C140" s="1" t="s">
        <v>37</v>
      </c>
      <c r="D140" s="1" t="s">
        <v>188</v>
      </c>
      <c r="E140" s="1" t="s">
        <v>12</v>
      </c>
    </row>
    <row r="141" spans="1:5" x14ac:dyDescent="0.3">
      <c r="A141" s="11" t="s">
        <v>441</v>
      </c>
      <c r="B141" s="12"/>
      <c r="C141" s="11" t="s">
        <v>183</v>
      </c>
      <c r="D141" s="1" t="s">
        <v>442</v>
      </c>
      <c r="E141" s="1" t="s">
        <v>12</v>
      </c>
    </row>
    <row r="142" spans="1:5" x14ac:dyDescent="0.3">
      <c r="A142" s="1" t="s">
        <v>42</v>
      </c>
      <c r="B142" s="13"/>
      <c r="C142" s="1" t="s">
        <v>43</v>
      </c>
      <c r="D142" s="1" t="s">
        <v>12</v>
      </c>
      <c r="E142" s="1" t="s">
        <v>12</v>
      </c>
    </row>
    <row r="143" spans="1:5" x14ac:dyDescent="0.3">
      <c r="A143" s="1" t="s">
        <v>209</v>
      </c>
      <c r="B143" s="13"/>
      <c r="C143" s="1" t="s">
        <v>43</v>
      </c>
      <c r="D143" s="1" t="s">
        <v>188</v>
      </c>
      <c r="E143" s="1" t="s">
        <v>12</v>
      </c>
    </row>
    <row r="144" spans="1:5" x14ac:dyDescent="0.3">
      <c r="A144" s="1" t="s">
        <v>48</v>
      </c>
      <c r="B144" s="13"/>
      <c r="C144" s="1" t="s">
        <v>49</v>
      </c>
      <c r="D144" s="1" t="s">
        <v>12</v>
      </c>
      <c r="E144" s="1" t="s">
        <v>12</v>
      </c>
    </row>
    <row r="145" spans="1:5" x14ac:dyDescent="0.3">
      <c r="A145" s="1" t="s">
        <v>210</v>
      </c>
      <c r="B145" s="13"/>
      <c r="C145" s="1" t="s">
        <v>49</v>
      </c>
      <c r="D145" s="1" t="s">
        <v>188</v>
      </c>
      <c r="E145" s="1" t="s">
        <v>12</v>
      </c>
    </row>
    <row r="146" spans="1:5" x14ac:dyDescent="0.3">
      <c r="A146" s="11" t="s">
        <v>28</v>
      </c>
      <c r="B146" s="12"/>
      <c r="C146" s="1" t="s">
        <v>29</v>
      </c>
      <c r="D146" s="1" t="s">
        <v>30</v>
      </c>
      <c r="E146" s="1" t="s">
        <v>12</v>
      </c>
    </row>
    <row r="147" spans="1:5" x14ac:dyDescent="0.3">
      <c r="A147" s="11" t="s">
        <v>211</v>
      </c>
      <c r="B147" s="12"/>
      <c r="C147" s="1" t="s">
        <v>29</v>
      </c>
      <c r="D147" s="1" t="s">
        <v>188</v>
      </c>
      <c r="E147" s="1" t="s">
        <v>12</v>
      </c>
    </row>
    <row r="148" spans="1:5" x14ac:dyDescent="0.3">
      <c r="A148" s="1" t="s">
        <v>83</v>
      </c>
      <c r="B148" s="13"/>
      <c r="C148" s="1" t="s">
        <v>87</v>
      </c>
      <c r="D148" s="1" t="s">
        <v>85</v>
      </c>
      <c r="E148" s="1" t="s">
        <v>12</v>
      </c>
    </row>
    <row r="149" spans="1:5" x14ac:dyDescent="0.3">
      <c r="A149" s="1" t="s">
        <v>212</v>
      </c>
      <c r="B149" s="13"/>
      <c r="C149" s="1" t="s">
        <v>87</v>
      </c>
      <c r="D149" s="1" t="s">
        <v>188</v>
      </c>
      <c r="E149" s="1" t="s">
        <v>12</v>
      </c>
    </row>
    <row r="150" spans="1:5" x14ac:dyDescent="0.3">
      <c r="A150" s="1" t="s">
        <v>488</v>
      </c>
      <c r="B150" s="13"/>
      <c r="C150" s="1" t="s">
        <v>150</v>
      </c>
      <c r="D150" s="1" t="s">
        <v>12</v>
      </c>
      <c r="E150" s="1" t="s">
        <v>12</v>
      </c>
    </row>
    <row r="151" spans="1:5" x14ac:dyDescent="0.3">
      <c r="A151" s="1" t="s">
        <v>89</v>
      </c>
      <c r="B151" s="13"/>
      <c r="C151" s="1" t="s">
        <v>87</v>
      </c>
      <c r="D151" s="1" t="s">
        <v>12</v>
      </c>
      <c r="E151" s="1" t="s">
        <v>12</v>
      </c>
    </row>
    <row r="152" spans="1:5" x14ac:dyDescent="0.3">
      <c r="A152" s="1" t="s">
        <v>149</v>
      </c>
      <c r="B152" s="13"/>
      <c r="C152" s="1" t="s">
        <v>150</v>
      </c>
      <c r="D152" s="1" t="s">
        <v>12</v>
      </c>
      <c r="E152" s="1" t="s">
        <v>12</v>
      </c>
    </row>
    <row r="153" spans="1:5" x14ac:dyDescent="0.3">
      <c r="A153" s="1" t="s">
        <v>213</v>
      </c>
      <c r="B153" s="13"/>
      <c r="C153" s="1" t="s">
        <v>150</v>
      </c>
      <c r="D153" s="1" t="s">
        <v>188</v>
      </c>
      <c r="E153" s="1" t="s">
        <v>12</v>
      </c>
    </row>
    <row r="154" spans="1:5" x14ac:dyDescent="0.3">
      <c r="A154" s="11" t="s">
        <v>490</v>
      </c>
      <c r="B154" s="13"/>
      <c r="C154" s="11" t="s">
        <v>37</v>
      </c>
      <c r="D154" s="1" t="s">
        <v>12</v>
      </c>
      <c r="E154" s="1" t="s">
        <v>12</v>
      </c>
    </row>
    <row r="155" spans="1:5" x14ac:dyDescent="0.3">
      <c r="A155" s="1" t="s">
        <v>95</v>
      </c>
      <c r="B155" s="13"/>
      <c r="C155" s="1" t="s">
        <v>29</v>
      </c>
      <c r="D155" s="1" t="s">
        <v>12</v>
      </c>
      <c r="E155" s="1" t="s">
        <v>12</v>
      </c>
    </row>
    <row r="156" spans="1:5" x14ac:dyDescent="0.3">
      <c r="A156" s="1" t="s">
        <v>214</v>
      </c>
      <c r="B156" s="13"/>
      <c r="C156" s="1" t="s">
        <v>29</v>
      </c>
      <c r="D156" s="1" t="s">
        <v>188</v>
      </c>
      <c r="E156" s="1" t="s">
        <v>12</v>
      </c>
    </row>
    <row r="157" spans="1:5" x14ac:dyDescent="0.3">
      <c r="A157" s="1" t="s">
        <v>165</v>
      </c>
      <c r="B157" s="13"/>
      <c r="C157" s="1" t="s">
        <v>37</v>
      </c>
      <c r="D157" s="1" t="s">
        <v>12</v>
      </c>
      <c r="E157" s="1" t="s">
        <v>12</v>
      </c>
    </row>
    <row r="158" spans="1:5" x14ac:dyDescent="0.3">
      <c r="A158" s="1" t="s">
        <v>215</v>
      </c>
      <c r="B158" s="13"/>
      <c r="C158" s="1" t="s">
        <v>37</v>
      </c>
      <c r="D158" s="1" t="s">
        <v>188</v>
      </c>
      <c r="E158" s="1" t="s">
        <v>12</v>
      </c>
    </row>
    <row r="159" spans="1:5" x14ac:dyDescent="0.3">
      <c r="A159" s="1" t="s">
        <v>453</v>
      </c>
      <c r="B159" s="13"/>
      <c r="C159" s="1" t="s">
        <v>37</v>
      </c>
      <c r="D159" s="1" t="s">
        <v>188</v>
      </c>
      <c r="E159" s="1" t="s">
        <v>12</v>
      </c>
    </row>
    <row r="160" spans="1:5" x14ac:dyDescent="0.3">
      <c r="A160" s="1" t="s">
        <v>249</v>
      </c>
      <c r="B160" s="13"/>
      <c r="C160" s="1" t="s">
        <v>37</v>
      </c>
      <c r="D160" s="1" t="s">
        <v>236</v>
      </c>
      <c r="E160" s="1" t="s">
        <v>12</v>
      </c>
    </row>
    <row r="161" spans="1:5" x14ac:dyDescent="0.3">
      <c r="A161" s="1" t="s">
        <v>250</v>
      </c>
      <c r="B161" s="13"/>
      <c r="C161" s="1" t="s">
        <v>37</v>
      </c>
      <c r="D161" s="1" t="s">
        <v>188</v>
      </c>
      <c r="E161" s="1" t="s">
        <v>12</v>
      </c>
    </row>
    <row r="162" spans="1:5" x14ac:dyDescent="0.3">
      <c r="A162" s="1" t="s">
        <v>163</v>
      </c>
      <c r="B162" s="13"/>
      <c r="C162" s="1" t="s">
        <v>35</v>
      </c>
      <c r="D162" s="1" t="s">
        <v>12</v>
      </c>
      <c r="E162" s="1" t="s">
        <v>12</v>
      </c>
    </row>
    <row r="163" spans="1:5" x14ac:dyDescent="0.3">
      <c r="A163" s="1" t="s">
        <v>216</v>
      </c>
      <c r="B163" s="13"/>
      <c r="C163" s="1" t="s">
        <v>35</v>
      </c>
      <c r="D163" s="1" t="s">
        <v>188</v>
      </c>
      <c r="E163" s="1" t="s">
        <v>12</v>
      </c>
    </row>
    <row r="164" spans="1:5" x14ac:dyDescent="0.3">
      <c r="A164" s="1" t="s">
        <v>521</v>
      </c>
      <c r="B164" s="13"/>
      <c r="C164" s="1" t="s">
        <v>37</v>
      </c>
      <c r="D164" s="1" t="s">
        <v>188</v>
      </c>
      <c r="E164" s="1" t="s">
        <v>12</v>
      </c>
    </row>
    <row r="165" spans="1:5" x14ac:dyDescent="0.3">
      <c r="A165" s="1" t="s">
        <v>447</v>
      </c>
      <c r="B165" s="13"/>
      <c r="C165" s="1" t="s">
        <v>448</v>
      </c>
      <c r="D165" s="1" t="s">
        <v>188</v>
      </c>
      <c r="E165" s="1" t="s">
        <v>12</v>
      </c>
    </row>
    <row r="166" spans="1:5" x14ac:dyDescent="0.3">
      <c r="A166" s="1" t="s">
        <v>142</v>
      </c>
      <c r="B166" s="13"/>
      <c r="C166" s="1" t="s">
        <v>37</v>
      </c>
      <c r="D166" s="1" t="s">
        <v>12</v>
      </c>
      <c r="E166" s="1" t="s">
        <v>12</v>
      </c>
    </row>
    <row r="167" spans="1:5" x14ac:dyDescent="0.3">
      <c r="A167" s="1" t="s">
        <v>218</v>
      </c>
      <c r="B167" s="13"/>
      <c r="C167" s="1" t="s">
        <v>37</v>
      </c>
      <c r="D167" s="1" t="s">
        <v>188</v>
      </c>
      <c r="E167" s="1" t="s">
        <v>12</v>
      </c>
    </row>
    <row r="168" spans="1:5" x14ac:dyDescent="0.3">
      <c r="A168" s="1" t="s">
        <v>156</v>
      </c>
      <c r="B168" s="13"/>
      <c r="C168" s="1" t="s">
        <v>37</v>
      </c>
      <c r="D168" s="1" t="s">
        <v>12</v>
      </c>
      <c r="E168" s="1" t="s">
        <v>12</v>
      </c>
    </row>
    <row r="169" spans="1:5" x14ac:dyDescent="0.3">
      <c r="A169" s="1" t="s">
        <v>217</v>
      </c>
      <c r="B169" s="13"/>
      <c r="C169" s="1" t="s">
        <v>37</v>
      </c>
      <c r="D169" s="1" t="s">
        <v>188</v>
      </c>
      <c r="E169" s="1" t="s">
        <v>12</v>
      </c>
    </row>
    <row r="170" spans="1:5" x14ac:dyDescent="0.3">
      <c r="A170" s="1" t="s">
        <v>234</v>
      </c>
      <c r="B170" s="13"/>
      <c r="C170" s="1" t="s">
        <v>185</v>
      </c>
      <c r="D170" s="1" t="s">
        <v>236</v>
      </c>
      <c r="E170" s="1" t="s">
        <v>12</v>
      </c>
    </row>
    <row r="171" spans="1:5" x14ac:dyDescent="0.3">
      <c r="A171" s="1" t="s">
        <v>235</v>
      </c>
      <c r="B171" s="13"/>
      <c r="C171" s="1" t="s">
        <v>185</v>
      </c>
      <c r="D171" s="1" t="s">
        <v>188</v>
      </c>
      <c r="E171" s="1" t="s">
        <v>12</v>
      </c>
    </row>
    <row r="172" spans="1:5" x14ac:dyDescent="0.3">
      <c r="A172" s="1" t="s">
        <v>450</v>
      </c>
      <c r="B172" s="13"/>
      <c r="C172" s="1" t="s">
        <v>307</v>
      </c>
      <c r="D172" s="1" t="s">
        <v>449</v>
      </c>
      <c r="E172" s="1" t="s">
        <v>12</v>
      </c>
    </row>
    <row r="173" spans="1:5" x14ac:dyDescent="0.3">
      <c r="A173" s="1" t="s">
        <v>535</v>
      </c>
      <c r="B173" s="13"/>
      <c r="C173" s="1" t="s">
        <v>536</v>
      </c>
      <c r="D173" s="1" t="s">
        <v>188</v>
      </c>
      <c r="E173" s="1" t="s">
        <v>12</v>
      </c>
    </row>
    <row r="174" spans="1:5" x14ac:dyDescent="0.3">
      <c r="A174" s="1" t="s">
        <v>532</v>
      </c>
      <c r="B174" s="13"/>
      <c r="C174" s="1" t="s">
        <v>232</v>
      </c>
      <c r="D174" s="1" t="s">
        <v>12</v>
      </c>
      <c r="E174" s="1" t="s">
        <v>12</v>
      </c>
    </row>
    <row r="175" spans="1:5" x14ac:dyDescent="0.3">
      <c r="A175" s="1" t="s">
        <v>574</v>
      </c>
      <c r="B175" s="13"/>
      <c r="C175" s="1" t="s">
        <v>32</v>
      </c>
      <c r="D175" s="1" t="s">
        <v>12</v>
      </c>
      <c r="E175" s="1" t="s">
        <v>12</v>
      </c>
    </row>
    <row r="176" spans="1:5" x14ac:dyDescent="0.3">
      <c r="A176" s="1" t="s">
        <v>528</v>
      </c>
      <c r="B176" s="13"/>
      <c r="C176" s="1" t="s">
        <v>232</v>
      </c>
      <c r="D176" s="1" t="s">
        <v>530</v>
      </c>
      <c r="E176" s="1" t="s">
        <v>12</v>
      </c>
    </row>
    <row r="177" spans="1:5" x14ac:dyDescent="0.3">
      <c r="A177" s="1" t="s">
        <v>148</v>
      </c>
      <c r="B177" s="13"/>
      <c r="C177" s="1" t="s">
        <v>37</v>
      </c>
      <c r="D177" s="1" t="s">
        <v>12</v>
      </c>
      <c r="E177" s="1" t="s">
        <v>12</v>
      </c>
    </row>
    <row r="178" spans="1:5" x14ac:dyDescent="0.3">
      <c r="A178" s="1" t="s">
        <v>219</v>
      </c>
      <c r="B178" s="13"/>
      <c r="C178" s="1" t="s">
        <v>37</v>
      </c>
      <c r="D178" s="1" t="s">
        <v>188</v>
      </c>
      <c r="E178" s="1" t="s">
        <v>12</v>
      </c>
    </row>
    <row r="179" spans="1:5" x14ac:dyDescent="0.3">
      <c r="A179" s="1" t="s">
        <v>296</v>
      </c>
      <c r="B179" s="13"/>
      <c r="C179" s="1" t="s">
        <v>297</v>
      </c>
      <c r="D179" s="1" t="s">
        <v>188</v>
      </c>
      <c r="E179" s="1" t="s">
        <v>12</v>
      </c>
    </row>
    <row r="180" spans="1:5" x14ac:dyDescent="0.3">
      <c r="A180" s="1" t="s">
        <v>304</v>
      </c>
      <c r="B180" s="13"/>
      <c r="C180" s="1" t="s">
        <v>303</v>
      </c>
      <c r="D180" s="1" t="s">
        <v>188</v>
      </c>
      <c r="E180" s="1" t="s">
        <v>12</v>
      </c>
    </row>
    <row r="181" spans="1:5" x14ac:dyDescent="0.3">
      <c r="A181" s="1" t="s">
        <v>146</v>
      </c>
      <c r="B181" s="13"/>
      <c r="C181" s="1" t="s">
        <v>37</v>
      </c>
      <c r="D181" s="1" t="s">
        <v>12</v>
      </c>
      <c r="E181" s="1" t="s">
        <v>12</v>
      </c>
    </row>
    <row r="182" spans="1:5" x14ac:dyDescent="0.3">
      <c r="A182" s="1" t="s">
        <v>220</v>
      </c>
      <c r="B182" s="13"/>
      <c r="C182" s="1" t="s">
        <v>37</v>
      </c>
      <c r="D182" s="1" t="s">
        <v>188</v>
      </c>
      <c r="E182" s="1" t="s">
        <v>12</v>
      </c>
    </row>
    <row r="183" spans="1:5" x14ac:dyDescent="0.3">
      <c r="A183" s="1" t="s">
        <v>412</v>
      </c>
      <c r="B183" s="13"/>
      <c r="C183" s="1" t="s">
        <v>232</v>
      </c>
      <c r="D183" s="1" t="s">
        <v>188</v>
      </c>
      <c r="E183" s="1" t="s">
        <v>12</v>
      </c>
    </row>
    <row r="184" spans="1:5" x14ac:dyDescent="0.3">
      <c r="A184" s="1" t="s">
        <v>495</v>
      </c>
      <c r="B184" s="13"/>
      <c r="C184" s="1" t="s">
        <v>37</v>
      </c>
      <c r="D184" s="1" t="s">
        <v>12</v>
      </c>
      <c r="E184" s="1" t="s">
        <v>12</v>
      </c>
    </row>
    <row r="185" spans="1:5" x14ac:dyDescent="0.3">
      <c r="A185" s="1" t="s">
        <v>39</v>
      </c>
      <c r="B185" s="12"/>
      <c r="C185" s="11" t="s">
        <v>35</v>
      </c>
      <c r="D185" s="1" t="s">
        <v>39</v>
      </c>
      <c r="E185" s="1" t="s">
        <v>12</v>
      </c>
    </row>
    <row r="186" spans="1:5" x14ac:dyDescent="0.3">
      <c r="A186" s="1" t="s">
        <v>147</v>
      </c>
      <c r="B186" s="13"/>
      <c r="C186" s="1" t="s">
        <v>37</v>
      </c>
      <c r="D186" s="1" t="s">
        <v>12</v>
      </c>
      <c r="E186" s="1" t="s">
        <v>12</v>
      </c>
    </row>
    <row r="187" spans="1:5" x14ac:dyDescent="0.3">
      <c r="A187" s="1" t="s">
        <v>221</v>
      </c>
      <c r="B187" s="13"/>
      <c r="C187" s="1" t="s">
        <v>37</v>
      </c>
      <c r="D187" s="1" t="s">
        <v>188</v>
      </c>
      <c r="E187" s="1" t="s">
        <v>12</v>
      </c>
    </row>
    <row r="188" spans="1:5" x14ac:dyDescent="0.3">
      <c r="A188" s="1" t="s">
        <v>446</v>
      </c>
      <c r="B188" s="13"/>
      <c r="C188" s="1" t="s">
        <v>37</v>
      </c>
      <c r="D188" s="1" t="s">
        <v>467</v>
      </c>
      <c r="E188" s="1" t="s">
        <v>12</v>
      </c>
    </row>
    <row r="189" spans="1:5" x14ac:dyDescent="0.3">
      <c r="A189" s="1" t="s">
        <v>301</v>
      </c>
      <c r="B189" s="13"/>
      <c r="C189" s="1" t="s">
        <v>232</v>
      </c>
      <c r="D189" s="1" t="s">
        <v>188</v>
      </c>
      <c r="E189" s="1" t="s">
        <v>12</v>
      </c>
    </row>
    <row r="190" spans="1:5" x14ac:dyDescent="0.3">
      <c r="A190" s="1" t="s">
        <v>47</v>
      </c>
      <c r="B190" s="13"/>
      <c r="C190" s="11" t="s">
        <v>32</v>
      </c>
      <c r="D190" s="1" t="s">
        <v>12</v>
      </c>
      <c r="E190" s="1" t="s">
        <v>12</v>
      </c>
    </row>
    <row r="191" spans="1:5" x14ac:dyDescent="0.3">
      <c r="A191" s="1" t="s">
        <v>222</v>
      </c>
      <c r="B191" s="13"/>
      <c r="C191" s="11" t="s">
        <v>32</v>
      </c>
      <c r="D191" s="1" t="s">
        <v>188</v>
      </c>
      <c r="E191" s="1" t="s">
        <v>12</v>
      </c>
    </row>
    <row r="192" spans="1:5" x14ac:dyDescent="0.3">
      <c r="A192" s="1" t="s">
        <v>240</v>
      </c>
      <c r="B192" s="13"/>
      <c r="C192" s="1" t="s">
        <v>118</v>
      </c>
      <c r="D192" s="1" t="s">
        <v>119</v>
      </c>
      <c r="E192" s="1" t="s">
        <v>12</v>
      </c>
    </row>
    <row r="193" spans="1:5" x14ac:dyDescent="0.3">
      <c r="A193" s="1" t="s">
        <v>241</v>
      </c>
      <c r="B193" s="13"/>
      <c r="C193" s="1" t="s">
        <v>118</v>
      </c>
      <c r="D193" s="1" t="s">
        <v>188</v>
      </c>
      <c r="E193" s="1" t="s">
        <v>12</v>
      </c>
    </row>
    <row r="194" spans="1:5" x14ac:dyDescent="0.3">
      <c r="A194" s="1" t="s">
        <v>69</v>
      </c>
      <c r="B194" s="13"/>
      <c r="C194" s="1" t="s">
        <v>37</v>
      </c>
      <c r="D194" s="1" t="s">
        <v>14</v>
      </c>
      <c r="E194" s="1" t="s">
        <v>12</v>
      </c>
    </row>
    <row r="195" spans="1:5" x14ac:dyDescent="0.3">
      <c r="A195" s="1" t="s">
        <v>280</v>
      </c>
      <c r="B195" s="13"/>
      <c r="C195" s="1" t="s">
        <v>37</v>
      </c>
      <c r="D195" s="1" t="s">
        <v>188</v>
      </c>
      <c r="E195" s="1" t="s">
        <v>12</v>
      </c>
    </row>
    <row r="196" spans="1:5" x14ac:dyDescent="0.3">
      <c r="A196" s="1" t="s">
        <v>313</v>
      </c>
      <c r="B196" s="13"/>
      <c r="C196" s="1" t="s">
        <v>37</v>
      </c>
      <c r="D196" s="1" t="s">
        <v>188</v>
      </c>
      <c r="E196" s="1" t="s">
        <v>12</v>
      </c>
    </row>
    <row r="197" spans="1:5" x14ac:dyDescent="0.3">
      <c r="A197" s="1" t="s">
        <v>103</v>
      </c>
      <c r="B197" s="13"/>
      <c r="C197" s="1" t="s">
        <v>104</v>
      </c>
      <c r="D197" s="1" t="s">
        <v>103</v>
      </c>
      <c r="E197" s="1" t="s">
        <v>12</v>
      </c>
    </row>
    <row r="198" spans="1:5" x14ac:dyDescent="0.3">
      <c r="A198" s="1" t="s">
        <v>223</v>
      </c>
      <c r="B198" s="13"/>
      <c r="C198" s="1" t="s">
        <v>104</v>
      </c>
      <c r="D198" s="1" t="s">
        <v>188</v>
      </c>
      <c r="E198" s="1" t="s">
        <v>12</v>
      </c>
    </row>
    <row r="199" spans="1:5" x14ac:dyDescent="0.3">
      <c r="A199" s="1" t="s">
        <v>105</v>
      </c>
      <c r="B199" s="13"/>
      <c r="C199" s="1" t="s">
        <v>104</v>
      </c>
      <c r="D199" s="1" t="s">
        <v>12</v>
      </c>
      <c r="E199" s="1" t="s">
        <v>12</v>
      </c>
    </row>
    <row r="200" spans="1:5" x14ac:dyDescent="0.3">
      <c r="A200" s="1" t="s">
        <v>120</v>
      </c>
      <c r="B200" s="13"/>
      <c r="C200" s="1" t="s">
        <v>121</v>
      </c>
      <c r="D200" s="1" t="s">
        <v>12</v>
      </c>
      <c r="E200" s="1" t="s">
        <v>12</v>
      </c>
    </row>
    <row r="201" spans="1:5" x14ac:dyDescent="0.3">
      <c r="A201" s="1" t="s">
        <v>224</v>
      </c>
      <c r="B201" s="13"/>
      <c r="C201" s="1" t="s">
        <v>121</v>
      </c>
      <c r="D201" s="1" t="s">
        <v>188</v>
      </c>
      <c r="E201" s="1" t="s">
        <v>12</v>
      </c>
    </row>
    <row r="202" spans="1:5" x14ac:dyDescent="0.3">
      <c r="A202" s="1" t="s">
        <v>90</v>
      </c>
      <c r="B202" s="13"/>
      <c r="C202" s="1" t="s">
        <v>37</v>
      </c>
      <c r="D202" s="1" t="s">
        <v>12</v>
      </c>
      <c r="E202" s="1" t="s">
        <v>12</v>
      </c>
    </row>
    <row r="203" spans="1:5" x14ac:dyDescent="0.3">
      <c r="A203" s="1" t="s">
        <v>225</v>
      </c>
      <c r="B203" s="13"/>
      <c r="C203" s="1" t="s">
        <v>37</v>
      </c>
      <c r="D203" s="1" t="s">
        <v>188</v>
      </c>
      <c r="E203" s="1" t="s">
        <v>12</v>
      </c>
    </row>
    <row r="204" spans="1:5" x14ac:dyDescent="0.3">
      <c r="A204" s="1" t="s">
        <v>269</v>
      </c>
      <c r="B204" s="13"/>
      <c r="C204" s="1" t="s">
        <v>272</v>
      </c>
      <c r="D204" s="1" t="s">
        <v>188</v>
      </c>
      <c r="E204" s="1" t="s">
        <v>12</v>
      </c>
    </row>
    <row r="205" spans="1:5" x14ac:dyDescent="0.3">
      <c r="A205" s="1" t="s">
        <v>270</v>
      </c>
      <c r="B205" s="13"/>
      <c r="C205" s="1" t="s">
        <v>272</v>
      </c>
      <c r="D205" s="1" t="s">
        <v>12</v>
      </c>
      <c r="E205" s="1" t="s">
        <v>12</v>
      </c>
    </row>
    <row r="206" spans="1:5" x14ac:dyDescent="0.3">
      <c r="A206" s="1" t="s">
        <v>492</v>
      </c>
      <c r="B206" s="13"/>
      <c r="C206" s="1" t="s">
        <v>244</v>
      </c>
      <c r="D206" s="1" t="s">
        <v>188</v>
      </c>
      <c r="E206" s="1" t="s">
        <v>12</v>
      </c>
    </row>
    <row r="207" spans="1:5" x14ac:dyDescent="0.3">
      <c r="A207" s="1" t="s">
        <v>432</v>
      </c>
      <c r="B207" s="13"/>
      <c r="C207" s="1" t="s">
        <v>37</v>
      </c>
      <c r="D207" s="1" t="s">
        <v>12</v>
      </c>
      <c r="E207" s="1" t="s">
        <v>12</v>
      </c>
    </row>
    <row r="208" spans="1:5" x14ac:dyDescent="0.3">
      <c r="A208" s="1" t="s">
        <v>169</v>
      </c>
      <c r="B208" s="13"/>
      <c r="C208" s="1" t="s">
        <v>37</v>
      </c>
      <c r="D208" s="1" t="s">
        <v>12</v>
      </c>
      <c r="E208" s="1" t="s">
        <v>12</v>
      </c>
    </row>
    <row r="209" spans="1:5" x14ac:dyDescent="0.3">
      <c r="A209" s="1" t="s">
        <v>226</v>
      </c>
      <c r="B209" s="13"/>
      <c r="C209" s="1" t="s">
        <v>37</v>
      </c>
      <c r="D209" s="1" t="s">
        <v>188</v>
      </c>
      <c r="E209" s="1" t="s">
        <v>12</v>
      </c>
    </row>
    <row r="210" spans="1:5" x14ac:dyDescent="0.3">
      <c r="A210" s="1" t="s">
        <v>231</v>
      </c>
      <c r="B210" s="13"/>
      <c r="C210" s="1" t="s">
        <v>232</v>
      </c>
      <c r="D210" s="1" t="s">
        <v>236</v>
      </c>
      <c r="E210" s="1" t="s">
        <v>12</v>
      </c>
    </row>
    <row r="211" spans="1:5" x14ac:dyDescent="0.3">
      <c r="A211" s="1" t="s">
        <v>233</v>
      </c>
      <c r="B211" s="13"/>
      <c r="C211" s="1" t="s">
        <v>232</v>
      </c>
      <c r="D211" s="1" t="s">
        <v>188</v>
      </c>
      <c r="E211" s="1" t="s">
        <v>12</v>
      </c>
    </row>
    <row r="212" spans="1:5" x14ac:dyDescent="0.3">
      <c r="A212" s="1" t="s">
        <v>133</v>
      </c>
      <c r="B212" s="13"/>
      <c r="C212" s="1" t="s">
        <v>37</v>
      </c>
      <c r="D212" s="1" t="s">
        <v>13</v>
      </c>
      <c r="E212" s="1" t="s">
        <v>12</v>
      </c>
    </row>
    <row r="213" spans="1:5" x14ac:dyDescent="0.3">
      <c r="A213" s="1" t="s">
        <v>227</v>
      </c>
      <c r="B213" s="13"/>
      <c r="C213" s="1" t="s">
        <v>37</v>
      </c>
      <c r="D213" s="1" t="s">
        <v>188</v>
      </c>
      <c r="E213" s="1" t="s">
        <v>12</v>
      </c>
    </row>
    <row r="214" spans="1:5" x14ac:dyDescent="0.3">
      <c r="A214" s="1" t="s">
        <v>134</v>
      </c>
      <c r="B214" s="13"/>
      <c r="C214" s="1" t="s">
        <v>37</v>
      </c>
      <c r="D214" s="1" t="s">
        <v>12</v>
      </c>
      <c r="E214" s="1" t="s">
        <v>12</v>
      </c>
    </row>
    <row r="215" spans="1:5" x14ac:dyDescent="0.3">
      <c r="A215" s="1" t="s">
        <v>277</v>
      </c>
      <c r="B215" s="13"/>
      <c r="C215" s="1" t="s">
        <v>37</v>
      </c>
      <c r="D215" s="1" t="s">
        <v>12</v>
      </c>
      <c r="E215" s="1" t="s">
        <v>12</v>
      </c>
    </row>
    <row r="216" spans="1:5" x14ac:dyDescent="0.3">
      <c r="A216" s="1" t="s">
        <v>278</v>
      </c>
      <c r="B216" s="13"/>
      <c r="C216" s="1" t="s">
        <v>37</v>
      </c>
      <c r="D216" s="1" t="s">
        <v>188</v>
      </c>
      <c r="E216" s="1" t="s">
        <v>12</v>
      </c>
    </row>
    <row r="217" spans="1:5" x14ac:dyDescent="0.3">
      <c r="A217" s="1" t="s">
        <v>419</v>
      </c>
      <c r="B217" s="13"/>
      <c r="C217" s="1" t="s">
        <v>37</v>
      </c>
      <c r="D217" s="1" t="s">
        <v>277</v>
      </c>
      <c r="E217" s="1" t="s">
        <v>12</v>
      </c>
    </row>
    <row r="218" spans="1:5" x14ac:dyDescent="0.3">
      <c r="A218" s="1" t="s">
        <v>264</v>
      </c>
      <c r="B218" s="13"/>
      <c r="C218" s="1" t="s">
        <v>104</v>
      </c>
      <c r="D218" s="1" t="s">
        <v>12</v>
      </c>
      <c r="E218" s="1" t="s">
        <v>12</v>
      </c>
    </row>
    <row r="219" spans="1:5" x14ac:dyDescent="0.3">
      <c r="A219" s="1" t="s">
        <v>265</v>
      </c>
      <c r="B219" s="13"/>
      <c r="C219" s="1" t="s">
        <v>104</v>
      </c>
      <c r="D219" s="1" t="s">
        <v>188</v>
      </c>
      <c r="E219" s="1" t="s">
        <v>12</v>
      </c>
    </row>
    <row r="220" spans="1:5" x14ac:dyDescent="0.3">
      <c r="A220" s="1" t="s">
        <v>438</v>
      </c>
      <c r="B220" s="13"/>
      <c r="C220" s="1" t="s">
        <v>439</v>
      </c>
      <c r="D220" s="1" t="s">
        <v>438</v>
      </c>
      <c r="E220" s="1" t="s">
        <v>12</v>
      </c>
    </row>
    <row r="221" spans="1:5" x14ac:dyDescent="0.3">
      <c r="A221" s="1" t="s">
        <v>318</v>
      </c>
      <c r="B221" s="13"/>
      <c r="C221" s="1" t="s">
        <v>307</v>
      </c>
      <c r="D221" s="1" t="s">
        <v>188</v>
      </c>
      <c r="E221" s="1" t="s">
        <v>12</v>
      </c>
    </row>
    <row r="222" spans="1:5" x14ac:dyDescent="0.3">
      <c r="A222" s="1" t="s">
        <v>162</v>
      </c>
      <c r="B222" s="13"/>
      <c r="C222" s="1" t="s">
        <v>37</v>
      </c>
      <c r="D222" s="1" t="s">
        <v>12</v>
      </c>
      <c r="E222" s="1" t="s">
        <v>12</v>
      </c>
    </row>
    <row r="223" spans="1:5" x14ac:dyDescent="0.3">
      <c r="A223" s="1" t="s">
        <v>228</v>
      </c>
      <c r="B223" s="13"/>
      <c r="C223" s="1" t="s">
        <v>37</v>
      </c>
      <c r="D223" s="1" t="s">
        <v>188</v>
      </c>
      <c r="E223" s="1" t="s">
        <v>12</v>
      </c>
    </row>
    <row r="224" spans="1:5" x14ac:dyDescent="0.3">
      <c r="A224" s="11" t="s">
        <v>302</v>
      </c>
      <c r="B224" s="12"/>
      <c r="C224" s="11" t="s">
        <v>271</v>
      </c>
      <c r="D224" s="1" t="s">
        <v>188</v>
      </c>
      <c r="E224" s="1" t="s">
        <v>12</v>
      </c>
    </row>
    <row r="225" spans="1:5" x14ac:dyDescent="0.3">
      <c r="A225" s="1" t="s">
        <v>295</v>
      </c>
      <c r="B225" s="13"/>
      <c r="C225" s="1" t="s">
        <v>37</v>
      </c>
      <c r="D225" s="1" t="s">
        <v>188</v>
      </c>
      <c r="E225" s="1" t="s">
        <v>12</v>
      </c>
    </row>
    <row r="226" spans="1:5" x14ac:dyDescent="0.3">
      <c r="A226" s="11" t="s">
        <v>33</v>
      </c>
      <c r="B226" s="12"/>
      <c r="C226" s="1" t="s">
        <v>29</v>
      </c>
      <c r="D226" s="1" t="s">
        <v>12</v>
      </c>
      <c r="E226" s="1" t="s">
        <v>12</v>
      </c>
    </row>
    <row r="227" spans="1:5" x14ac:dyDescent="0.3">
      <c r="A227" s="1" t="s">
        <v>229</v>
      </c>
      <c r="B227" s="13"/>
      <c r="C227" s="1" t="s">
        <v>29</v>
      </c>
      <c r="D227" s="1" t="s">
        <v>188</v>
      </c>
      <c r="E227" s="1" t="s">
        <v>12</v>
      </c>
    </row>
    <row r="228" spans="1:5" x14ac:dyDescent="0.3">
      <c r="A228" s="1" t="s">
        <v>527</v>
      </c>
      <c r="B228" s="13"/>
      <c r="C228" s="1" t="s">
        <v>232</v>
      </c>
      <c r="D228" s="1" t="s">
        <v>449</v>
      </c>
      <c r="E228" s="1" t="s">
        <v>12</v>
      </c>
    </row>
    <row r="229" spans="1:5" x14ac:dyDescent="0.3">
      <c r="A229" s="1" t="s">
        <v>273</v>
      </c>
      <c r="B229" s="13"/>
      <c r="C229" s="1" t="s">
        <v>29</v>
      </c>
      <c r="D229" s="1" t="s">
        <v>188</v>
      </c>
      <c r="E229" s="1" t="s">
        <v>12</v>
      </c>
    </row>
    <row r="230" spans="1:5" x14ac:dyDescent="0.3">
      <c r="A230" s="1" t="s">
        <v>274</v>
      </c>
      <c r="B230" s="13"/>
      <c r="C230" s="1" t="s">
        <v>29</v>
      </c>
      <c r="D230" s="1" t="s">
        <v>188</v>
      </c>
      <c r="E230" s="1" t="s">
        <v>12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B1:M68"/>
  <sheetViews>
    <sheetView zoomScaleNormal="100" workbookViewId="0">
      <pane xSplit="2" ySplit="3" topLeftCell="C52" activePane="bottomRight" state="frozen"/>
      <selection pane="topRight" activeCell="E1" sqref="E1"/>
      <selection pane="bottomLeft" activeCell="A4" sqref="A4"/>
      <selection pane="bottomRight" activeCell="D61" sqref="D61"/>
    </sheetView>
  </sheetViews>
  <sheetFormatPr defaultRowHeight="15.6" x14ac:dyDescent="0.3"/>
  <cols>
    <col min="1" max="1" width="9.109375" style="106"/>
    <col min="2" max="2" width="62.6640625" style="107" customWidth="1"/>
    <col min="3" max="3" width="20.44140625" style="106" customWidth="1"/>
    <col min="4" max="4" width="17.88671875" style="128" customWidth="1"/>
    <col min="5" max="5" width="20.33203125" style="128" customWidth="1"/>
    <col min="6" max="6" width="13.88671875" style="128" customWidth="1"/>
    <col min="7" max="7" width="15.5546875" style="128" customWidth="1"/>
    <col min="8" max="8" width="10.6640625" style="107" customWidth="1"/>
    <col min="9" max="9" width="10.109375" style="107" customWidth="1"/>
    <col min="10" max="10" width="12.6640625" style="103" customWidth="1"/>
    <col min="11" max="245" width="9.109375" style="106"/>
    <col min="246" max="246" width="45.5546875" style="106" customWidth="1"/>
    <col min="247" max="247" width="17.6640625" style="106" customWidth="1"/>
    <col min="248" max="501" width="9.109375" style="106"/>
    <col min="502" max="502" width="45.5546875" style="106" customWidth="1"/>
    <col min="503" max="503" width="17.6640625" style="106" customWidth="1"/>
    <col min="504" max="757" width="9.109375" style="106"/>
    <col min="758" max="758" width="45.5546875" style="106" customWidth="1"/>
    <col min="759" max="759" width="17.6640625" style="106" customWidth="1"/>
    <col min="760" max="1013" width="9.109375" style="106"/>
    <col min="1014" max="1014" width="45.5546875" style="106" customWidth="1"/>
    <col min="1015" max="1015" width="17.6640625" style="106" customWidth="1"/>
    <col min="1016" max="1269" width="9.109375" style="106"/>
    <col min="1270" max="1270" width="45.5546875" style="106" customWidth="1"/>
    <col min="1271" max="1271" width="17.6640625" style="106" customWidth="1"/>
    <col min="1272" max="1525" width="9.109375" style="106"/>
    <col min="1526" max="1526" width="45.5546875" style="106" customWidth="1"/>
    <col min="1527" max="1527" width="17.6640625" style="106" customWidth="1"/>
    <col min="1528" max="1781" width="9.109375" style="106"/>
    <col min="1782" max="1782" width="45.5546875" style="106" customWidth="1"/>
    <col min="1783" max="1783" width="17.6640625" style="106" customWidth="1"/>
    <col min="1784" max="2037" width="9.109375" style="106"/>
    <col min="2038" max="2038" width="45.5546875" style="106" customWidth="1"/>
    <col min="2039" max="2039" width="17.6640625" style="106" customWidth="1"/>
    <col min="2040" max="2293" width="9.109375" style="106"/>
    <col min="2294" max="2294" width="45.5546875" style="106" customWidth="1"/>
    <col min="2295" max="2295" width="17.6640625" style="106" customWidth="1"/>
    <col min="2296" max="2549" width="9.109375" style="106"/>
    <col min="2550" max="2550" width="45.5546875" style="106" customWidth="1"/>
    <col min="2551" max="2551" width="17.6640625" style="106" customWidth="1"/>
    <col min="2552" max="2805" width="9.109375" style="106"/>
    <col min="2806" max="2806" width="45.5546875" style="106" customWidth="1"/>
    <col min="2807" max="2807" width="17.6640625" style="106" customWidth="1"/>
    <col min="2808" max="3061" width="9.109375" style="106"/>
    <col min="3062" max="3062" width="45.5546875" style="106" customWidth="1"/>
    <col min="3063" max="3063" width="17.6640625" style="106" customWidth="1"/>
    <col min="3064" max="3317" width="9.109375" style="106"/>
    <col min="3318" max="3318" width="45.5546875" style="106" customWidth="1"/>
    <col min="3319" max="3319" width="17.6640625" style="106" customWidth="1"/>
    <col min="3320" max="3573" width="9.109375" style="106"/>
    <col min="3574" max="3574" width="45.5546875" style="106" customWidth="1"/>
    <col min="3575" max="3575" width="17.6640625" style="106" customWidth="1"/>
    <col min="3576" max="3829" width="9.109375" style="106"/>
    <col min="3830" max="3830" width="45.5546875" style="106" customWidth="1"/>
    <col min="3831" max="3831" width="17.6640625" style="106" customWidth="1"/>
    <col min="3832" max="4085" width="9.109375" style="106"/>
    <col min="4086" max="4086" width="45.5546875" style="106" customWidth="1"/>
    <col min="4087" max="4087" width="17.6640625" style="106" customWidth="1"/>
    <col min="4088" max="4341" width="9.109375" style="106"/>
    <col min="4342" max="4342" width="45.5546875" style="106" customWidth="1"/>
    <col min="4343" max="4343" width="17.6640625" style="106" customWidth="1"/>
    <col min="4344" max="4597" width="9.109375" style="106"/>
    <col min="4598" max="4598" width="45.5546875" style="106" customWidth="1"/>
    <col min="4599" max="4599" width="17.6640625" style="106" customWidth="1"/>
    <col min="4600" max="4853" width="9.109375" style="106"/>
    <col min="4854" max="4854" width="45.5546875" style="106" customWidth="1"/>
    <col min="4855" max="4855" width="17.6640625" style="106" customWidth="1"/>
    <col min="4856" max="5109" width="9.109375" style="106"/>
    <col min="5110" max="5110" width="45.5546875" style="106" customWidth="1"/>
    <col min="5111" max="5111" width="17.6640625" style="106" customWidth="1"/>
    <col min="5112" max="5365" width="9.109375" style="106"/>
    <col min="5366" max="5366" width="45.5546875" style="106" customWidth="1"/>
    <col min="5367" max="5367" width="17.6640625" style="106" customWidth="1"/>
    <col min="5368" max="5621" width="9.109375" style="106"/>
    <col min="5622" max="5622" width="45.5546875" style="106" customWidth="1"/>
    <col min="5623" max="5623" width="17.6640625" style="106" customWidth="1"/>
    <col min="5624" max="5877" width="9.109375" style="106"/>
    <col min="5878" max="5878" width="45.5546875" style="106" customWidth="1"/>
    <col min="5879" max="5879" width="17.6640625" style="106" customWidth="1"/>
    <col min="5880" max="6133" width="9.109375" style="106"/>
    <col min="6134" max="6134" width="45.5546875" style="106" customWidth="1"/>
    <col min="6135" max="6135" width="17.6640625" style="106" customWidth="1"/>
    <col min="6136" max="6389" width="9.109375" style="106"/>
    <col min="6390" max="6390" width="45.5546875" style="106" customWidth="1"/>
    <col min="6391" max="6391" width="17.6640625" style="106" customWidth="1"/>
    <col min="6392" max="6645" width="9.109375" style="106"/>
    <col min="6646" max="6646" width="45.5546875" style="106" customWidth="1"/>
    <col min="6647" max="6647" width="17.6640625" style="106" customWidth="1"/>
    <col min="6648" max="6901" width="9.109375" style="106"/>
    <col min="6902" max="6902" width="45.5546875" style="106" customWidth="1"/>
    <col min="6903" max="6903" width="17.6640625" style="106" customWidth="1"/>
    <col min="6904" max="7157" width="9.109375" style="106"/>
    <col min="7158" max="7158" width="45.5546875" style="106" customWidth="1"/>
    <col min="7159" max="7159" width="17.6640625" style="106" customWidth="1"/>
    <col min="7160" max="7413" width="9.109375" style="106"/>
    <col min="7414" max="7414" width="45.5546875" style="106" customWidth="1"/>
    <col min="7415" max="7415" width="17.6640625" style="106" customWidth="1"/>
    <col min="7416" max="7669" width="9.109375" style="106"/>
    <col min="7670" max="7670" width="45.5546875" style="106" customWidth="1"/>
    <col min="7671" max="7671" width="17.6640625" style="106" customWidth="1"/>
    <col min="7672" max="7925" width="9.109375" style="106"/>
    <col min="7926" max="7926" width="45.5546875" style="106" customWidth="1"/>
    <col min="7927" max="7927" width="17.6640625" style="106" customWidth="1"/>
    <col min="7928" max="8181" width="9.109375" style="106"/>
    <col min="8182" max="8182" width="45.5546875" style="106" customWidth="1"/>
    <col min="8183" max="8183" width="17.6640625" style="106" customWidth="1"/>
    <col min="8184" max="8437" width="9.109375" style="106"/>
    <col min="8438" max="8438" width="45.5546875" style="106" customWidth="1"/>
    <col min="8439" max="8439" width="17.6640625" style="106" customWidth="1"/>
    <col min="8440" max="8693" width="9.109375" style="106"/>
    <col min="8694" max="8694" width="45.5546875" style="106" customWidth="1"/>
    <col min="8695" max="8695" width="17.6640625" style="106" customWidth="1"/>
    <col min="8696" max="8949" width="9.109375" style="106"/>
    <col min="8950" max="8950" width="45.5546875" style="106" customWidth="1"/>
    <col min="8951" max="8951" width="17.6640625" style="106" customWidth="1"/>
    <col min="8952" max="9205" width="9.109375" style="106"/>
    <col min="9206" max="9206" width="45.5546875" style="106" customWidth="1"/>
    <col min="9207" max="9207" width="17.6640625" style="106" customWidth="1"/>
    <col min="9208" max="9461" width="9.109375" style="106"/>
    <col min="9462" max="9462" width="45.5546875" style="106" customWidth="1"/>
    <col min="9463" max="9463" width="17.6640625" style="106" customWidth="1"/>
    <col min="9464" max="9717" width="9.109375" style="106"/>
    <col min="9718" max="9718" width="45.5546875" style="106" customWidth="1"/>
    <col min="9719" max="9719" width="17.6640625" style="106" customWidth="1"/>
    <col min="9720" max="9973" width="9.109375" style="106"/>
    <col min="9974" max="9974" width="45.5546875" style="106" customWidth="1"/>
    <col min="9975" max="9975" width="17.6640625" style="106" customWidth="1"/>
    <col min="9976" max="10229" width="9.109375" style="106"/>
    <col min="10230" max="10230" width="45.5546875" style="106" customWidth="1"/>
    <col min="10231" max="10231" width="17.6640625" style="106" customWidth="1"/>
    <col min="10232" max="10485" width="9.109375" style="106"/>
    <col min="10486" max="10486" width="45.5546875" style="106" customWidth="1"/>
    <col min="10487" max="10487" width="17.6640625" style="106" customWidth="1"/>
    <col min="10488" max="10741" width="9.109375" style="106"/>
    <col min="10742" max="10742" width="45.5546875" style="106" customWidth="1"/>
    <col min="10743" max="10743" width="17.6640625" style="106" customWidth="1"/>
    <col min="10744" max="10997" width="9.109375" style="106"/>
    <col min="10998" max="10998" width="45.5546875" style="106" customWidth="1"/>
    <col min="10999" max="10999" width="17.6640625" style="106" customWidth="1"/>
    <col min="11000" max="11253" width="9.109375" style="106"/>
    <col min="11254" max="11254" width="45.5546875" style="106" customWidth="1"/>
    <col min="11255" max="11255" width="17.6640625" style="106" customWidth="1"/>
    <col min="11256" max="11509" width="9.109375" style="106"/>
    <col min="11510" max="11510" width="45.5546875" style="106" customWidth="1"/>
    <col min="11511" max="11511" width="17.6640625" style="106" customWidth="1"/>
    <col min="11512" max="11765" width="9.109375" style="106"/>
    <col min="11766" max="11766" width="45.5546875" style="106" customWidth="1"/>
    <col min="11767" max="11767" width="17.6640625" style="106" customWidth="1"/>
    <col min="11768" max="12021" width="9.109375" style="106"/>
    <col min="12022" max="12022" width="45.5546875" style="106" customWidth="1"/>
    <col min="12023" max="12023" width="17.6640625" style="106" customWidth="1"/>
    <col min="12024" max="12277" width="9.109375" style="106"/>
    <col min="12278" max="12278" width="45.5546875" style="106" customWidth="1"/>
    <col min="12279" max="12279" width="17.6640625" style="106" customWidth="1"/>
    <col min="12280" max="12533" width="9.109375" style="106"/>
    <col min="12534" max="12534" width="45.5546875" style="106" customWidth="1"/>
    <col min="12535" max="12535" width="17.6640625" style="106" customWidth="1"/>
    <col min="12536" max="12789" width="9.109375" style="106"/>
    <col min="12790" max="12790" width="45.5546875" style="106" customWidth="1"/>
    <col min="12791" max="12791" width="17.6640625" style="106" customWidth="1"/>
    <col min="12792" max="13045" width="9.109375" style="106"/>
    <col min="13046" max="13046" width="45.5546875" style="106" customWidth="1"/>
    <col min="13047" max="13047" width="17.6640625" style="106" customWidth="1"/>
    <col min="13048" max="13301" width="9.109375" style="106"/>
    <col min="13302" max="13302" width="45.5546875" style="106" customWidth="1"/>
    <col min="13303" max="13303" width="17.6640625" style="106" customWidth="1"/>
    <col min="13304" max="13557" width="9.109375" style="106"/>
    <col min="13558" max="13558" width="45.5546875" style="106" customWidth="1"/>
    <col min="13559" max="13559" width="17.6640625" style="106" customWidth="1"/>
    <col min="13560" max="13813" width="9.109375" style="106"/>
    <col min="13814" max="13814" width="45.5546875" style="106" customWidth="1"/>
    <col min="13815" max="13815" width="17.6640625" style="106" customWidth="1"/>
    <col min="13816" max="14069" width="9.109375" style="106"/>
    <col min="14070" max="14070" width="45.5546875" style="106" customWidth="1"/>
    <col min="14071" max="14071" width="17.6640625" style="106" customWidth="1"/>
    <col min="14072" max="14325" width="9.109375" style="106"/>
    <col min="14326" max="14326" width="45.5546875" style="106" customWidth="1"/>
    <col min="14327" max="14327" width="17.6640625" style="106" customWidth="1"/>
    <col min="14328" max="14581" width="9.109375" style="106"/>
    <col min="14582" max="14582" width="45.5546875" style="106" customWidth="1"/>
    <col min="14583" max="14583" width="17.6640625" style="106" customWidth="1"/>
    <col min="14584" max="14837" width="9.109375" style="106"/>
    <col min="14838" max="14838" width="45.5546875" style="106" customWidth="1"/>
    <col min="14839" max="14839" width="17.6640625" style="106" customWidth="1"/>
    <col min="14840" max="15093" width="9.109375" style="106"/>
    <col min="15094" max="15094" width="45.5546875" style="106" customWidth="1"/>
    <col min="15095" max="15095" width="17.6640625" style="106" customWidth="1"/>
    <col min="15096" max="15349" width="9.109375" style="106"/>
    <col min="15350" max="15350" width="45.5546875" style="106" customWidth="1"/>
    <col min="15351" max="15351" width="17.6640625" style="106" customWidth="1"/>
    <col min="15352" max="15605" width="9.109375" style="106"/>
    <col min="15606" max="15606" width="45.5546875" style="106" customWidth="1"/>
    <col min="15607" max="15607" width="17.6640625" style="106" customWidth="1"/>
    <col min="15608" max="15861" width="9.109375" style="106"/>
    <col min="15862" max="15862" width="45.5546875" style="106" customWidth="1"/>
    <col min="15863" max="15863" width="17.6640625" style="106" customWidth="1"/>
    <col min="15864" max="16117" width="9.109375" style="106"/>
    <col min="16118" max="16118" width="45.5546875" style="106" customWidth="1"/>
    <col min="16119" max="16119" width="17.6640625" style="106" customWidth="1"/>
    <col min="16120" max="16384" width="9.109375" style="106"/>
  </cols>
  <sheetData>
    <row r="1" spans="2:10" ht="15" customHeight="1" x14ac:dyDescent="0.3">
      <c r="B1" s="263"/>
      <c r="C1" s="263"/>
      <c r="D1" s="263"/>
      <c r="E1" s="263"/>
      <c r="F1" s="263"/>
    </row>
    <row r="2" spans="2:10" x14ac:dyDescent="0.3">
      <c r="B2" s="264"/>
      <c r="C2" s="264"/>
      <c r="D2" s="264"/>
      <c r="E2" s="264"/>
      <c r="F2" s="264"/>
    </row>
    <row r="3" spans="2:10" ht="60.75" customHeight="1" x14ac:dyDescent="0.3">
      <c r="B3" s="103" t="s">
        <v>3</v>
      </c>
      <c r="C3" s="103" t="s">
        <v>124</v>
      </c>
      <c r="D3" s="103" t="s">
        <v>292</v>
      </c>
      <c r="E3" s="103" t="s">
        <v>127</v>
      </c>
      <c r="F3" s="103" t="s">
        <v>0</v>
      </c>
      <c r="G3" s="103" t="s">
        <v>293</v>
      </c>
      <c r="H3" s="103" t="s">
        <v>281</v>
      </c>
      <c r="I3" s="103" t="s">
        <v>282</v>
      </c>
      <c r="J3" s="103" t="s">
        <v>73</v>
      </c>
    </row>
    <row r="4" spans="2:10" x14ac:dyDescent="0.3">
      <c r="B4" s="103" t="s">
        <v>98</v>
      </c>
      <c r="C4" s="104">
        <f>VLOOKUP(TBLKATALOG[[#This Row],[NAMA PRODUK]],[4]!TBLMODAL[[NAMA MENU]:[MODAL KEMBALI KE PERUSAHAAN PRODUK OFF LINE]],2,FALSE)</f>
        <v>11837.888888888891</v>
      </c>
      <c r="D4" s="104">
        <f>SUM(TBLKATALOG[[#This Row],[LABA MITRA 5 %]:[LABA KIRIM 5 %]])</f>
        <v>1183.788888888889</v>
      </c>
      <c r="E4" s="104">
        <f t="shared" ref="E4:E35" si="0">C4+D4</f>
        <v>13021.677777777779</v>
      </c>
      <c r="F4" s="109">
        <v>15000</v>
      </c>
      <c r="G4" s="104">
        <f t="shared" ref="G4:G35" si="1">F4-E4</f>
        <v>1978.3222222222212</v>
      </c>
      <c r="H4" s="104">
        <f t="shared" ref="H4:H35" si="2">0.05*C4</f>
        <v>591.8944444444445</v>
      </c>
      <c r="I4" s="104">
        <f t="shared" ref="I4:I35" si="3">0.05*C4</f>
        <v>591.8944444444445</v>
      </c>
      <c r="J4" s="104">
        <f>TBLKATALOG[[#This Row],[HARGA JUAL]]-TBLKATALOG[[#This Row],[MODAL SETELAH DITAMBAH BUDGET KOMISI]]</f>
        <v>1978.3222222222212</v>
      </c>
    </row>
    <row r="5" spans="2:10" x14ac:dyDescent="0.3">
      <c r="B5" s="107" t="s">
        <v>491</v>
      </c>
      <c r="C5" s="104">
        <f>VLOOKUP(TBLKATALOG[[#This Row],[NAMA PRODUK]],[4]!TBLMODAL[[NAMA MENU]:[MODAL KEMBALI KE PERUSAHAAN PRODUK OFF LINE]],2,FALSE)</f>
        <v>15662.888888888891</v>
      </c>
      <c r="D5" s="138">
        <f>SUM(TBLKATALOG[[#This Row],[LABA MITRA 5 %]:[LABA KIRIM 5 %]])</f>
        <v>1566.2888888888892</v>
      </c>
      <c r="E5" s="138">
        <f t="shared" si="0"/>
        <v>17229.177777777779</v>
      </c>
      <c r="F5" s="139">
        <v>20000</v>
      </c>
      <c r="G5" s="138">
        <f t="shared" si="1"/>
        <v>2770.8222222222212</v>
      </c>
      <c r="H5" s="108">
        <f t="shared" si="2"/>
        <v>783.14444444444462</v>
      </c>
      <c r="I5" s="108">
        <f t="shared" si="3"/>
        <v>783.14444444444462</v>
      </c>
      <c r="J5" s="104">
        <f>TBLKATALOG[[#This Row],[HARGA JUAL]]-TBLKATALOG[[#This Row],[MODAL SETELAH DITAMBAH BUDGET KOMISI]]</f>
        <v>2770.8222222222212</v>
      </c>
    </row>
    <row r="6" spans="2:10" x14ac:dyDescent="0.3">
      <c r="B6" s="103" t="s">
        <v>230</v>
      </c>
      <c r="C6" s="104">
        <f>VLOOKUP(TBLKATALOG[[#This Row],[NAMA PRODUK]],[4]!TBLMODAL[[NAMA MENU]:[MODAL KEMBALI KE PERUSAHAAN PRODUK OFF LINE]],2,FALSE)</f>
        <v>11049.000000000002</v>
      </c>
      <c r="D6" s="104">
        <f>SUM(TBLKATALOG[[#This Row],[LABA MITRA 5 %]:[LABA KIRIM 5 %]])</f>
        <v>1104.9000000000003</v>
      </c>
      <c r="E6" s="104">
        <f t="shared" si="0"/>
        <v>12153.900000000001</v>
      </c>
      <c r="F6" s="109">
        <v>15000</v>
      </c>
      <c r="G6" s="104">
        <f t="shared" si="1"/>
        <v>2846.0999999999985</v>
      </c>
      <c r="H6" s="104">
        <f t="shared" si="2"/>
        <v>552.45000000000016</v>
      </c>
      <c r="I6" s="104">
        <f t="shared" si="3"/>
        <v>552.45000000000016</v>
      </c>
      <c r="J6" s="104">
        <f>TBLKATALOG[[#This Row],[HARGA JUAL]]-TBLKATALOG[[#This Row],[MODAL SETELAH DITAMBAH BUDGET KOMISI]]</f>
        <v>2846.0999999999985</v>
      </c>
    </row>
    <row r="7" spans="2:10" x14ac:dyDescent="0.3">
      <c r="B7" s="103" t="s">
        <v>20</v>
      </c>
      <c r="C7" s="104">
        <f>VLOOKUP(TBLKATALOG[[#This Row],[NAMA PRODUK]],[4]!TBLMODAL[[NAMA MENU]:[MODAL KEMBALI KE PERUSAHAAN PRODUK OFF LINE]],2,FALSE)</f>
        <v>11679.555555555557</v>
      </c>
      <c r="D7" s="104">
        <f>SUM(TBLKATALOG[[#This Row],[LABA MITRA 5 %]:[LABA KIRIM 5 %]])</f>
        <v>1167.9555555555557</v>
      </c>
      <c r="E7" s="104">
        <f t="shared" si="0"/>
        <v>12847.511111111113</v>
      </c>
      <c r="F7" s="109">
        <v>15000</v>
      </c>
      <c r="G7" s="104">
        <f t="shared" si="1"/>
        <v>2152.4888888888872</v>
      </c>
      <c r="H7" s="104">
        <f t="shared" si="2"/>
        <v>583.97777777777787</v>
      </c>
      <c r="I7" s="104">
        <f t="shared" si="3"/>
        <v>583.97777777777787</v>
      </c>
      <c r="J7" s="104">
        <f>TBLKATALOG[[#This Row],[HARGA JUAL]]-TBLKATALOG[[#This Row],[MODAL SETELAH DITAMBAH BUDGET KOMISI]]</f>
        <v>2152.4888888888872</v>
      </c>
    </row>
    <row r="8" spans="2:10" x14ac:dyDescent="0.3">
      <c r="B8" s="103" t="s">
        <v>372</v>
      </c>
      <c r="C8" s="104">
        <f>VLOOKUP(TBLKATALOG[[#This Row],[NAMA PRODUK]],[4]!TBLMODAL[[NAMA MENU]:[MODAL KEMBALI KE PERUSAHAAN PRODUK OFF LINE]],2,FALSE)</f>
        <v>12224</v>
      </c>
      <c r="D8" s="104">
        <f>SUM(TBLKATALOG[[#This Row],[LABA MITRA 5 %]:[LABA KIRIM 5 %]])</f>
        <v>1222.4000000000001</v>
      </c>
      <c r="E8" s="104">
        <f t="shared" si="0"/>
        <v>13446.4</v>
      </c>
      <c r="F8" s="109">
        <v>15000</v>
      </c>
      <c r="G8" s="104">
        <f t="shared" si="1"/>
        <v>1553.6000000000004</v>
      </c>
      <c r="H8" s="104">
        <f t="shared" si="2"/>
        <v>611.20000000000005</v>
      </c>
      <c r="I8" s="104">
        <f t="shared" si="3"/>
        <v>611.20000000000005</v>
      </c>
      <c r="J8" s="104">
        <f>TBLKATALOG[[#This Row],[HARGA JUAL]]-TBLKATALOG[[#This Row],[MODAL SETELAH DITAMBAH BUDGET KOMISI]]</f>
        <v>1553.6000000000004</v>
      </c>
    </row>
    <row r="9" spans="2:10" x14ac:dyDescent="0.3">
      <c r="B9" s="1" t="s">
        <v>478</v>
      </c>
      <c r="C9" s="104">
        <f>VLOOKUP(TBLKATALOG[[#This Row],[NAMA PRODUK]],[4]!TBLMODAL[[NAMA MENU]:[MODAL KEMBALI KE PERUSAHAAN PRODUK OFF LINE]],2,FALSE)</f>
        <v>6711.666666666667</v>
      </c>
      <c r="D9" s="136">
        <f>SUM(TBLKATALOG[[#This Row],[LABA MITRA 5 %]:[LABA KIRIM 5 %]])</f>
        <v>671.16666666666674</v>
      </c>
      <c r="E9" s="136">
        <f t="shared" si="0"/>
        <v>7382.8333333333339</v>
      </c>
      <c r="F9" s="137">
        <v>9000</v>
      </c>
      <c r="G9" s="136">
        <f t="shared" si="1"/>
        <v>1617.1666666666661</v>
      </c>
      <c r="H9" s="160">
        <f t="shared" si="2"/>
        <v>335.58333333333337</v>
      </c>
      <c r="I9" s="160">
        <f t="shared" si="3"/>
        <v>335.58333333333337</v>
      </c>
      <c r="J9" s="133">
        <f>TBLKATALOG[[#This Row],[HARGA JUAL]]-TBLKATALOG[[#This Row],[MODAL SETELAH DITAMBAH BUDGET KOMISI]]</f>
        <v>1617.1666666666661</v>
      </c>
    </row>
    <row r="10" spans="2:10" x14ac:dyDescent="0.3">
      <c r="B10" s="1" t="s">
        <v>479</v>
      </c>
      <c r="C10" s="104">
        <f>VLOOKUP(TBLKATALOG[[#This Row],[NAMA PRODUK]],[4]!TBLMODAL[[NAMA MENU]:[MODAL KEMBALI KE PERUSAHAAN PRODUK OFF LINE]],2,FALSE)</f>
        <v>7057.666666666667</v>
      </c>
      <c r="D10" s="136">
        <f>SUM(TBLKATALOG[[#This Row],[LABA MITRA 5 %]:[LABA KIRIM 5 %]])</f>
        <v>705.76666666666677</v>
      </c>
      <c r="E10" s="136">
        <f t="shared" si="0"/>
        <v>7763.4333333333334</v>
      </c>
      <c r="F10" s="137">
        <v>9000</v>
      </c>
      <c r="G10" s="136">
        <f t="shared" si="1"/>
        <v>1236.5666666666666</v>
      </c>
      <c r="H10" s="160">
        <f t="shared" si="2"/>
        <v>352.88333333333338</v>
      </c>
      <c r="I10" s="160">
        <f t="shared" si="3"/>
        <v>352.88333333333338</v>
      </c>
      <c r="J10" s="133">
        <f>TBLKATALOG[[#This Row],[HARGA JUAL]]-TBLKATALOG[[#This Row],[MODAL SETELAH DITAMBAH BUDGET KOMISI]]</f>
        <v>1236.5666666666666</v>
      </c>
    </row>
    <row r="11" spans="2:10" x14ac:dyDescent="0.3">
      <c r="B11" s="1" t="s">
        <v>480</v>
      </c>
      <c r="C11" s="104">
        <f>VLOOKUP(TBLKATALOG[[#This Row],[NAMA PRODUK]],[4]!TBLMODAL[[NAMA MENU]:[MODAL KEMBALI KE PERUSAHAAN PRODUK OFF LINE]],2,FALSE)</f>
        <v>6074.166666666667</v>
      </c>
      <c r="D11" s="136">
        <f>SUM(TBLKATALOG[[#This Row],[LABA MITRA 5 %]:[LABA KIRIM 5 %]])</f>
        <v>607.41666666666674</v>
      </c>
      <c r="E11" s="136">
        <f t="shared" si="0"/>
        <v>6681.5833333333339</v>
      </c>
      <c r="F11" s="137">
        <v>9000</v>
      </c>
      <c r="G11" s="136">
        <f t="shared" si="1"/>
        <v>2318.4166666666661</v>
      </c>
      <c r="H11" s="160">
        <f t="shared" si="2"/>
        <v>303.70833333333337</v>
      </c>
      <c r="I11" s="160">
        <f t="shared" si="3"/>
        <v>303.70833333333337</v>
      </c>
      <c r="J11" s="133">
        <f>TBLKATALOG[[#This Row],[HARGA JUAL]]-TBLKATALOG[[#This Row],[MODAL SETELAH DITAMBAH BUDGET KOMISI]]</f>
        <v>2318.4166666666661</v>
      </c>
    </row>
    <row r="12" spans="2:10" s="110" customFormat="1" x14ac:dyDescent="0.3">
      <c r="B12" s="1" t="s">
        <v>481</v>
      </c>
      <c r="C12" s="104">
        <f>VLOOKUP(TBLKATALOG[[#This Row],[NAMA PRODUK]],[4]!TBLMODAL[[NAMA MENU]:[MODAL KEMBALI KE PERUSAHAAN PRODUK OFF LINE]],2,FALSE)</f>
        <v>6420.166666666667</v>
      </c>
      <c r="D12" s="136">
        <f>SUM(TBLKATALOG[[#This Row],[LABA MITRA 5 %]:[LABA KIRIM 5 %]])</f>
        <v>642.01666666666677</v>
      </c>
      <c r="E12" s="136">
        <f t="shared" si="0"/>
        <v>7062.1833333333334</v>
      </c>
      <c r="F12" s="137">
        <v>9000</v>
      </c>
      <c r="G12" s="136">
        <f t="shared" si="1"/>
        <v>1937.8166666666666</v>
      </c>
      <c r="H12" s="160">
        <f t="shared" si="2"/>
        <v>321.00833333333338</v>
      </c>
      <c r="I12" s="160">
        <f t="shared" si="3"/>
        <v>321.00833333333338</v>
      </c>
      <c r="J12" s="133">
        <f>TBLKATALOG[[#This Row],[HARGA JUAL]]-TBLKATALOG[[#This Row],[MODAL SETELAH DITAMBAH BUDGET KOMISI]]</f>
        <v>1937.8166666666666</v>
      </c>
    </row>
    <row r="13" spans="2:10" x14ac:dyDescent="0.3">
      <c r="B13" s="103" t="s">
        <v>373</v>
      </c>
      <c r="C13" s="104">
        <f>VLOOKUP(TBLKATALOG[[#This Row],[NAMA PRODUK]],[4]!TBLMODAL[[NAMA MENU]:[MODAL KEMBALI KE PERUSAHAAN PRODUK OFF LINE]],2,FALSE)</f>
        <v>6122.1929824561403</v>
      </c>
      <c r="D13" s="104">
        <f>SUM(TBLKATALOG[[#This Row],[LABA MITRA 5 %]:[LABA KIRIM 5 %]])</f>
        <v>612.21929824561403</v>
      </c>
      <c r="E13" s="104">
        <f t="shared" si="0"/>
        <v>6734.4122807017538</v>
      </c>
      <c r="F13" s="109">
        <v>9000</v>
      </c>
      <c r="G13" s="104">
        <f t="shared" si="1"/>
        <v>2265.5877192982462</v>
      </c>
      <c r="H13" s="104">
        <f t="shared" si="2"/>
        <v>306.10964912280701</v>
      </c>
      <c r="I13" s="104">
        <f t="shared" si="3"/>
        <v>306.10964912280701</v>
      </c>
      <c r="J13" s="104">
        <f>TBLKATALOG[[#This Row],[HARGA JUAL]]-TBLKATALOG[[#This Row],[MODAL SETELAH DITAMBAH BUDGET KOMISI]]</f>
        <v>2265.5877192982462</v>
      </c>
    </row>
    <row r="14" spans="2:10" x14ac:dyDescent="0.3">
      <c r="B14" s="103" t="s">
        <v>374</v>
      </c>
      <c r="C14" s="104">
        <f>VLOOKUP(TBLKATALOG[[#This Row],[NAMA PRODUK]],[4]!TBLMODAL[[NAMA MENU]:[MODAL KEMBALI KE PERUSAHAAN PRODUK OFF LINE]],2,FALSE)</f>
        <v>6192.1929824561403</v>
      </c>
      <c r="D14" s="104">
        <f>SUM(TBLKATALOG[[#This Row],[LABA MITRA 5 %]:[LABA KIRIM 5 %]])</f>
        <v>619.21929824561403</v>
      </c>
      <c r="E14" s="104">
        <f t="shared" si="0"/>
        <v>6811.4122807017538</v>
      </c>
      <c r="F14" s="109">
        <v>9000</v>
      </c>
      <c r="G14" s="104">
        <f t="shared" si="1"/>
        <v>2188.5877192982462</v>
      </c>
      <c r="H14" s="104">
        <f t="shared" si="2"/>
        <v>309.60964912280701</v>
      </c>
      <c r="I14" s="104">
        <f t="shared" si="3"/>
        <v>309.60964912280701</v>
      </c>
      <c r="J14" s="104">
        <f>TBLKATALOG[[#This Row],[HARGA JUAL]]-TBLKATALOG[[#This Row],[MODAL SETELAH DITAMBAH BUDGET KOMISI]]</f>
        <v>2188.5877192982462</v>
      </c>
    </row>
    <row r="15" spans="2:10" x14ac:dyDescent="0.3">
      <c r="B15" s="103" t="s">
        <v>375</v>
      </c>
      <c r="C15" s="104">
        <f>VLOOKUP(TBLKATALOG[[#This Row],[NAMA PRODUK]],[4]!TBLMODAL[[NAMA MENU]:[MODAL KEMBALI KE PERUSAHAAN PRODUK OFF LINE]],2,FALSE)</f>
        <v>5972.1929824561403</v>
      </c>
      <c r="D15" s="104">
        <f>SUM(TBLKATALOG[[#This Row],[LABA MITRA 5 %]:[LABA KIRIM 5 %]])</f>
        <v>597.21929824561403</v>
      </c>
      <c r="E15" s="104">
        <f t="shared" si="0"/>
        <v>6569.4122807017538</v>
      </c>
      <c r="F15" s="109">
        <v>9000</v>
      </c>
      <c r="G15" s="104">
        <f t="shared" si="1"/>
        <v>2430.5877192982462</v>
      </c>
      <c r="H15" s="104">
        <f t="shared" si="2"/>
        <v>298.60964912280701</v>
      </c>
      <c r="I15" s="104">
        <f t="shared" si="3"/>
        <v>298.60964912280701</v>
      </c>
      <c r="J15" s="104">
        <f>TBLKATALOG[[#This Row],[HARGA JUAL]]-TBLKATALOG[[#This Row],[MODAL SETELAH DITAMBAH BUDGET KOMISI]]</f>
        <v>2430.5877192982462</v>
      </c>
    </row>
    <row r="16" spans="2:10" x14ac:dyDescent="0.3">
      <c r="B16" s="103" t="s">
        <v>376</v>
      </c>
      <c r="C16" s="104">
        <f>VLOOKUP(TBLKATALOG[[#This Row],[NAMA PRODUK]],[4]!TBLMODAL[[NAMA MENU]:[MODAL KEMBALI KE PERUSAHAAN PRODUK OFF LINE]],2,FALSE)</f>
        <v>5870.2192982456145</v>
      </c>
      <c r="D16" s="104">
        <f>SUM(TBLKATALOG[[#This Row],[LABA MITRA 5 %]:[LABA KIRIM 5 %]])</f>
        <v>587.02192982456143</v>
      </c>
      <c r="E16" s="104">
        <f t="shared" si="0"/>
        <v>6457.2412280701756</v>
      </c>
      <c r="F16" s="109">
        <v>9000</v>
      </c>
      <c r="G16" s="104">
        <f t="shared" si="1"/>
        <v>2542.7587719298244</v>
      </c>
      <c r="H16" s="104">
        <f t="shared" si="2"/>
        <v>293.51096491228071</v>
      </c>
      <c r="I16" s="104">
        <f t="shared" si="3"/>
        <v>293.51096491228071</v>
      </c>
      <c r="J16" s="104">
        <f>TBLKATALOG[[#This Row],[HARGA JUAL]]-TBLKATALOG[[#This Row],[MODAL SETELAH DITAMBAH BUDGET KOMISI]]</f>
        <v>2542.7587719298244</v>
      </c>
    </row>
    <row r="17" spans="2:10" x14ac:dyDescent="0.3">
      <c r="B17" s="103" t="s">
        <v>377</v>
      </c>
      <c r="C17" s="104">
        <f>VLOOKUP(TBLKATALOG[[#This Row],[NAMA PRODUK]],[4]!TBLMODAL[[NAMA MENU]:[MODAL KEMBALI KE PERUSAHAAN PRODUK OFF LINE]],2,FALSE)</f>
        <v>8274.7192982456145</v>
      </c>
      <c r="D17" s="104">
        <f>SUM(TBLKATALOG[[#This Row],[LABA MITRA 5 %]:[LABA KIRIM 5 %]])</f>
        <v>827.47192982456147</v>
      </c>
      <c r="E17" s="104">
        <f t="shared" si="0"/>
        <v>9102.1912280701763</v>
      </c>
      <c r="F17" s="109">
        <v>12000</v>
      </c>
      <c r="G17" s="104">
        <f t="shared" si="1"/>
        <v>2897.8087719298237</v>
      </c>
      <c r="H17" s="104">
        <f t="shared" si="2"/>
        <v>413.73596491228074</v>
      </c>
      <c r="I17" s="104">
        <f t="shared" si="3"/>
        <v>413.73596491228074</v>
      </c>
      <c r="J17" s="104">
        <f>TBLKATALOG[[#This Row],[HARGA JUAL]]-TBLKATALOG[[#This Row],[MODAL SETELAH DITAMBAH BUDGET KOMISI]]</f>
        <v>2897.8087719298237</v>
      </c>
    </row>
    <row r="18" spans="2:10" x14ac:dyDescent="0.3">
      <c r="B18" s="103" t="s">
        <v>378</v>
      </c>
      <c r="C18" s="104">
        <f>VLOOKUP(TBLKATALOG[[#This Row],[NAMA PRODUK]],[4]!TBLMODAL[[NAMA MENU]:[MODAL KEMBALI KE PERUSAHAAN PRODUK OFF LINE]],2,FALSE)</f>
        <v>8174.7192982456145</v>
      </c>
      <c r="D18" s="104">
        <f>SUM(TBLKATALOG[[#This Row],[LABA MITRA 5 %]:[LABA KIRIM 5 %]])</f>
        <v>817.47192982456147</v>
      </c>
      <c r="E18" s="104">
        <f t="shared" si="0"/>
        <v>8992.1912280701763</v>
      </c>
      <c r="F18" s="109">
        <v>12000</v>
      </c>
      <c r="G18" s="104">
        <f t="shared" si="1"/>
        <v>3007.8087719298237</v>
      </c>
      <c r="H18" s="104">
        <f t="shared" si="2"/>
        <v>408.73596491228074</v>
      </c>
      <c r="I18" s="104">
        <f t="shared" si="3"/>
        <v>408.73596491228074</v>
      </c>
      <c r="J18" s="104">
        <f>TBLKATALOG[[#This Row],[HARGA JUAL]]-TBLKATALOG[[#This Row],[MODAL SETELAH DITAMBAH BUDGET KOMISI]]</f>
        <v>3007.8087719298237</v>
      </c>
    </row>
    <row r="19" spans="2:10" x14ac:dyDescent="0.3">
      <c r="B19" s="107" t="s">
        <v>379</v>
      </c>
      <c r="C19" s="104">
        <f>VLOOKUP(TBLKATALOG[[#This Row],[NAMA PRODUK]],[4]!TBLMODAL[[NAMA MENU]:[MODAL KEMBALI KE PERUSAHAAN PRODUK OFF LINE]],2,FALSE)</f>
        <v>8762.2192982456127</v>
      </c>
      <c r="D19" s="104">
        <f>SUM(TBLKATALOG[[#This Row],[LABA MITRA 5 %]:[LABA KIRIM 5 %]])</f>
        <v>876.22192982456136</v>
      </c>
      <c r="E19" s="104">
        <f t="shared" si="0"/>
        <v>9638.4412280701745</v>
      </c>
      <c r="F19" s="109">
        <v>12000</v>
      </c>
      <c r="G19" s="104">
        <f t="shared" si="1"/>
        <v>2361.5587719298255</v>
      </c>
      <c r="H19" s="104">
        <f t="shared" si="2"/>
        <v>438.11096491228068</v>
      </c>
      <c r="I19" s="104">
        <f t="shared" si="3"/>
        <v>438.11096491228068</v>
      </c>
      <c r="J19" s="104">
        <f>TBLKATALOG[[#This Row],[HARGA JUAL]]-TBLKATALOG[[#This Row],[MODAL SETELAH DITAMBAH BUDGET KOMISI]]</f>
        <v>2361.5587719298255</v>
      </c>
    </row>
    <row r="20" spans="2:10" x14ac:dyDescent="0.3">
      <c r="B20" s="107" t="s">
        <v>380</v>
      </c>
      <c r="C20" s="104">
        <f>VLOOKUP(TBLKATALOG[[#This Row],[NAMA PRODUK]],[4]!TBLMODAL[[NAMA MENU]:[MODAL KEMBALI KE PERUSAHAAN PRODUK OFF LINE]],2,FALSE)</f>
        <v>8558.2719298245611</v>
      </c>
      <c r="D20" s="104">
        <f>SUM(TBLKATALOG[[#This Row],[LABA MITRA 5 %]:[LABA KIRIM 5 %]])</f>
        <v>855.82719298245615</v>
      </c>
      <c r="E20" s="104">
        <f t="shared" si="0"/>
        <v>9414.0991228070179</v>
      </c>
      <c r="F20" s="109">
        <v>12000</v>
      </c>
      <c r="G20" s="104">
        <f t="shared" si="1"/>
        <v>2585.9008771929821</v>
      </c>
      <c r="H20" s="104">
        <f t="shared" si="2"/>
        <v>427.91359649122808</v>
      </c>
      <c r="I20" s="104">
        <f t="shared" si="3"/>
        <v>427.91359649122808</v>
      </c>
      <c r="J20" s="104">
        <f>TBLKATALOG[[#This Row],[HARGA JUAL]]-TBLKATALOG[[#This Row],[MODAL SETELAH DITAMBAH BUDGET KOMISI]]</f>
        <v>2585.9008771929821</v>
      </c>
    </row>
    <row r="21" spans="2:10" x14ac:dyDescent="0.3">
      <c r="B21" s="135" t="s">
        <v>474</v>
      </c>
      <c r="C21" s="104">
        <f>VLOOKUP(TBLKATALOG[[#This Row],[NAMA PRODUK]],[4]!TBLMODAL[[NAMA MENU]:[MODAL KEMBALI KE PERUSAHAAN PRODUK OFF LINE]],2,FALSE)</f>
        <v>8478.6666666666679</v>
      </c>
      <c r="D21" s="136">
        <f>SUM(TBLKATALOG[[#This Row],[LABA MITRA 5 %]:[LABA KIRIM 5 %]])</f>
        <v>847.86666666666679</v>
      </c>
      <c r="E21" s="136">
        <f t="shared" si="0"/>
        <v>9326.5333333333347</v>
      </c>
      <c r="F21" s="137">
        <v>12000</v>
      </c>
      <c r="G21" s="136">
        <f t="shared" si="1"/>
        <v>2673.4666666666653</v>
      </c>
      <c r="H21" s="133">
        <f t="shared" si="2"/>
        <v>423.93333333333339</v>
      </c>
      <c r="I21" s="133">
        <f t="shared" si="3"/>
        <v>423.93333333333339</v>
      </c>
      <c r="J21" s="133">
        <f>TBLKATALOG[[#This Row],[HARGA JUAL]]-TBLKATALOG[[#This Row],[MODAL SETELAH DITAMBAH BUDGET KOMISI]]</f>
        <v>2673.4666666666653</v>
      </c>
    </row>
    <row r="22" spans="2:10" x14ac:dyDescent="0.3">
      <c r="B22" s="135" t="s">
        <v>475</v>
      </c>
      <c r="C22" s="104">
        <f>VLOOKUP(TBLKATALOG[[#This Row],[NAMA PRODUK]],[4]!TBLMODAL[[NAMA MENU]:[MODAL KEMBALI KE PERUSAHAAN PRODUK OFF LINE]],2,FALSE)</f>
        <v>8378.6666666666679</v>
      </c>
      <c r="D22" s="136">
        <f>SUM(TBLKATALOG[[#This Row],[LABA MITRA 5 %]:[LABA KIRIM 5 %]])</f>
        <v>837.86666666666679</v>
      </c>
      <c r="E22" s="136">
        <f t="shared" si="0"/>
        <v>9216.5333333333347</v>
      </c>
      <c r="F22" s="137">
        <v>12000</v>
      </c>
      <c r="G22" s="136">
        <f t="shared" si="1"/>
        <v>2783.4666666666653</v>
      </c>
      <c r="H22" s="133">
        <f t="shared" si="2"/>
        <v>418.93333333333339</v>
      </c>
      <c r="I22" s="133">
        <f t="shared" si="3"/>
        <v>418.93333333333339</v>
      </c>
      <c r="J22" s="133">
        <f>TBLKATALOG[[#This Row],[HARGA JUAL]]-TBLKATALOG[[#This Row],[MODAL SETELAH DITAMBAH BUDGET KOMISI]]</f>
        <v>2783.4666666666653</v>
      </c>
    </row>
    <row r="23" spans="2:10" x14ac:dyDescent="0.3">
      <c r="B23" s="135" t="s">
        <v>476</v>
      </c>
      <c r="C23" s="104">
        <f>VLOOKUP(TBLKATALOG[[#This Row],[NAMA PRODUK]],[4]!TBLMODAL[[NAMA MENU]:[MODAL KEMBALI KE PERUSAHAAN PRODUK OFF LINE]],2,FALSE)</f>
        <v>7841.166666666667</v>
      </c>
      <c r="D23" s="136">
        <f>SUM(TBLKATALOG[[#This Row],[LABA MITRA 5 %]:[LABA KIRIM 5 %]])</f>
        <v>784.11666666666679</v>
      </c>
      <c r="E23" s="136">
        <f t="shared" si="0"/>
        <v>8625.2833333333328</v>
      </c>
      <c r="F23" s="137">
        <v>12000</v>
      </c>
      <c r="G23" s="136">
        <f t="shared" si="1"/>
        <v>3374.7166666666672</v>
      </c>
      <c r="H23" s="133">
        <f t="shared" si="2"/>
        <v>392.05833333333339</v>
      </c>
      <c r="I23" s="133">
        <f t="shared" si="3"/>
        <v>392.05833333333339</v>
      </c>
      <c r="J23" s="133">
        <f>TBLKATALOG[[#This Row],[HARGA JUAL]]-TBLKATALOG[[#This Row],[MODAL SETELAH DITAMBAH BUDGET KOMISI]]</f>
        <v>3374.7166666666672</v>
      </c>
    </row>
    <row r="24" spans="2:10" x14ac:dyDescent="0.3">
      <c r="B24" s="135" t="s">
        <v>477</v>
      </c>
      <c r="C24" s="104">
        <f>VLOOKUP(TBLKATALOG[[#This Row],[NAMA PRODUK]],[4]!TBLMODAL[[NAMA MENU]:[MODAL KEMBALI KE PERUSAHAAN PRODUK OFF LINE]],2,FALSE)</f>
        <v>7841.166666666667</v>
      </c>
      <c r="D24" s="136">
        <f>SUM(TBLKATALOG[[#This Row],[LABA MITRA 5 %]:[LABA KIRIM 5 %]])</f>
        <v>784.11666666666679</v>
      </c>
      <c r="E24" s="136">
        <f t="shared" si="0"/>
        <v>8625.2833333333328</v>
      </c>
      <c r="F24" s="137">
        <v>12000</v>
      </c>
      <c r="G24" s="136">
        <f t="shared" si="1"/>
        <v>3374.7166666666672</v>
      </c>
      <c r="H24" s="133">
        <f t="shared" si="2"/>
        <v>392.05833333333339</v>
      </c>
      <c r="I24" s="133">
        <f t="shared" si="3"/>
        <v>392.05833333333339</v>
      </c>
      <c r="J24" s="133">
        <f>TBLKATALOG[[#This Row],[HARGA JUAL]]-TBLKATALOG[[#This Row],[MODAL SETELAH DITAMBAH BUDGET KOMISI]]</f>
        <v>3374.7166666666672</v>
      </c>
    </row>
    <row r="25" spans="2:10" x14ac:dyDescent="0.3">
      <c r="B25" s="103" t="s">
        <v>381</v>
      </c>
      <c r="C25" s="104">
        <f>VLOOKUP(TBLKATALOG[[#This Row],[NAMA PRODUK]],[4]!TBLMODAL[[NAMA MENU]:[MODAL KEMBALI KE PERUSAHAAN PRODUK OFF LINE]],2,FALSE)</f>
        <v>6730.4385964912281</v>
      </c>
      <c r="D25" s="104">
        <f>SUM(TBLKATALOG[[#This Row],[LABA MITRA 5 %]:[LABA KIRIM 5 %]])</f>
        <v>673.04385964912285</v>
      </c>
      <c r="E25" s="104">
        <f t="shared" si="0"/>
        <v>7403.4824561403511</v>
      </c>
      <c r="F25" s="109">
        <v>9000</v>
      </c>
      <c r="G25" s="104">
        <f t="shared" si="1"/>
        <v>1596.5175438596489</v>
      </c>
      <c r="H25" s="104">
        <f t="shared" si="2"/>
        <v>336.52192982456143</v>
      </c>
      <c r="I25" s="104">
        <f t="shared" si="3"/>
        <v>336.52192982456143</v>
      </c>
      <c r="J25" s="104">
        <f>TBLKATALOG[[#This Row],[HARGA JUAL]]-TBLKATALOG[[#This Row],[MODAL SETELAH DITAMBAH BUDGET KOMISI]]</f>
        <v>1596.5175438596489</v>
      </c>
    </row>
    <row r="26" spans="2:10" x14ac:dyDescent="0.3">
      <c r="B26" s="103" t="s">
        <v>382</v>
      </c>
      <c r="C26" s="104">
        <f>VLOOKUP(TBLKATALOG[[#This Row],[NAMA PRODUK]],[4]!TBLMODAL[[NAMA MENU]:[MODAL KEMBALI KE PERUSAHAAN PRODUK OFF LINE]],2,FALSE)</f>
        <v>6740.4385964912281</v>
      </c>
      <c r="D26" s="104">
        <f>SUM(TBLKATALOG[[#This Row],[LABA MITRA 5 %]:[LABA KIRIM 5 %]])</f>
        <v>674.04385964912285</v>
      </c>
      <c r="E26" s="104">
        <f t="shared" si="0"/>
        <v>7414.4824561403511</v>
      </c>
      <c r="F26" s="109">
        <v>9000</v>
      </c>
      <c r="G26" s="104">
        <f t="shared" si="1"/>
        <v>1585.5175438596489</v>
      </c>
      <c r="H26" s="104">
        <f t="shared" si="2"/>
        <v>337.02192982456143</v>
      </c>
      <c r="I26" s="104">
        <f t="shared" si="3"/>
        <v>337.02192982456143</v>
      </c>
      <c r="J26" s="104">
        <f>TBLKATALOG[[#This Row],[HARGA JUAL]]-TBLKATALOG[[#This Row],[MODAL SETELAH DITAMBAH BUDGET KOMISI]]</f>
        <v>1585.5175438596489</v>
      </c>
    </row>
    <row r="27" spans="2:10" x14ac:dyDescent="0.3">
      <c r="B27" s="103" t="s">
        <v>383</v>
      </c>
      <c r="C27" s="104">
        <f>VLOOKUP(TBLKATALOG[[#This Row],[NAMA PRODUK]],[4]!TBLMODAL[[NAMA MENU]:[MODAL KEMBALI KE PERUSAHAAN PRODUK OFF LINE]],2,FALSE)</f>
        <v>6461.4912280701747</v>
      </c>
      <c r="D27" s="104">
        <f>SUM(TBLKATALOG[[#This Row],[LABA MITRA 5 %]:[LABA KIRIM 5 %]])</f>
        <v>646.14912280701753</v>
      </c>
      <c r="E27" s="104">
        <f t="shared" si="0"/>
        <v>7107.6403508771918</v>
      </c>
      <c r="F27" s="109">
        <v>9000</v>
      </c>
      <c r="G27" s="104">
        <f t="shared" si="1"/>
        <v>1892.3596491228082</v>
      </c>
      <c r="H27" s="104">
        <f t="shared" si="2"/>
        <v>323.07456140350877</v>
      </c>
      <c r="I27" s="104">
        <f t="shared" si="3"/>
        <v>323.07456140350877</v>
      </c>
      <c r="J27" s="104">
        <f>TBLKATALOG[[#This Row],[HARGA JUAL]]-TBLKATALOG[[#This Row],[MODAL SETELAH DITAMBAH BUDGET KOMISI]]</f>
        <v>1892.3596491228082</v>
      </c>
    </row>
    <row r="28" spans="2:10" x14ac:dyDescent="0.3">
      <c r="B28" s="103" t="s">
        <v>384</v>
      </c>
      <c r="C28" s="104">
        <f>VLOOKUP(TBLKATALOG[[#This Row],[NAMA PRODUK]],[4]!TBLMODAL[[NAMA MENU]:[MODAL KEMBALI KE PERUSAHAAN PRODUK OFF LINE]],2,FALSE)</f>
        <v>6451.4912280701747</v>
      </c>
      <c r="D28" s="108">
        <f>SUM(TBLKATALOG[[#This Row],[LABA MITRA 5 %]:[LABA KIRIM 5 %]])</f>
        <v>645.14912280701753</v>
      </c>
      <c r="E28" s="108">
        <f t="shared" si="0"/>
        <v>7096.6403508771918</v>
      </c>
      <c r="F28" s="111">
        <v>9000</v>
      </c>
      <c r="G28" s="108">
        <f t="shared" si="1"/>
        <v>1903.3596491228082</v>
      </c>
      <c r="H28" s="108">
        <f t="shared" si="2"/>
        <v>322.57456140350877</v>
      </c>
      <c r="I28" s="108">
        <f t="shared" si="3"/>
        <v>322.57456140350877</v>
      </c>
      <c r="J28" s="104">
        <f>TBLKATALOG[[#This Row],[HARGA JUAL]]-TBLKATALOG[[#This Row],[MODAL SETELAH DITAMBAH BUDGET KOMISI]]</f>
        <v>1903.3596491228082</v>
      </c>
    </row>
    <row r="29" spans="2:10" x14ac:dyDescent="0.3">
      <c r="B29" s="107" t="s">
        <v>485</v>
      </c>
      <c r="C29" s="104">
        <f>VLOOKUP(TBLKATALOG[[#This Row],[NAMA PRODUK]],[4]!TBLMODAL[[NAMA MENU]:[MODAL KEMBALI KE PERUSAHAAN PRODUK OFF LINE]],2,FALSE)</f>
        <v>28361.666666666664</v>
      </c>
      <c r="D29" s="138">
        <f>SUM(TBLKATALOG[[#This Row],[LABA MITRA 5 %]:[LABA KIRIM 5 %]])</f>
        <v>2836.1666666666665</v>
      </c>
      <c r="E29" s="138">
        <f t="shared" si="0"/>
        <v>31197.833333333332</v>
      </c>
      <c r="F29" s="139">
        <v>40000</v>
      </c>
      <c r="G29" s="138">
        <f t="shared" si="1"/>
        <v>8802.1666666666679</v>
      </c>
      <c r="H29" s="104">
        <f t="shared" si="2"/>
        <v>1418.0833333333333</v>
      </c>
      <c r="I29" s="104">
        <f t="shared" si="3"/>
        <v>1418.0833333333333</v>
      </c>
      <c r="J29" s="104">
        <f>TBLKATALOG[[#This Row],[HARGA JUAL]]-TBLKATALOG[[#This Row],[MODAL SETELAH DITAMBAH BUDGET KOMISI]]</f>
        <v>8802.1666666666679</v>
      </c>
    </row>
    <row r="30" spans="2:10" x14ac:dyDescent="0.3">
      <c r="B30" s="103" t="s">
        <v>108</v>
      </c>
      <c r="C30" s="104">
        <f>VLOOKUP(TBLKATALOG[[#This Row],[NAMA PRODUK]],[4]!TBLMODAL[[NAMA MENU]:[MODAL KEMBALI KE PERUSAHAAN PRODUK OFF LINE]],2,FALSE)</f>
        <v>67651.70972886763</v>
      </c>
      <c r="D30" s="104">
        <f>SUM(TBLKATALOG[[#This Row],[LABA MITRA 5 %]:[LABA KIRIM 5 %]])</f>
        <v>6765.1709728867636</v>
      </c>
      <c r="E30" s="104">
        <f t="shared" si="0"/>
        <v>74416.880701754388</v>
      </c>
      <c r="F30" s="109">
        <v>80000</v>
      </c>
      <c r="G30" s="104">
        <f t="shared" si="1"/>
        <v>5583.1192982456123</v>
      </c>
      <c r="H30" s="104">
        <f t="shared" si="2"/>
        <v>3382.5854864433818</v>
      </c>
      <c r="I30" s="104">
        <f t="shared" si="3"/>
        <v>3382.5854864433818</v>
      </c>
      <c r="J30" s="104">
        <f>TBLKATALOG[[#This Row],[HARGA JUAL]]-TBLKATALOG[[#This Row],[MODAL SETELAH DITAMBAH BUDGET KOMISI]]</f>
        <v>5583.1192982456123</v>
      </c>
    </row>
    <row r="31" spans="2:10" x14ac:dyDescent="0.3">
      <c r="B31" s="103" t="s">
        <v>385</v>
      </c>
      <c r="C31" s="104">
        <f>VLOOKUP(TBLKATALOG[[#This Row],[NAMA PRODUK]],[4]!TBLMODAL[[NAMA MENU]:[MODAL KEMBALI KE PERUSAHAAN PRODUK OFF LINE]],2,FALSE)</f>
        <v>65820.370015948967</v>
      </c>
      <c r="D31" s="104">
        <f>SUM(TBLKATALOG[[#This Row],[LABA MITRA 5 %]:[LABA KIRIM 5 %]])</f>
        <v>6582.0370015948974</v>
      </c>
      <c r="E31" s="104">
        <f t="shared" si="0"/>
        <v>72402.407017543868</v>
      </c>
      <c r="F31" s="109">
        <v>80000</v>
      </c>
      <c r="G31" s="104">
        <f t="shared" si="1"/>
        <v>7597.5929824561317</v>
      </c>
      <c r="H31" s="104">
        <f t="shared" si="2"/>
        <v>3291.0185007974487</v>
      </c>
      <c r="I31" s="104">
        <f t="shared" si="3"/>
        <v>3291.0185007974487</v>
      </c>
      <c r="J31" s="104">
        <f>TBLKATALOG[[#This Row],[HARGA JUAL]]-TBLKATALOG[[#This Row],[MODAL SETELAH DITAMBAH BUDGET KOMISI]]</f>
        <v>7597.5929824561317</v>
      </c>
    </row>
    <row r="32" spans="2:10" x14ac:dyDescent="0.3">
      <c r="B32" s="103" t="s">
        <v>386</v>
      </c>
      <c r="C32" s="104">
        <f>VLOOKUP(TBLKATALOG[[#This Row],[NAMA PRODUK]],[4]!TBLMODAL[[NAMA MENU]:[MODAL KEMBALI KE PERUSAHAAN PRODUK OFF LINE]],2,FALSE)</f>
        <v>66026.70972886763</v>
      </c>
      <c r="D32" s="104">
        <f>SUM(TBLKATALOG[[#This Row],[LABA MITRA 5 %]:[LABA KIRIM 5 %]])</f>
        <v>6602.6709728867636</v>
      </c>
      <c r="E32" s="104">
        <f t="shared" si="0"/>
        <v>72629.380701754388</v>
      </c>
      <c r="F32" s="109">
        <v>80000</v>
      </c>
      <c r="G32" s="104">
        <f t="shared" si="1"/>
        <v>7370.6192982456123</v>
      </c>
      <c r="H32" s="104">
        <f t="shared" si="2"/>
        <v>3301.3354864433818</v>
      </c>
      <c r="I32" s="104">
        <f t="shared" si="3"/>
        <v>3301.3354864433818</v>
      </c>
      <c r="J32" s="104">
        <f>TBLKATALOG[[#This Row],[HARGA JUAL]]-TBLKATALOG[[#This Row],[MODAL SETELAH DITAMBAH BUDGET KOMISI]]</f>
        <v>7370.6192982456123</v>
      </c>
    </row>
    <row r="33" spans="2:13" x14ac:dyDescent="0.3">
      <c r="B33" s="103" t="s">
        <v>387</v>
      </c>
      <c r="C33" s="104">
        <f>VLOOKUP(TBLKATALOG[[#This Row],[NAMA PRODUK]],[4]!TBLMODAL[[NAMA MENU]:[MODAL KEMBALI KE PERUSAHAAN PRODUK OFF LINE]],2,FALSE)</f>
        <v>75141.685805422647</v>
      </c>
      <c r="D33" s="104">
        <f>SUM(TBLKATALOG[[#This Row],[LABA MITRA 5 %]:[LABA KIRIM 5 %]])</f>
        <v>7514.1685805422649</v>
      </c>
      <c r="E33" s="104">
        <f t="shared" si="0"/>
        <v>82655.854385964907</v>
      </c>
      <c r="F33" s="109">
        <v>85000</v>
      </c>
      <c r="G33" s="104">
        <f t="shared" si="1"/>
        <v>2344.1456140350929</v>
      </c>
      <c r="H33" s="104">
        <f t="shared" si="2"/>
        <v>3757.0842902711324</v>
      </c>
      <c r="I33" s="104">
        <f t="shared" si="3"/>
        <v>3757.0842902711324</v>
      </c>
      <c r="J33" s="104">
        <f>TBLKATALOG[[#This Row],[HARGA JUAL]]-TBLKATALOG[[#This Row],[MODAL SETELAH DITAMBAH BUDGET KOMISI]]</f>
        <v>2344.1456140350929</v>
      </c>
    </row>
    <row r="34" spans="2:13" x14ac:dyDescent="0.3">
      <c r="B34" s="103" t="s">
        <v>388</v>
      </c>
      <c r="C34" s="104">
        <f>VLOOKUP(TBLKATALOG[[#This Row],[NAMA PRODUK]],[4]!TBLMODAL[[NAMA MENU]:[MODAL KEMBALI KE PERUSAHAAN PRODUK OFF LINE]],2,FALSE)</f>
        <v>72891.685805422647</v>
      </c>
      <c r="D34" s="104">
        <f>SUM(TBLKATALOG[[#This Row],[LABA MITRA 5 %]:[LABA KIRIM 5 %]])</f>
        <v>7289.1685805422649</v>
      </c>
      <c r="E34" s="104">
        <f t="shared" si="0"/>
        <v>80180.854385964907</v>
      </c>
      <c r="F34" s="109">
        <v>85000</v>
      </c>
      <c r="G34" s="104">
        <f t="shared" si="1"/>
        <v>4819.1456140350929</v>
      </c>
      <c r="H34" s="104">
        <f t="shared" si="2"/>
        <v>3644.5842902711324</v>
      </c>
      <c r="I34" s="104">
        <f t="shared" si="3"/>
        <v>3644.5842902711324</v>
      </c>
      <c r="J34" s="104">
        <f>TBLKATALOG[[#This Row],[HARGA JUAL]]-TBLKATALOG[[#This Row],[MODAL SETELAH DITAMBAH BUDGET KOMISI]]</f>
        <v>4819.1456140350929</v>
      </c>
    </row>
    <row r="35" spans="2:13" x14ac:dyDescent="0.3">
      <c r="B35" s="103" t="s">
        <v>389</v>
      </c>
      <c r="C35" s="104">
        <f>VLOOKUP(TBLKATALOG[[#This Row],[NAMA PRODUK]],[4]!TBLMODAL[[NAMA MENU]:[MODAL KEMBALI KE PERUSAHAAN PRODUK OFF LINE]],2,FALSE)</f>
        <v>74016.685805422647</v>
      </c>
      <c r="D35" s="108">
        <f>SUM(TBLKATALOG[[#This Row],[LABA MITRA 5 %]:[LABA KIRIM 5 %]])</f>
        <v>7401.6685805422649</v>
      </c>
      <c r="E35" s="104">
        <f t="shared" si="0"/>
        <v>81418.354385964907</v>
      </c>
      <c r="F35" s="111">
        <v>85000</v>
      </c>
      <c r="G35" s="104">
        <f t="shared" si="1"/>
        <v>3581.6456140350929</v>
      </c>
      <c r="H35" s="104">
        <f t="shared" si="2"/>
        <v>3700.8342902711324</v>
      </c>
      <c r="I35" s="104">
        <f t="shared" si="3"/>
        <v>3700.8342902711324</v>
      </c>
      <c r="J35" s="104">
        <f>TBLKATALOG[[#This Row],[HARGA JUAL]]-TBLKATALOG[[#This Row],[MODAL SETELAH DITAMBAH BUDGET KOMISI]]</f>
        <v>3581.6456140350929</v>
      </c>
      <c r="M35" s="174"/>
    </row>
    <row r="36" spans="2:13" x14ac:dyDescent="0.3">
      <c r="B36" s="127" t="s">
        <v>468</v>
      </c>
      <c r="C36" s="104">
        <f>VLOOKUP(TBLKATALOG[[#This Row],[NAMA PRODUK]],[4]!TBLMODAL[[NAMA MENU]:[MODAL KEMBALI KE PERUSAHAAN PRODUK OFF LINE]],2,FALSE)</f>
        <v>65331.709728867623</v>
      </c>
      <c r="D36" s="129">
        <f>SUM(TBLKATALOG[[#This Row],[LABA MITRA 5 %]:[LABA KIRIM 5 %]])</f>
        <v>6533.1709728867627</v>
      </c>
      <c r="E36" s="129">
        <f t="shared" ref="E36:E68" si="4">C36+D36</f>
        <v>71864.880701754388</v>
      </c>
      <c r="F36" s="130">
        <v>80000</v>
      </c>
      <c r="G36" s="129">
        <f t="shared" ref="G36:G68" si="5">F36-E36</f>
        <v>8135.1192982456123</v>
      </c>
      <c r="H36" s="161">
        <f t="shared" ref="H36:H68" si="6">0.05*C36</f>
        <v>3266.5854864433813</v>
      </c>
      <c r="I36" s="161">
        <f t="shared" ref="I36:I68" si="7">0.05*C36</f>
        <v>3266.5854864433813</v>
      </c>
      <c r="J36" s="117">
        <f>TBLKATALOG[[#This Row],[HARGA JUAL]]-TBLKATALOG[[#This Row],[MODAL SETELAH DITAMBAH BUDGET KOMISI]]</f>
        <v>8135.1192982456123</v>
      </c>
    </row>
    <row r="37" spans="2:13" x14ac:dyDescent="0.3">
      <c r="B37" s="103" t="s">
        <v>471</v>
      </c>
      <c r="C37" s="104">
        <f>VLOOKUP(TBLKATALOG[[#This Row],[NAMA PRODUK]],[4]!TBLMODAL[[NAMA MENU]:[MODAL KEMBALI KE PERUSAHAAN PRODUK OFF LINE]],2,FALSE)</f>
        <v>72329.86762360447</v>
      </c>
      <c r="D37" s="104">
        <f>SUM(TBLKATALOG[[#This Row],[LABA MITRA 5 %]:[LABA KIRIM 5 %]])</f>
        <v>7232.9867623604478</v>
      </c>
      <c r="E37" s="104">
        <f t="shared" si="4"/>
        <v>79562.854385964922</v>
      </c>
      <c r="F37" s="109">
        <v>85000</v>
      </c>
      <c r="G37" s="104">
        <f t="shared" si="5"/>
        <v>5437.1456140350783</v>
      </c>
      <c r="H37" s="104">
        <f t="shared" si="6"/>
        <v>3616.4933811802239</v>
      </c>
      <c r="I37" s="104">
        <f t="shared" si="7"/>
        <v>3616.4933811802239</v>
      </c>
      <c r="J37" s="104">
        <f>TBLKATALOG[[#This Row],[HARGA JUAL]]-TBLKATALOG[[#This Row],[MODAL SETELAH DITAMBAH BUDGET KOMISI]]</f>
        <v>5437.1456140350783</v>
      </c>
    </row>
    <row r="38" spans="2:13" x14ac:dyDescent="0.3">
      <c r="B38" s="103" t="s">
        <v>390</v>
      </c>
      <c r="C38" s="104">
        <f>VLOOKUP(TBLKATALOG[[#This Row],[NAMA PRODUK]],[4]!TBLMODAL[[NAMA MENU]:[MODAL KEMBALI KE PERUSAHAAN PRODUK OFF LINE]],2,FALSE)</f>
        <v>66678.02551834131</v>
      </c>
      <c r="D38" s="104">
        <f>SUM(TBLKATALOG[[#This Row],[LABA MITRA 5 %]:[LABA KIRIM 5 %]])</f>
        <v>6667.802551834131</v>
      </c>
      <c r="E38" s="104">
        <f t="shared" si="4"/>
        <v>73345.828070175441</v>
      </c>
      <c r="F38" s="109">
        <v>80000</v>
      </c>
      <c r="G38" s="104">
        <f t="shared" si="5"/>
        <v>6654.1719298245589</v>
      </c>
      <c r="H38" s="104">
        <f t="shared" si="6"/>
        <v>3333.9012759170655</v>
      </c>
      <c r="I38" s="104">
        <f t="shared" si="7"/>
        <v>3333.9012759170655</v>
      </c>
      <c r="J38" s="104">
        <f>TBLKATALOG[[#This Row],[HARGA JUAL]]-TBLKATALOG[[#This Row],[MODAL SETELAH DITAMBAH BUDGET KOMISI]]</f>
        <v>6654.1719298245589</v>
      </c>
    </row>
    <row r="39" spans="2:13" x14ac:dyDescent="0.3">
      <c r="B39" s="103" t="s">
        <v>391</v>
      </c>
      <c r="C39" s="104">
        <f>VLOOKUP(TBLKATALOG[[#This Row],[NAMA PRODUK]],[4]!TBLMODAL[[NAMA MENU]:[MODAL KEMBALI KE PERUSAHAAN PRODUK OFF LINE]],2,FALSE)</f>
        <v>31034.297448165868</v>
      </c>
      <c r="D39" s="104">
        <f>SUM(TBLKATALOG[[#This Row],[LABA MITRA 5 %]:[LABA KIRIM 5 %]])</f>
        <v>3103.4297448165871</v>
      </c>
      <c r="E39" s="104">
        <f t="shared" si="4"/>
        <v>34137.727192982456</v>
      </c>
      <c r="F39" s="109">
        <v>40000</v>
      </c>
      <c r="G39" s="104">
        <f t="shared" si="5"/>
        <v>5862.2728070175435</v>
      </c>
      <c r="H39" s="104">
        <f t="shared" si="6"/>
        <v>1551.7148724082936</v>
      </c>
      <c r="I39" s="104">
        <f t="shared" si="7"/>
        <v>1551.7148724082936</v>
      </c>
      <c r="J39" s="104">
        <f>TBLKATALOG[[#This Row],[HARGA JUAL]]-TBLKATALOG[[#This Row],[MODAL SETELAH DITAMBAH BUDGET KOMISI]]</f>
        <v>5862.2728070175435</v>
      </c>
    </row>
    <row r="40" spans="2:13" x14ac:dyDescent="0.3">
      <c r="B40" s="103" t="s">
        <v>392</v>
      </c>
      <c r="C40" s="104">
        <f>VLOOKUP(TBLKATALOG[[#This Row],[NAMA PRODUK]],[4]!TBLMODAL[[NAMA MENU]:[MODAL KEMBALI KE PERUSAHAAN PRODUK OFF LINE]],2,FALSE)</f>
        <v>31731.546251993619</v>
      </c>
      <c r="D40" s="108">
        <f>SUM(TBLKATALOG[[#This Row],[LABA MITRA 5 %]:[LABA KIRIM 5 %]])</f>
        <v>3173.1546251993623</v>
      </c>
      <c r="E40" s="104">
        <f t="shared" si="4"/>
        <v>34904.700877192983</v>
      </c>
      <c r="F40" s="111">
        <v>40000</v>
      </c>
      <c r="G40" s="104">
        <f t="shared" si="5"/>
        <v>5095.2991228070168</v>
      </c>
      <c r="H40" s="104">
        <f t="shared" si="6"/>
        <v>1586.5773125996811</v>
      </c>
      <c r="I40" s="104">
        <f t="shared" si="7"/>
        <v>1586.5773125996811</v>
      </c>
      <c r="J40" s="104">
        <f>TBLKATALOG[[#This Row],[HARGA JUAL]]-TBLKATALOG[[#This Row],[MODAL SETELAH DITAMBAH BUDGET KOMISI]]</f>
        <v>5095.2991228070168</v>
      </c>
    </row>
    <row r="41" spans="2:13" x14ac:dyDescent="0.3">
      <c r="B41" s="103" t="s">
        <v>393</v>
      </c>
      <c r="C41" s="104">
        <f>VLOOKUP(TBLKATALOG[[#This Row],[NAMA PRODUK]],[4]!TBLMODAL[[NAMA MENU]:[MODAL KEMBALI KE PERUSAHAAN PRODUK OFF LINE]],2,FALSE)</f>
        <v>29661.797448165868</v>
      </c>
      <c r="D41" s="104">
        <f>SUM(TBLKATALOG[[#This Row],[LABA MITRA 5 %]:[LABA KIRIM 5 %]])</f>
        <v>2966.1797448165871</v>
      </c>
      <c r="E41" s="104">
        <f t="shared" si="4"/>
        <v>32627.977192982456</v>
      </c>
      <c r="F41" s="109">
        <v>40000</v>
      </c>
      <c r="G41" s="104">
        <f t="shared" si="5"/>
        <v>7372.0228070175435</v>
      </c>
      <c r="H41" s="104">
        <f t="shared" si="6"/>
        <v>1483.0898724082936</v>
      </c>
      <c r="I41" s="104">
        <f t="shared" si="7"/>
        <v>1483.0898724082936</v>
      </c>
      <c r="J41" s="104">
        <f>TBLKATALOG[[#This Row],[HARGA JUAL]]-TBLKATALOG[[#This Row],[MODAL SETELAH DITAMBAH BUDGET KOMISI]]</f>
        <v>7372.0228070175435</v>
      </c>
    </row>
    <row r="42" spans="2:13" x14ac:dyDescent="0.3">
      <c r="B42" s="103" t="s">
        <v>394</v>
      </c>
      <c r="C42" s="104">
        <f>VLOOKUP(TBLKATALOG[[#This Row],[NAMA PRODUK]],[4]!TBLMODAL[[NAMA MENU]:[MODAL KEMBALI KE PERUSAHAAN PRODUK OFF LINE]],2,FALSE)</f>
        <v>35468.388357256779</v>
      </c>
      <c r="D42" s="104">
        <f>SUM(TBLKATALOG[[#This Row],[LABA MITRA 5 %]:[LABA KIRIM 5 %]])</f>
        <v>3546.8388357256781</v>
      </c>
      <c r="E42" s="104">
        <f t="shared" si="4"/>
        <v>39015.227192982456</v>
      </c>
      <c r="F42" s="109">
        <v>45000</v>
      </c>
      <c r="G42" s="104">
        <f t="shared" si="5"/>
        <v>5984.7728070175435</v>
      </c>
      <c r="H42" s="104">
        <f t="shared" si="6"/>
        <v>1773.4194178628391</v>
      </c>
      <c r="I42" s="104">
        <f t="shared" si="7"/>
        <v>1773.4194178628391</v>
      </c>
      <c r="J42" s="104">
        <f>TBLKATALOG[[#This Row],[HARGA JUAL]]-TBLKATALOG[[#This Row],[MODAL SETELAH DITAMBAH BUDGET KOMISI]]</f>
        <v>5984.7728070175435</v>
      </c>
    </row>
    <row r="43" spans="2:13" x14ac:dyDescent="0.3">
      <c r="B43" s="103" t="s">
        <v>395</v>
      </c>
      <c r="C43" s="104">
        <f>VLOOKUP(TBLKATALOG[[#This Row],[NAMA PRODUK]],[4]!TBLMODAL[[NAMA MENU]:[MODAL KEMBALI KE PERUSAHAAN PRODUK OFF LINE]],2,FALSE)</f>
        <v>34905.888357256779</v>
      </c>
      <c r="D43" s="104">
        <f>SUM(TBLKATALOG[[#This Row],[LABA MITRA 5 %]:[LABA KIRIM 5 %]])</f>
        <v>3490.5888357256781</v>
      </c>
      <c r="E43" s="104">
        <f t="shared" si="4"/>
        <v>38396.477192982456</v>
      </c>
      <c r="F43" s="109">
        <v>45000</v>
      </c>
      <c r="G43" s="104">
        <f t="shared" si="5"/>
        <v>6603.5228070175435</v>
      </c>
      <c r="H43" s="104">
        <f t="shared" si="6"/>
        <v>1745.2944178628391</v>
      </c>
      <c r="I43" s="104">
        <f t="shared" si="7"/>
        <v>1745.2944178628391</v>
      </c>
      <c r="J43" s="104">
        <f>TBLKATALOG[[#This Row],[HARGA JUAL]]-TBLKATALOG[[#This Row],[MODAL SETELAH DITAMBAH BUDGET KOMISI]]</f>
        <v>6603.5228070175435</v>
      </c>
    </row>
    <row r="44" spans="2:13" x14ac:dyDescent="0.3">
      <c r="B44" s="103" t="s">
        <v>396</v>
      </c>
      <c r="C44" s="104">
        <f>VLOOKUP(TBLKATALOG[[#This Row],[NAMA PRODUK]],[4]!TBLMODAL[[NAMA MENU]:[MODAL KEMBALI KE PERUSAHAAN PRODUK OFF LINE]],2,FALSE)</f>
        <v>34905.888357256779</v>
      </c>
      <c r="D44" s="104">
        <f>SUM(TBLKATALOG[[#This Row],[LABA MITRA 5 %]:[LABA KIRIM 5 %]])</f>
        <v>3490.5888357256781</v>
      </c>
      <c r="E44" s="104">
        <f t="shared" si="4"/>
        <v>38396.477192982456</v>
      </c>
      <c r="F44" s="109">
        <v>45000</v>
      </c>
      <c r="G44" s="104">
        <f t="shared" si="5"/>
        <v>6603.5228070175435</v>
      </c>
      <c r="H44" s="104">
        <f t="shared" si="6"/>
        <v>1745.2944178628391</v>
      </c>
      <c r="I44" s="104">
        <f t="shared" si="7"/>
        <v>1745.2944178628391</v>
      </c>
      <c r="J44" s="104">
        <f>TBLKATALOG[[#This Row],[HARGA JUAL]]-TBLKATALOG[[#This Row],[MODAL SETELAH DITAMBAH BUDGET KOMISI]]</f>
        <v>6603.5228070175435</v>
      </c>
    </row>
    <row r="45" spans="2:13" x14ac:dyDescent="0.3">
      <c r="B45" s="107" t="s">
        <v>569</v>
      </c>
      <c r="C45" s="104">
        <f>VLOOKUP(TBLKATALOG[[#This Row],[NAMA PRODUK]],[4]!TBLMODAL[[NAMA MENU]:[MODAL KEMBALI KE PERUSAHAAN PRODUK OFF LINE]],2,FALSE)</f>
        <v>33609.835725677833</v>
      </c>
      <c r="D45" s="138">
        <f>SUM(TBLKATALOG[[#This Row],[LABA MITRA 5 %]:[LABA KIRIM 5 %]])</f>
        <v>3360.9835725677835</v>
      </c>
      <c r="E45" s="138">
        <f t="shared" si="4"/>
        <v>36970.819298245617</v>
      </c>
      <c r="F45" s="139">
        <v>40000</v>
      </c>
      <c r="G45" s="138">
        <f t="shared" si="5"/>
        <v>3029.1807017543833</v>
      </c>
      <c r="H45" s="108">
        <f t="shared" si="6"/>
        <v>1680.4917862838918</v>
      </c>
      <c r="I45" s="108">
        <f t="shared" si="7"/>
        <v>1680.4917862838918</v>
      </c>
      <c r="J45" s="104">
        <f>TBLKATALOG[[#This Row],[HARGA JUAL]]-TBLKATALOG[[#This Row],[MODAL SETELAH DITAMBAH BUDGET KOMISI]]</f>
        <v>3029.1807017543833</v>
      </c>
    </row>
    <row r="46" spans="2:13" x14ac:dyDescent="0.3">
      <c r="B46" s="1" t="s">
        <v>470</v>
      </c>
      <c r="C46" s="104">
        <f>VLOOKUP(TBLKATALOG[[#This Row],[NAMA PRODUK]],[4]!TBLMODAL[[NAMA MENU]:[MODAL KEMBALI KE PERUSAHAAN PRODUK OFF LINE]],2,FALSE)</f>
        <v>29668.244816586921</v>
      </c>
      <c r="D46" s="104">
        <f>SUM(TBLKATALOG[[#This Row],[LABA MITRA 5 %]:[LABA KIRIM 5 %]])</f>
        <v>2966.8244816586921</v>
      </c>
      <c r="E46" s="104">
        <f t="shared" si="4"/>
        <v>32635.069298245613</v>
      </c>
      <c r="F46" s="109">
        <v>40000</v>
      </c>
      <c r="G46" s="104">
        <f t="shared" si="5"/>
        <v>7364.930701754387</v>
      </c>
      <c r="H46" s="104">
        <f t="shared" si="6"/>
        <v>1483.412240829346</v>
      </c>
      <c r="I46" s="104">
        <f t="shared" si="7"/>
        <v>1483.412240829346</v>
      </c>
      <c r="J46" s="104">
        <f>TBLKATALOG[[#This Row],[HARGA JUAL]]-TBLKATALOG[[#This Row],[MODAL SETELAH DITAMBAH BUDGET KOMISI]]</f>
        <v>7364.930701754387</v>
      </c>
    </row>
    <row r="47" spans="2:13" x14ac:dyDescent="0.3">
      <c r="B47" s="103" t="s">
        <v>473</v>
      </c>
      <c r="C47" s="104">
        <f>VLOOKUP(TBLKATALOG[[#This Row],[NAMA PRODUK]],[4]!TBLMODAL[[NAMA MENU]:[MODAL KEMBALI KE PERUSAHAAN PRODUK OFF LINE]],2,FALSE)</f>
        <v>32707.850079744814</v>
      </c>
      <c r="D47" s="104">
        <f>SUM(TBLKATALOG[[#This Row],[LABA MITRA 5 %]:[LABA KIRIM 5 %]])</f>
        <v>3270.7850079744817</v>
      </c>
      <c r="E47" s="104">
        <f t="shared" si="4"/>
        <v>35978.635087719296</v>
      </c>
      <c r="F47" s="109">
        <v>40000</v>
      </c>
      <c r="G47" s="104">
        <f t="shared" si="5"/>
        <v>4021.3649122807037</v>
      </c>
      <c r="H47" s="104">
        <f t="shared" si="6"/>
        <v>1635.3925039872408</v>
      </c>
      <c r="I47" s="104">
        <f t="shared" si="7"/>
        <v>1635.3925039872408</v>
      </c>
      <c r="J47" s="104">
        <f>TBLKATALOG[[#This Row],[HARGA JUAL]]-TBLKATALOG[[#This Row],[MODAL SETELAH DITAMBAH BUDGET KOMISI]]</f>
        <v>4021.3649122807037</v>
      </c>
    </row>
    <row r="48" spans="2:13" x14ac:dyDescent="0.3">
      <c r="B48" s="103" t="s">
        <v>397</v>
      </c>
      <c r="C48" s="104">
        <f>VLOOKUP(TBLKATALOG[[#This Row],[NAMA PRODUK]],[4]!TBLMODAL[[NAMA MENU]:[MODAL KEMBALI KE PERUSAHAAN PRODUK OFF LINE]],2,FALSE)</f>
        <v>33622.993620414672</v>
      </c>
      <c r="D48" s="104">
        <f>SUM(TBLKATALOG[[#This Row],[LABA MITRA 5 %]:[LABA KIRIM 5 %]])</f>
        <v>3362.2993620414672</v>
      </c>
      <c r="E48" s="104">
        <f t="shared" si="4"/>
        <v>36985.292982456143</v>
      </c>
      <c r="F48" s="109">
        <v>40000</v>
      </c>
      <c r="G48" s="104">
        <f t="shared" si="5"/>
        <v>3014.7070175438566</v>
      </c>
      <c r="H48" s="104">
        <f t="shared" si="6"/>
        <v>1681.1496810207336</v>
      </c>
      <c r="I48" s="104">
        <f t="shared" si="7"/>
        <v>1681.1496810207336</v>
      </c>
      <c r="J48" s="104">
        <f>TBLKATALOG[[#This Row],[HARGA JUAL]]-TBLKATALOG[[#This Row],[MODAL SETELAH DITAMBAH BUDGET KOMISI]]</f>
        <v>3014.7070175438566</v>
      </c>
    </row>
    <row r="49" spans="2:10" x14ac:dyDescent="0.3">
      <c r="B49" s="103" t="s">
        <v>398</v>
      </c>
      <c r="C49" s="104">
        <f>VLOOKUP(TBLKATALOG[[#This Row],[NAMA PRODUK]],[4]!TBLMODAL[[NAMA MENU]:[MODAL KEMBALI KE PERUSAHAAN PRODUK OFF LINE]],2,FALSE)</f>
        <v>46396.639553429028</v>
      </c>
      <c r="D49" s="108">
        <f>SUM(TBLKATALOG[[#This Row],[LABA MITRA 5 %]:[LABA KIRIM 5 %]])</f>
        <v>4639.6639553429031</v>
      </c>
      <c r="E49" s="108">
        <f t="shared" si="4"/>
        <v>51036.303508771933</v>
      </c>
      <c r="F49" s="111">
        <v>60000</v>
      </c>
      <c r="G49" s="108">
        <f t="shared" si="5"/>
        <v>8963.6964912280673</v>
      </c>
      <c r="H49" s="108">
        <f t="shared" si="6"/>
        <v>2319.8319776714516</v>
      </c>
      <c r="I49" s="108">
        <f t="shared" si="7"/>
        <v>2319.8319776714516</v>
      </c>
      <c r="J49" s="104">
        <f>TBLKATALOG[[#This Row],[HARGA JUAL]]-TBLKATALOG[[#This Row],[MODAL SETELAH DITAMBAH BUDGET KOMISI]]</f>
        <v>8963.6964912280673</v>
      </c>
    </row>
    <row r="50" spans="2:10" x14ac:dyDescent="0.3">
      <c r="B50" s="103" t="s">
        <v>399</v>
      </c>
      <c r="C50" s="104">
        <f>VLOOKUP(TBLKATALOG[[#This Row],[NAMA PRODUK]],[4]!TBLMODAL[[NAMA MENU]:[MODAL KEMBALI KE PERUSAHAAN PRODUK OFF LINE]],2,FALSE)</f>
        <v>44576.902711323768</v>
      </c>
      <c r="D50" s="104">
        <f>SUM(TBLKATALOG[[#This Row],[LABA MITRA 5 %]:[LABA KIRIM 5 %]])</f>
        <v>4457.6902711323773</v>
      </c>
      <c r="E50" s="104">
        <f t="shared" si="4"/>
        <v>49034.592982456146</v>
      </c>
      <c r="F50" s="111">
        <v>60000</v>
      </c>
      <c r="G50" s="104">
        <f t="shared" si="5"/>
        <v>10965.407017543854</v>
      </c>
      <c r="H50" s="104">
        <f t="shared" si="6"/>
        <v>2228.8451355661887</v>
      </c>
      <c r="I50" s="104">
        <f t="shared" si="7"/>
        <v>2228.8451355661887</v>
      </c>
      <c r="J50" s="104">
        <f>TBLKATALOG[[#This Row],[HARGA JUAL]]-TBLKATALOG[[#This Row],[MODAL SETELAH DITAMBAH BUDGET KOMISI]]</f>
        <v>10965.407017543854</v>
      </c>
    </row>
    <row r="51" spans="2:10" x14ac:dyDescent="0.3">
      <c r="B51" s="103" t="s">
        <v>400</v>
      </c>
      <c r="C51" s="104">
        <f>VLOOKUP(TBLKATALOG[[#This Row],[NAMA PRODUK]],[4]!TBLMODAL[[NAMA MENU]:[MODAL KEMBALI KE PERUSAHAAN PRODUK OFF LINE]],2,FALSE)</f>
        <v>45971.639553429028</v>
      </c>
      <c r="D51" s="104">
        <f>SUM(TBLKATALOG[[#This Row],[LABA MITRA 5 %]:[LABA KIRIM 5 %]])</f>
        <v>4597.1639553429031</v>
      </c>
      <c r="E51" s="104">
        <f t="shared" si="4"/>
        <v>50568.803508771933</v>
      </c>
      <c r="F51" s="111">
        <v>60000</v>
      </c>
      <c r="G51" s="104">
        <f t="shared" si="5"/>
        <v>9431.1964912280673</v>
      </c>
      <c r="H51" s="104">
        <f t="shared" si="6"/>
        <v>2298.5819776714516</v>
      </c>
      <c r="I51" s="104">
        <f t="shared" si="7"/>
        <v>2298.5819776714516</v>
      </c>
      <c r="J51" s="104">
        <f>TBLKATALOG[[#This Row],[HARGA JUAL]]-TBLKATALOG[[#This Row],[MODAL SETELAH DITAMBAH BUDGET KOMISI]]</f>
        <v>9431.1964912280673</v>
      </c>
    </row>
    <row r="52" spans="2:10" x14ac:dyDescent="0.3">
      <c r="B52" s="103" t="s">
        <v>401</v>
      </c>
      <c r="C52" s="104">
        <f>VLOOKUP(TBLKATALOG[[#This Row],[NAMA PRODUK]],[4]!TBLMODAL[[NAMA MENU]:[MODAL KEMBALI KE PERUSAHAAN PRODUK OFF LINE]],2,FALSE)</f>
        <v>54690.562998405105</v>
      </c>
      <c r="D52" s="104">
        <f>SUM(TBLKATALOG[[#This Row],[LABA MITRA 5 %]:[LABA KIRIM 5 %]])</f>
        <v>5469.0562998405112</v>
      </c>
      <c r="E52" s="104">
        <f t="shared" si="4"/>
        <v>60159.619298245612</v>
      </c>
      <c r="F52" s="109">
        <v>65000</v>
      </c>
      <c r="G52" s="104">
        <f t="shared" si="5"/>
        <v>4840.3807017543877</v>
      </c>
      <c r="H52" s="104">
        <f t="shared" si="6"/>
        <v>2734.5281499202556</v>
      </c>
      <c r="I52" s="104">
        <f t="shared" si="7"/>
        <v>2734.5281499202556</v>
      </c>
      <c r="J52" s="104">
        <f>TBLKATALOG[[#This Row],[HARGA JUAL]]-TBLKATALOG[[#This Row],[MODAL SETELAH DITAMBAH BUDGET KOMISI]]</f>
        <v>4840.3807017543877</v>
      </c>
    </row>
    <row r="53" spans="2:10" x14ac:dyDescent="0.3">
      <c r="B53" s="103" t="s">
        <v>402</v>
      </c>
      <c r="C53" s="104">
        <f>VLOOKUP(TBLKATALOG[[#This Row],[NAMA PRODUK]],[4]!TBLMODAL[[NAMA MENU]:[MODAL KEMBALI KE PERUSAHAAN PRODUK OFF LINE]],2,FALSE)</f>
        <v>52440.562998405105</v>
      </c>
      <c r="D53" s="104">
        <f>SUM(TBLKATALOG[[#This Row],[LABA MITRA 5 %]:[LABA KIRIM 5 %]])</f>
        <v>5244.0562998405112</v>
      </c>
      <c r="E53" s="104">
        <f t="shared" si="4"/>
        <v>57684.619298245612</v>
      </c>
      <c r="F53" s="109">
        <v>65000</v>
      </c>
      <c r="G53" s="104">
        <f t="shared" si="5"/>
        <v>7315.3807017543877</v>
      </c>
      <c r="H53" s="104">
        <f t="shared" si="6"/>
        <v>2622.0281499202556</v>
      </c>
      <c r="I53" s="104">
        <f t="shared" si="7"/>
        <v>2622.0281499202556</v>
      </c>
      <c r="J53" s="104">
        <f>TBLKATALOG[[#This Row],[HARGA JUAL]]-TBLKATALOG[[#This Row],[MODAL SETELAH DITAMBAH BUDGET KOMISI]]</f>
        <v>7315.3807017543877</v>
      </c>
    </row>
    <row r="54" spans="2:10" x14ac:dyDescent="0.3">
      <c r="B54" s="103" t="s">
        <v>403</v>
      </c>
      <c r="C54" s="104">
        <f>VLOOKUP(TBLKATALOG[[#This Row],[NAMA PRODUK]],[4]!TBLMODAL[[NAMA MENU]:[MODAL KEMBALI KE PERUSAHAAN PRODUK OFF LINE]],2,FALSE)</f>
        <v>54165.562998405105</v>
      </c>
      <c r="D54" s="104">
        <f>SUM(TBLKATALOG[[#This Row],[LABA MITRA 5 %]:[LABA KIRIM 5 %]])</f>
        <v>5416.5562998405112</v>
      </c>
      <c r="E54" s="104">
        <f t="shared" si="4"/>
        <v>59582.119298245612</v>
      </c>
      <c r="F54" s="109">
        <v>65000</v>
      </c>
      <c r="G54" s="104">
        <f t="shared" si="5"/>
        <v>5417.8807017543877</v>
      </c>
      <c r="H54" s="104">
        <f t="shared" si="6"/>
        <v>2708.2781499202556</v>
      </c>
      <c r="I54" s="104">
        <f t="shared" si="7"/>
        <v>2708.2781499202556</v>
      </c>
      <c r="J54" s="104">
        <f>TBLKATALOG[[#This Row],[HARGA JUAL]]-TBLKATALOG[[#This Row],[MODAL SETELAH DITAMBAH BUDGET KOMISI]]</f>
        <v>5417.8807017543877</v>
      </c>
    </row>
    <row r="55" spans="2:10" x14ac:dyDescent="0.3">
      <c r="B55" s="107" t="s">
        <v>570</v>
      </c>
      <c r="C55" s="104">
        <f>VLOOKUP(TBLKATALOG[[#This Row],[NAMA PRODUK]],[4]!TBLMODAL[[NAMA MENU]:[MODAL KEMBALI KE PERUSAHAAN PRODUK OFF LINE]],2,FALSE)</f>
        <v>47746.639553429028</v>
      </c>
      <c r="D55" s="138">
        <f>SUM(TBLKATALOG[[#This Row],[LABA MITRA 5 %]:[LABA KIRIM 5 %]])</f>
        <v>4774.6639553429031</v>
      </c>
      <c r="E55" s="138">
        <f t="shared" si="4"/>
        <v>52521.303508771933</v>
      </c>
      <c r="F55" s="139">
        <v>60000</v>
      </c>
      <c r="G55" s="138">
        <f t="shared" si="5"/>
        <v>7478.6964912280673</v>
      </c>
      <c r="H55" s="108">
        <f t="shared" si="6"/>
        <v>2387.3319776714516</v>
      </c>
      <c r="I55" s="108">
        <f t="shared" si="7"/>
        <v>2387.3319776714516</v>
      </c>
      <c r="J55" s="104">
        <f>TBLKATALOG[[#This Row],[HARGA JUAL]]-TBLKATALOG[[#This Row],[MODAL SETELAH DITAMBAH BUDGET KOMISI]]</f>
        <v>7478.6964912280673</v>
      </c>
    </row>
    <row r="56" spans="2:10" x14ac:dyDescent="0.3">
      <c r="B56" s="107" t="s">
        <v>609</v>
      </c>
      <c r="C56" s="104">
        <f>VLOOKUP(TBLKATALOG[[#This Row],[NAMA PRODUK]],[4]!TBLMODAL[[NAMA MENU]:[MODAL KEMBALI KE PERUSAHAAN PRODUK OFF LINE]],2,FALSE)</f>
        <v>51609.797448165875</v>
      </c>
      <c r="D56" s="138">
        <f>SUM(TBLKATALOG[[#This Row],[LABA MITRA 5 %]:[LABA KIRIM 5 %]])</f>
        <v>5160.9797448165882</v>
      </c>
      <c r="E56" s="138">
        <f>C56+D56</f>
        <v>56770.777192982467</v>
      </c>
      <c r="F56" s="139">
        <v>60000</v>
      </c>
      <c r="G56" s="138">
        <f>F56-E56</f>
        <v>3229.2228070175333</v>
      </c>
      <c r="H56" s="108">
        <f>0.05*C56</f>
        <v>2580.4898724082941</v>
      </c>
      <c r="I56" s="108">
        <f>0.05*C56</f>
        <v>2580.4898724082941</v>
      </c>
      <c r="J56" s="104">
        <f>TBLKATALOG[[#This Row],[HARGA JUAL]]-TBLKATALOG[[#This Row],[MODAL SETELAH DITAMBAH BUDGET KOMISI]]</f>
        <v>3229.2228070175333</v>
      </c>
    </row>
    <row r="57" spans="2:10" x14ac:dyDescent="0.3">
      <c r="B57" s="127" t="s">
        <v>469</v>
      </c>
      <c r="C57" s="104">
        <f>VLOOKUP(TBLKATALOG[[#This Row],[NAMA PRODUK]],[4]!TBLMODAL[[NAMA MENU]:[MODAL KEMBALI KE PERUSAHAAN PRODUK OFF LINE]],2,FALSE)</f>
        <v>47571.639553429028</v>
      </c>
      <c r="D57" s="129">
        <f>SUM(TBLKATALOG[[#This Row],[LABA MITRA 5 %]:[LABA KIRIM 5 %]])</f>
        <v>4757.1639553429031</v>
      </c>
      <c r="E57" s="129">
        <f t="shared" si="4"/>
        <v>52328.803508771933</v>
      </c>
      <c r="F57" s="130">
        <v>60000</v>
      </c>
      <c r="G57" s="129">
        <f t="shared" si="5"/>
        <v>7671.1964912280673</v>
      </c>
      <c r="H57" s="117">
        <f t="shared" si="6"/>
        <v>2378.5819776714516</v>
      </c>
      <c r="I57" s="117">
        <f t="shared" si="7"/>
        <v>2378.5819776714516</v>
      </c>
      <c r="J57" s="117">
        <f>TBLKATALOG[[#This Row],[HARGA JUAL]]-TBLKATALOG[[#This Row],[MODAL SETELAH DITAMBAH BUDGET KOMISI]]</f>
        <v>7671.1964912280673</v>
      </c>
    </row>
    <row r="58" spans="2:10" x14ac:dyDescent="0.3">
      <c r="B58" s="103" t="s">
        <v>404</v>
      </c>
      <c r="C58" s="104">
        <f>VLOOKUP(TBLKATALOG[[#This Row],[NAMA PRODUK]],[4]!TBLMODAL[[NAMA MENU]:[MODAL KEMBALI KE PERUSAHAAN PRODUK OFF LINE]],2,FALSE)</f>
        <v>47030.850079744814</v>
      </c>
      <c r="D58" s="104">
        <f>SUM(TBLKATALOG[[#This Row],[LABA MITRA 5 %]:[LABA KIRIM 5 %]])</f>
        <v>4703.0850079744814</v>
      </c>
      <c r="E58" s="104">
        <f t="shared" si="4"/>
        <v>51733.935087719292</v>
      </c>
      <c r="F58" s="111">
        <v>60000</v>
      </c>
      <c r="G58" s="104">
        <f t="shared" si="5"/>
        <v>8266.0649122807081</v>
      </c>
      <c r="H58" s="104">
        <f t="shared" si="6"/>
        <v>2351.5425039872407</v>
      </c>
      <c r="I58" s="104">
        <f t="shared" si="7"/>
        <v>2351.5425039872407</v>
      </c>
      <c r="J58" s="104">
        <f>TBLKATALOG[[#This Row],[HARGA JUAL]]-TBLKATALOG[[#This Row],[MODAL SETELAH DITAMBAH BUDGET KOMISI]]</f>
        <v>8266.0649122807081</v>
      </c>
    </row>
    <row r="59" spans="2:10" x14ac:dyDescent="0.3">
      <c r="B59" s="103" t="s">
        <v>623</v>
      </c>
      <c r="C59" s="104">
        <f>VLOOKUP(TBLKATALOG[[#This Row],[NAMA PRODUK]],[4]!TBLMODAL[[NAMA MENU]:[MODAL KEMBALI KE PERUSAHAAN PRODUK OFF LINE]],2,FALSE)</f>
        <v>6787.7192982456136</v>
      </c>
      <c r="D59" s="104">
        <f>SUM(TBLKATALOG[[#This Row],[LABA MITRA 5 %]:[LABA KIRIM 5 %]])</f>
        <v>678.77192982456143</v>
      </c>
      <c r="E59" s="104">
        <f t="shared" si="4"/>
        <v>7466.4912280701747</v>
      </c>
      <c r="F59" s="109">
        <v>9000</v>
      </c>
      <c r="G59" s="104">
        <f t="shared" si="5"/>
        <v>1533.5087719298253</v>
      </c>
      <c r="H59" s="104">
        <f t="shared" si="6"/>
        <v>339.38596491228071</v>
      </c>
      <c r="I59" s="104">
        <f t="shared" si="7"/>
        <v>339.38596491228071</v>
      </c>
      <c r="J59" s="104">
        <f>TBLKATALOG[[#This Row],[HARGA JUAL]]-TBLKATALOG[[#This Row],[MODAL SETELAH DITAMBAH BUDGET KOMISI]]</f>
        <v>1533.5087719298253</v>
      </c>
    </row>
    <row r="60" spans="2:10" x14ac:dyDescent="0.3">
      <c r="B60" s="103" t="s">
        <v>624</v>
      </c>
      <c r="C60" s="104">
        <f>VLOOKUP(TBLKATALOG[[#This Row],[NAMA PRODUK]],[4]!TBLMODAL[[NAMA MENU]:[MODAL KEMBALI KE PERUSAHAAN PRODUK OFF LINE]],2,FALSE)</f>
        <v>7116.6666666666661</v>
      </c>
      <c r="D60" s="104">
        <f>SUM(TBLKATALOG[[#This Row],[LABA MITRA 5 %]:[LABA KIRIM 5 %]])</f>
        <v>711.66666666666663</v>
      </c>
      <c r="E60" s="104">
        <f t="shared" si="4"/>
        <v>7828.333333333333</v>
      </c>
      <c r="F60" s="109">
        <v>9000</v>
      </c>
      <c r="G60" s="104">
        <f t="shared" si="5"/>
        <v>1171.666666666667</v>
      </c>
      <c r="H60" s="104">
        <f t="shared" si="6"/>
        <v>355.83333333333331</v>
      </c>
      <c r="I60" s="104">
        <f t="shared" si="7"/>
        <v>355.83333333333331</v>
      </c>
      <c r="J60" s="104">
        <f>TBLKATALOG[[#This Row],[HARGA JUAL]]-TBLKATALOG[[#This Row],[MODAL SETELAH DITAMBAH BUDGET KOMISI]]</f>
        <v>1171.666666666667</v>
      </c>
    </row>
    <row r="61" spans="2:10" x14ac:dyDescent="0.3">
      <c r="B61" s="112" t="s">
        <v>405</v>
      </c>
      <c r="C61" s="104" t="e">
        <f>VLOOKUP(TBLKATALOG[[#This Row],[NAMA PRODUK]],[4]!TBLMODAL[[NAMA MENU]:[MODAL KEMBALI KE PERUSAHAAN PRODUK OFF LINE]],2,FALSE)</f>
        <v>#REF!</v>
      </c>
      <c r="D61" s="104" t="e">
        <f>SUM(TBLKATALOG[[#This Row],[LABA MITRA 5 %]:[LABA KIRIM 5 %]])</f>
        <v>#REF!</v>
      </c>
      <c r="E61" s="104" t="e">
        <f t="shared" si="4"/>
        <v>#REF!</v>
      </c>
      <c r="F61" s="109">
        <v>16000</v>
      </c>
      <c r="G61" s="104" t="e">
        <f t="shared" si="5"/>
        <v>#REF!</v>
      </c>
      <c r="H61" s="104" t="e">
        <f t="shared" si="6"/>
        <v>#REF!</v>
      </c>
      <c r="I61" s="104" t="e">
        <f t="shared" si="7"/>
        <v>#REF!</v>
      </c>
      <c r="J61" s="104" t="e">
        <f>TBLKATALOG[[#This Row],[HARGA JUAL]]-TBLKATALOG[[#This Row],[MODAL SETELAH DITAMBAH BUDGET KOMISI]]</f>
        <v>#REF!</v>
      </c>
    </row>
    <row r="62" spans="2:10" x14ac:dyDescent="0.3">
      <c r="B62" s="112" t="s">
        <v>406</v>
      </c>
      <c r="C62" s="104">
        <f>VLOOKUP(TBLKATALOG[[#This Row],[NAMA PRODUK]],[4]!TBLMODAL[[NAMA MENU]:[MODAL KEMBALI KE PERUSAHAAN PRODUK OFF LINE]],2,FALSE)</f>
        <v>7490</v>
      </c>
      <c r="D62" s="104">
        <f>SUM(TBLKATALOG[[#This Row],[LABA MITRA 5 %]:[LABA KIRIM 5 %]])</f>
        <v>749</v>
      </c>
      <c r="E62" s="104">
        <f t="shared" si="4"/>
        <v>8239</v>
      </c>
      <c r="F62" s="109">
        <v>8500</v>
      </c>
      <c r="G62" s="104">
        <f t="shared" si="5"/>
        <v>261</v>
      </c>
      <c r="H62" s="104">
        <f t="shared" si="6"/>
        <v>374.5</v>
      </c>
      <c r="I62" s="104">
        <f t="shared" si="7"/>
        <v>374.5</v>
      </c>
      <c r="J62" s="104">
        <f>TBLKATALOG[[#This Row],[HARGA JUAL]]-TBLKATALOG[[#This Row],[MODAL SETELAH DITAMBAH BUDGET KOMISI]]</f>
        <v>261</v>
      </c>
    </row>
    <row r="63" spans="2:10" x14ac:dyDescent="0.3">
      <c r="B63" s="112" t="s">
        <v>407</v>
      </c>
      <c r="C63" s="104">
        <f>VLOOKUP(TBLKATALOG[[#This Row],[NAMA PRODUK]],[4]!TBLMODAL[[NAMA MENU]:[MODAL KEMBALI KE PERUSAHAAN PRODUK OFF LINE]],2,FALSE)</f>
        <v>2880</v>
      </c>
      <c r="D63" s="104">
        <f>SUM(TBLKATALOG[[#This Row],[LABA MITRA 5 %]:[LABA KIRIM 5 %]])</f>
        <v>288</v>
      </c>
      <c r="E63" s="104">
        <f t="shared" si="4"/>
        <v>3168</v>
      </c>
      <c r="F63" s="109">
        <v>4000</v>
      </c>
      <c r="G63" s="104">
        <f t="shared" si="5"/>
        <v>832</v>
      </c>
      <c r="H63" s="104">
        <f t="shared" si="6"/>
        <v>144</v>
      </c>
      <c r="I63" s="104">
        <f t="shared" si="7"/>
        <v>144</v>
      </c>
      <c r="J63" s="104">
        <f>TBLKATALOG[[#This Row],[HARGA JUAL]]-TBLKATALOG[[#This Row],[MODAL SETELAH DITAMBAH BUDGET KOMISI]]</f>
        <v>832</v>
      </c>
    </row>
    <row r="64" spans="2:10" x14ac:dyDescent="0.3">
      <c r="B64" s="103" t="s">
        <v>408</v>
      </c>
      <c r="C64" s="104">
        <f>VLOOKUP(TBLKATALOG[[#This Row],[NAMA PRODUK]],[4]!TBLMODAL[[NAMA MENU]:[MODAL KEMBALI KE PERUSAHAAN PRODUK OFF LINE]],2,FALSE)</f>
        <v>12000</v>
      </c>
      <c r="D64" s="104">
        <f>SUM(TBLKATALOG[[#This Row],[LABA MITRA 5 %]:[LABA KIRIM 5 %]])</f>
        <v>1200</v>
      </c>
      <c r="E64" s="104">
        <f t="shared" si="4"/>
        <v>13200</v>
      </c>
      <c r="F64" s="109">
        <v>15000</v>
      </c>
      <c r="G64" s="104">
        <f t="shared" si="5"/>
        <v>1800</v>
      </c>
      <c r="H64" s="104">
        <f t="shared" si="6"/>
        <v>600</v>
      </c>
      <c r="I64" s="104">
        <f t="shared" si="7"/>
        <v>600</v>
      </c>
      <c r="J64" s="104">
        <f>TBLKATALOG[[#This Row],[HARGA JUAL]]-TBLKATALOG[[#This Row],[MODAL SETELAH DITAMBAH BUDGET KOMISI]]</f>
        <v>1800</v>
      </c>
    </row>
    <row r="65" spans="2:10" x14ac:dyDescent="0.3">
      <c r="B65" s="103" t="s">
        <v>409</v>
      </c>
      <c r="C65" s="104">
        <f>VLOOKUP(TBLKATALOG[[#This Row],[NAMA PRODUK]],[4]!TBLMODAL[[NAMA MENU]:[MODAL KEMBALI KE PERUSAHAAN PRODUK OFF LINE]],2,FALSE)</f>
        <v>6890</v>
      </c>
      <c r="D65" s="104">
        <f>SUM(TBLKATALOG[[#This Row],[LABA MITRA 5 %]:[LABA KIRIM 5 %]])</f>
        <v>689</v>
      </c>
      <c r="E65" s="104">
        <f t="shared" si="4"/>
        <v>7579</v>
      </c>
      <c r="F65" s="109">
        <v>8000</v>
      </c>
      <c r="G65" s="104">
        <f t="shared" si="5"/>
        <v>421</v>
      </c>
      <c r="H65" s="104">
        <f t="shared" si="6"/>
        <v>344.5</v>
      </c>
      <c r="I65" s="104">
        <f t="shared" si="7"/>
        <v>344.5</v>
      </c>
      <c r="J65" s="104">
        <f>TBLKATALOG[[#This Row],[HARGA JUAL]]-TBLKATALOG[[#This Row],[MODAL SETELAH DITAMBAH BUDGET KOMISI]]</f>
        <v>421</v>
      </c>
    </row>
    <row r="66" spans="2:10" x14ac:dyDescent="0.3">
      <c r="B66" s="103" t="s">
        <v>410</v>
      </c>
      <c r="C66" s="104">
        <f>VLOOKUP(TBLKATALOG[[#This Row],[NAMA PRODUK]],[4]!TBLMODAL[[NAMA MENU]:[MODAL KEMBALI KE PERUSAHAAN PRODUK OFF LINE]],2,FALSE)</f>
        <v>2680</v>
      </c>
      <c r="D66" s="104">
        <f>SUM(TBLKATALOG[[#This Row],[LABA MITRA 5 %]:[LABA KIRIM 5 %]])</f>
        <v>268</v>
      </c>
      <c r="E66" s="104">
        <f t="shared" si="4"/>
        <v>2948</v>
      </c>
      <c r="F66" s="109">
        <v>3500</v>
      </c>
      <c r="G66" s="104">
        <f t="shared" si="5"/>
        <v>552</v>
      </c>
      <c r="H66" s="104">
        <f t="shared" si="6"/>
        <v>134</v>
      </c>
      <c r="I66" s="104">
        <f t="shared" si="7"/>
        <v>134</v>
      </c>
      <c r="J66" s="104">
        <f>TBLKATALOG[[#This Row],[HARGA JUAL]]-TBLKATALOG[[#This Row],[MODAL SETELAH DITAMBAH BUDGET KOMISI]]</f>
        <v>552</v>
      </c>
    </row>
    <row r="67" spans="2:10" x14ac:dyDescent="0.3">
      <c r="B67" s="103" t="s">
        <v>457</v>
      </c>
      <c r="C67" s="104">
        <f>VLOOKUP(TBLKATALOG[[#This Row],[NAMA PRODUK]],[4]!TBLMODAL[[NAMA MENU]:[MODAL KEMBALI KE PERUSAHAAN PRODUK OFF LINE]],2,FALSE)</f>
        <v>5605.8879585326958</v>
      </c>
      <c r="D67" s="104">
        <f>SUM(TBLKATALOG[[#This Row],[LABA MITRA 5 %]:[LABA KIRIM 5 %]])</f>
        <v>560.58879585326963</v>
      </c>
      <c r="E67" s="104">
        <f t="shared" si="4"/>
        <v>6166.4767543859653</v>
      </c>
      <c r="F67" s="109">
        <v>8000</v>
      </c>
      <c r="G67" s="104">
        <f>F67-E67</f>
        <v>1833.5232456140347</v>
      </c>
      <c r="H67" s="104">
        <f t="shared" si="6"/>
        <v>280.29439792663482</v>
      </c>
      <c r="I67" s="104">
        <f t="shared" si="7"/>
        <v>280.29439792663482</v>
      </c>
      <c r="J67" s="104">
        <f>TBLKATALOG[[#This Row],[HARGA JUAL]]-TBLKATALOG[[#This Row],[MODAL SETELAH DITAMBAH BUDGET KOMISI]]</f>
        <v>1833.5232456140347</v>
      </c>
    </row>
    <row r="68" spans="2:10" x14ac:dyDescent="0.3">
      <c r="B68" s="103" t="s">
        <v>433</v>
      </c>
      <c r="C68" s="104">
        <f>VLOOKUP(TBLKATALOG[[#This Row],[NAMA PRODUK]],[4]!TBLMODAL[[NAMA MENU]:[MODAL KEMBALI KE PERUSAHAAN PRODUK OFF LINE]],2,FALSE)</f>
        <v>5951.9405901116425</v>
      </c>
      <c r="D68" s="104">
        <f>SUM(TBLKATALOG[[#This Row],[LABA MITRA 5 %]:[LABA KIRIM 5 %]])</f>
        <v>595.19405901116431</v>
      </c>
      <c r="E68" s="104">
        <f t="shared" si="4"/>
        <v>6547.1346491228069</v>
      </c>
      <c r="F68" s="109">
        <v>8000</v>
      </c>
      <c r="G68" s="104">
        <f t="shared" si="5"/>
        <v>1452.8653508771931</v>
      </c>
      <c r="H68" s="104">
        <f t="shared" si="6"/>
        <v>297.59702950558216</v>
      </c>
      <c r="I68" s="104">
        <f t="shared" si="7"/>
        <v>297.59702950558216</v>
      </c>
      <c r="J68" s="104">
        <f>TBLKATALOG[[#This Row],[HARGA JUAL]]-TBLKATALOG[[#This Row],[MODAL SETELAH DITAMBAH BUDGET KOMISI]]</f>
        <v>1452.8653508771931</v>
      </c>
    </row>
  </sheetData>
  <mergeCells count="2">
    <mergeCell ref="B1:F1"/>
    <mergeCell ref="B2:F2"/>
  </mergeCells>
  <pageMargins left="0.19685039370078741" right="0.19685039370078741" top="0.19685039370078741" bottom="0.19685039370078741" header="0" footer="0"/>
  <pageSetup paperSize="5" scale="80" fitToWidth="0" fitToHeight="0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1"/>
  <sheetViews>
    <sheetView zoomScale="90" zoomScaleNormal="90" workbookViewId="0">
      <selection activeCell="M65" sqref="M65"/>
    </sheetView>
  </sheetViews>
  <sheetFormatPr defaultRowHeight="15" customHeight="1" x14ac:dyDescent="0.3"/>
  <cols>
    <col min="1" max="1" width="44.109375" customWidth="1"/>
    <col min="2" max="10" width="12.88671875" customWidth="1"/>
    <col min="11" max="220" width="9.109375"/>
    <col min="221" max="221" width="14.5546875" customWidth="1"/>
    <col min="222" max="222" width="45.5546875" customWidth="1"/>
    <col min="223" max="223" width="34.33203125" customWidth="1"/>
    <col min="224" max="224" width="19.109375" customWidth="1"/>
    <col min="225" max="225" width="29.5546875" customWidth="1"/>
    <col min="226" max="227" width="17.5546875" customWidth="1"/>
    <col min="228" max="228" width="18.6640625" customWidth="1"/>
    <col min="229" max="229" width="16.33203125" customWidth="1"/>
    <col min="230" max="230" width="20.33203125" customWidth="1"/>
    <col min="231" max="232" width="16.44140625" customWidth="1"/>
    <col min="233" max="233" width="15.109375" customWidth="1"/>
    <col min="234" max="476" width="9.109375"/>
    <col min="477" max="477" width="14.5546875" customWidth="1"/>
    <col min="478" max="478" width="45.5546875" customWidth="1"/>
    <col min="479" max="479" width="34.33203125" customWidth="1"/>
    <col min="480" max="480" width="19.109375" customWidth="1"/>
    <col min="481" max="481" width="29.5546875" customWidth="1"/>
    <col min="482" max="483" width="17.5546875" customWidth="1"/>
    <col min="484" max="484" width="18.6640625" customWidth="1"/>
    <col min="485" max="485" width="16.33203125" customWidth="1"/>
    <col min="486" max="486" width="20.33203125" customWidth="1"/>
    <col min="487" max="488" width="16.44140625" customWidth="1"/>
    <col min="489" max="489" width="15.109375" customWidth="1"/>
    <col min="490" max="732" width="9.109375"/>
    <col min="733" max="733" width="14.5546875" customWidth="1"/>
    <col min="734" max="734" width="45.5546875" customWidth="1"/>
    <col min="735" max="735" width="34.33203125" customWidth="1"/>
    <col min="736" max="736" width="19.109375" customWidth="1"/>
    <col min="737" max="737" width="29.5546875" customWidth="1"/>
    <col min="738" max="739" width="17.5546875" customWidth="1"/>
    <col min="740" max="740" width="18.6640625" customWidth="1"/>
    <col min="741" max="741" width="16.33203125" customWidth="1"/>
    <col min="742" max="742" width="20.33203125" customWidth="1"/>
    <col min="743" max="744" width="16.44140625" customWidth="1"/>
    <col min="745" max="745" width="15.109375" customWidth="1"/>
    <col min="746" max="988" width="9.109375"/>
    <col min="989" max="989" width="14.5546875" customWidth="1"/>
    <col min="990" max="990" width="45.5546875" customWidth="1"/>
    <col min="991" max="991" width="34.33203125" customWidth="1"/>
    <col min="992" max="992" width="19.109375" customWidth="1"/>
    <col min="993" max="993" width="29.5546875" customWidth="1"/>
    <col min="994" max="995" width="17.5546875" customWidth="1"/>
    <col min="996" max="996" width="18.6640625" customWidth="1"/>
    <col min="997" max="997" width="16.33203125" customWidth="1"/>
    <col min="998" max="998" width="20.33203125" customWidth="1"/>
    <col min="999" max="1000" width="16.44140625" customWidth="1"/>
    <col min="1001" max="1001" width="15.109375" customWidth="1"/>
    <col min="1002" max="1244" width="9.109375"/>
    <col min="1245" max="1245" width="14.5546875" customWidth="1"/>
    <col min="1246" max="1246" width="45.5546875" customWidth="1"/>
    <col min="1247" max="1247" width="34.33203125" customWidth="1"/>
    <col min="1248" max="1248" width="19.109375" customWidth="1"/>
    <col min="1249" max="1249" width="29.5546875" customWidth="1"/>
    <col min="1250" max="1251" width="17.5546875" customWidth="1"/>
    <col min="1252" max="1252" width="18.6640625" customWidth="1"/>
    <col min="1253" max="1253" width="16.33203125" customWidth="1"/>
    <col min="1254" max="1254" width="20.33203125" customWidth="1"/>
    <col min="1255" max="1256" width="16.44140625" customWidth="1"/>
    <col min="1257" max="1257" width="15.109375" customWidth="1"/>
    <col min="1258" max="1500" width="9.109375"/>
    <col min="1501" max="1501" width="14.5546875" customWidth="1"/>
    <col min="1502" max="1502" width="45.5546875" customWidth="1"/>
    <col min="1503" max="1503" width="34.33203125" customWidth="1"/>
    <col min="1504" max="1504" width="19.109375" customWidth="1"/>
    <col min="1505" max="1505" width="29.5546875" customWidth="1"/>
    <col min="1506" max="1507" width="17.5546875" customWidth="1"/>
    <col min="1508" max="1508" width="18.6640625" customWidth="1"/>
    <col min="1509" max="1509" width="16.33203125" customWidth="1"/>
    <col min="1510" max="1510" width="20.33203125" customWidth="1"/>
    <col min="1511" max="1512" width="16.44140625" customWidth="1"/>
    <col min="1513" max="1513" width="15.109375" customWidth="1"/>
    <col min="1514" max="1756" width="9.109375"/>
    <col min="1757" max="1757" width="14.5546875" customWidth="1"/>
    <col min="1758" max="1758" width="45.5546875" customWidth="1"/>
    <col min="1759" max="1759" width="34.33203125" customWidth="1"/>
    <col min="1760" max="1760" width="19.109375" customWidth="1"/>
    <col min="1761" max="1761" width="29.5546875" customWidth="1"/>
    <col min="1762" max="1763" width="17.5546875" customWidth="1"/>
    <col min="1764" max="1764" width="18.6640625" customWidth="1"/>
    <col min="1765" max="1765" width="16.33203125" customWidth="1"/>
    <col min="1766" max="1766" width="20.33203125" customWidth="1"/>
    <col min="1767" max="1768" width="16.44140625" customWidth="1"/>
    <col min="1769" max="1769" width="15.109375" customWidth="1"/>
    <col min="1770" max="2012" width="9.109375"/>
    <col min="2013" max="2013" width="14.5546875" customWidth="1"/>
    <col min="2014" max="2014" width="45.5546875" customWidth="1"/>
    <col min="2015" max="2015" width="34.33203125" customWidth="1"/>
    <col min="2016" max="2016" width="19.109375" customWidth="1"/>
    <col min="2017" max="2017" width="29.5546875" customWidth="1"/>
    <col min="2018" max="2019" width="17.5546875" customWidth="1"/>
    <col min="2020" max="2020" width="18.6640625" customWidth="1"/>
    <col min="2021" max="2021" width="16.33203125" customWidth="1"/>
    <col min="2022" max="2022" width="20.33203125" customWidth="1"/>
    <col min="2023" max="2024" width="16.44140625" customWidth="1"/>
    <col min="2025" max="2025" width="15.109375" customWidth="1"/>
    <col min="2026" max="2268" width="9.109375"/>
    <col min="2269" max="2269" width="14.5546875" customWidth="1"/>
    <col min="2270" max="2270" width="45.5546875" customWidth="1"/>
    <col min="2271" max="2271" width="34.33203125" customWidth="1"/>
    <col min="2272" max="2272" width="19.109375" customWidth="1"/>
    <col min="2273" max="2273" width="29.5546875" customWidth="1"/>
    <col min="2274" max="2275" width="17.5546875" customWidth="1"/>
    <col min="2276" max="2276" width="18.6640625" customWidth="1"/>
    <col min="2277" max="2277" width="16.33203125" customWidth="1"/>
    <col min="2278" max="2278" width="20.33203125" customWidth="1"/>
    <col min="2279" max="2280" width="16.44140625" customWidth="1"/>
    <col min="2281" max="2281" width="15.109375" customWidth="1"/>
    <col min="2282" max="2524" width="9.109375"/>
    <col min="2525" max="2525" width="14.5546875" customWidth="1"/>
    <col min="2526" max="2526" width="45.5546875" customWidth="1"/>
    <col min="2527" max="2527" width="34.33203125" customWidth="1"/>
    <col min="2528" max="2528" width="19.109375" customWidth="1"/>
    <col min="2529" max="2529" width="29.5546875" customWidth="1"/>
    <col min="2530" max="2531" width="17.5546875" customWidth="1"/>
    <col min="2532" max="2532" width="18.6640625" customWidth="1"/>
    <col min="2533" max="2533" width="16.33203125" customWidth="1"/>
    <col min="2534" max="2534" width="20.33203125" customWidth="1"/>
    <col min="2535" max="2536" width="16.44140625" customWidth="1"/>
    <col min="2537" max="2537" width="15.109375" customWidth="1"/>
    <col min="2538" max="2780" width="9.109375"/>
    <col min="2781" max="2781" width="14.5546875" customWidth="1"/>
    <col min="2782" max="2782" width="45.5546875" customWidth="1"/>
    <col min="2783" max="2783" width="34.33203125" customWidth="1"/>
    <col min="2784" max="2784" width="19.109375" customWidth="1"/>
    <col min="2785" max="2785" width="29.5546875" customWidth="1"/>
    <col min="2786" max="2787" width="17.5546875" customWidth="1"/>
    <col min="2788" max="2788" width="18.6640625" customWidth="1"/>
    <col min="2789" max="2789" width="16.33203125" customWidth="1"/>
    <col min="2790" max="2790" width="20.33203125" customWidth="1"/>
    <col min="2791" max="2792" width="16.44140625" customWidth="1"/>
    <col min="2793" max="2793" width="15.109375" customWidth="1"/>
    <col min="2794" max="3036" width="9.109375"/>
    <col min="3037" max="3037" width="14.5546875" customWidth="1"/>
    <col min="3038" max="3038" width="45.5546875" customWidth="1"/>
    <col min="3039" max="3039" width="34.33203125" customWidth="1"/>
    <col min="3040" max="3040" width="19.109375" customWidth="1"/>
    <col min="3041" max="3041" width="29.5546875" customWidth="1"/>
    <col min="3042" max="3043" width="17.5546875" customWidth="1"/>
    <col min="3044" max="3044" width="18.6640625" customWidth="1"/>
    <col min="3045" max="3045" width="16.33203125" customWidth="1"/>
    <col min="3046" max="3046" width="20.33203125" customWidth="1"/>
    <col min="3047" max="3048" width="16.44140625" customWidth="1"/>
    <col min="3049" max="3049" width="15.109375" customWidth="1"/>
    <col min="3050" max="3292" width="9.109375"/>
    <col min="3293" max="3293" width="14.5546875" customWidth="1"/>
    <col min="3294" max="3294" width="45.5546875" customWidth="1"/>
    <col min="3295" max="3295" width="34.33203125" customWidth="1"/>
    <col min="3296" max="3296" width="19.109375" customWidth="1"/>
    <col min="3297" max="3297" width="29.5546875" customWidth="1"/>
    <col min="3298" max="3299" width="17.5546875" customWidth="1"/>
    <col min="3300" max="3300" width="18.6640625" customWidth="1"/>
    <col min="3301" max="3301" width="16.33203125" customWidth="1"/>
    <col min="3302" max="3302" width="20.33203125" customWidth="1"/>
    <col min="3303" max="3304" width="16.44140625" customWidth="1"/>
    <col min="3305" max="3305" width="15.109375" customWidth="1"/>
    <col min="3306" max="3548" width="9.109375"/>
    <col min="3549" max="3549" width="14.5546875" customWidth="1"/>
    <col min="3550" max="3550" width="45.5546875" customWidth="1"/>
    <col min="3551" max="3551" width="34.33203125" customWidth="1"/>
    <col min="3552" max="3552" width="19.109375" customWidth="1"/>
    <col min="3553" max="3553" width="29.5546875" customWidth="1"/>
    <col min="3554" max="3555" width="17.5546875" customWidth="1"/>
    <col min="3556" max="3556" width="18.6640625" customWidth="1"/>
    <col min="3557" max="3557" width="16.33203125" customWidth="1"/>
    <col min="3558" max="3558" width="20.33203125" customWidth="1"/>
    <col min="3559" max="3560" width="16.44140625" customWidth="1"/>
    <col min="3561" max="3561" width="15.109375" customWidth="1"/>
    <col min="3562" max="3804" width="9.109375"/>
    <col min="3805" max="3805" width="14.5546875" customWidth="1"/>
    <col min="3806" max="3806" width="45.5546875" customWidth="1"/>
    <col min="3807" max="3807" width="34.33203125" customWidth="1"/>
    <col min="3808" max="3808" width="19.109375" customWidth="1"/>
    <col min="3809" max="3809" width="29.5546875" customWidth="1"/>
    <col min="3810" max="3811" width="17.5546875" customWidth="1"/>
    <col min="3812" max="3812" width="18.6640625" customWidth="1"/>
    <col min="3813" max="3813" width="16.33203125" customWidth="1"/>
    <col min="3814" max="3814" width="20.33203125" customWidth="1"/>
    <col min="3815" max="3816" width="16.44140625" customWidth="1"/>
    <col min="3817" max="3817" width="15.109375" customWidth="1"/>
    <col min="3818" max="4060" width="9.109375"/>
    <col min="4061" max="4061" width="14.5546875" customWidth="1"/>
    <col min="4062" max="4062" width="45.5546875" customWidth="1"/>
    <col min="4063" max="4063" width="34.33203125" customWidth="1"/>
    <col min="4064" max="4064" width="19.109375" customWidth="1"/>
    <col min="4065" max="4065" width="29.5546875" customWidth="1"/>
    <col min="4066" max="4067" width="17.5546875" customWidth="1"/>
    <col min="4068" max="4068" width="18.6640625" customWidth="1"/>
    <col min="4069" max="4069" width="16.33203125" customWidth="1"/>
    <col min="4070" max="4070" width="20.33203125" customWidth="1"/>
    <col min="4071" max="4072" width="16.44140625" customWidth="1"/>
    <col min="4073" max="4073" width="15.109375" customWidth="1"/>
    <col min="4074" max="4316" width="9.109375"/>
    <col min="4317" max="4317" width="14.5546875" customWidth="1"/>
    <col min="4318" max="4318" width="45.5546875" customWidth="1"/>
    <col min="4319" max="4319" width="34.33203125" customWidth="1"/>
    <col min="4320" max="4320" width="19.109375" customWidth="1"/>
    <col min="4321" max="4321" width="29.5546875" customWidth="1"/>
    <col min="4322" max="4323" width="17.5546875" customWidth="1"/>
    <col min="4324" max="4324" width="18.6640625" customWidth="1"/>
    <col min="4325" max="4325" width="16.33203125" customWidth="1"/>
    <col min="4326" max="4326" width="20.33203125" customWidth="1"/>
    <col min="4327" max="4328" width="16.44140625" customWidth="1"/>
    <col min="4329" max="4329" width="15.109375" customWidth="1"/>
    <col min="4330" max="4572" width="9.109375"/>
    <col min="4573" max="4573" width="14.5546875" customWidth="1"/>
    <col min="4574" max="4574" width="45.5546875" customWidth="1"/>
    <col min="4575" max="4575" width="34.33203125" customWidth="1"/>
    <col min="4576" max="4576" width="19.109375" customWidth="1"/>
    <col min="4577" max="4577" width="29.5546875" customWidth="1"/>
    <col min="4578" max="4579" width="17.5546875" customWidth="1"/>
    <col min="4580" max="4580" width="18.6640625" customWidth="1"/>
    <col min="4581" max="4581" width="16.33203125" customWidth="1"/>
    <col min="4582" max="4582" width="20.33203125" customWidth="1"/>
    <col min="4583" max="4584" width="16.44140625" customWidth="1"/>
    <col min="4585" max="4585" width="15.109375" customWidth="1"/>
    <col min="4586" max="4828" width="9.109375"/>
    <col min="4829" max="4829" width="14.5546875" customWidth="1"/>
    <col min="4830" max="4830" width="45.5546875" customWidth="1"/>
    <col min="4831" max="4831" width="34.33203125" customWidth="1"/>
    <col min="4832" max="4832" width="19.109375" customWidth="1"/>
    <col min="4833" max="4833" width="29.5546875" customWidth="1"/>
    <col min="4834" max="4835" width="17.5546875" customWidth="1"/>
    <col min="4836" max="4836" width="18.6640625" customWidth="1"/>
    <col min="4837" max="4837" width="16.33203125" customWidth="1"/>
    <col min="4838" max="4838" width="20.33203125" customWidth="1"/>
    <col min="4839" max="4840" width="16.44140625" customWidth="1"/>
    <col min="4841" max="4841" width="15.109375" customWidth="1"/>
    <col min="4842" max="5084" width="9.109375"/>
    <col min="5085" max="5085" width="14.5546875" customWidth="1"/>
    <col min="5086" max="5086" width="45.5546875" customWidth="1"/>
    <col min="5087" max="5087" width="34.33203125" customWidth="1"/>
    <col min="5088" max="5088" width="19.109375" customWidth="1"/>
    <col min="5089" max="5089" width="29.5546875" customWidth="1"/>
    <col min="5090" max="5091" width="17.5546875" customWidth="1"/>
    <col min="5092" max="5092" width="18.6640625" customWidth="1"/>
    <col min="5093" max="5093" width="16.33203125" customWidth="1"/>
    <col min="5094" max="5094" width="20.33203125" customWidth="1"/>
    <col min="5095" max="5096" width="16.44140625" customWidth="1"/>
    <col min="5097" max="5097" width="15.109375" customWidth="1"/>
    <col min="5098" max="5340" width="9.109375"/>
    <col min="5341" max="5341" width="14.5546875" customWidth="1"/>
    <col min="5342" max="5342" width="45.5546875" customWidth="1"/>
    <col min="5343" max="5343" width="34.33203125" customWidth="1"/>
    <col min="5344" max="5344" width="19.109375" customWidth="1"/>
    <col min="5345" max="5345" width="29.5546875" customWidth="1"/>
    <col min="5346" max="5347" width="17.5546875" customWidth="1"/>
    <col min="5348" max="5348" width="18.6640625" customWidth="1"/>
    <col min="5349" max="5349" width="16.33203125" customWidth="1"/>
    <col min="5350" max="5350" width="20.33203125" customWidth="1"/>
    <col min="5351" max="5352" width="16.44140625" customWidth="1"/>
    <col min="5353" max="5353" width="15.109375" customWidth="1"/>
    <col min="5354" max="5596" width="9.109375"/>
    <col min="5597" max="5597" width="14.5546875" customWidth="1"/>
    <col min="5598" max="5598" width="45.5546875" customWidth="1"/>
    <col min="5599" max="5599" width="34.33203125" customWidth="1"/>
    <col min="5600" max="5600" width="19.109375" customWidth="1"/>
    <col min="5601" max="5601" width="29.5546875" customWidth="1"/>
    <col min="5602" max="5603" width="17.5546875" customWidth="1"/>
    <col min="5604" max="5604" width="18.6640625" customWidth="1"/>
    <col min="5605" max="5605" width="16.33203125" customWidth="1"/>
    <col min="5606" max="5606" width="20.33203125" customWidth="1"/>
    <col min="5607" max="5608" width="16.44140625" customWidth="1"/>
    <col min="5609" max="5609" width="15.109375" customWidth="1"/>
    <col min="5610" max="5852" width="9.109375"/>
    <col min="5853" max="5853" width="14.5546875" customWidth="1"/>
    <col min="5854" max="5854" width="45.5546875" customWidth="1"/>
    <col min="5855" max="5855" width="34.33203125" customWidth="1"/>
    <col min="5856" max="5856" width="19.109375" customWidth="1"/>
    <col min="5857" max="5857" width="29.5546875" customWidth="1"/>
    <col min="5858" max="5859" width="17.5546875" customWidth="1"/>
    <col min="5860" max="5860" width="18.6640625" customWidth="1"/>
    <col min="5861" max="5861" width="16.33203125" customWidth="1"/>
    <col min="5862" max="5862" width="20.33203125" customWidth="1"/>
    <col min="5863" max="5864" width="16.44140625" customWidth="1"/>
    <col min="5865" max="5865" width="15.109375" customWidth="1"/>
    <col min="5866" max="6108" width="9.109375"/>
    <col min="6109" max="6109" width="14.5546875" customWidth="1"/>
    <col min="6110" max="6110" width="45.5546875" customWidth="1"/>
    <col min="6111" max="6111" width="34.33203125" customWidth="1"/>
    <col min="6112" max="6112" width="19.109375" customWidth="1"/>
    <col min="6113" max="6113" width="29.5546875" customWidth="1"/>
    <col min="6114" max="6115" width="17.5546875" customWidth="1"/>
    <col min="6116" max="6116" width="18.6640625" customWidth="1"/>
    <col min="6117" max="6117" width="16.33203125" customWidth="1"/>
    <col min="6118" max="6118" width="20.33203125" customWidth="1"/>
    <col min="6119" max="6120" width="16.44140625" customWidth="1"/>
    <col min="6121" max="6121" width="15.109375" customWidth="1"/>
    <col min="6122" max="6364" width="9.109375"/>
    <col min="6365" max="6365" width="14.5546875" customWidth="1"/>
    <col min="6366" max="6366" width="45.5546875" customWidth="1"/>
    <col min="6367" max="6367" width="34.33203125" customWidth="1"/>
    <col min="6368" max="6368" width="19.109375" customWidth="1"/>
    <col min="6369" max="6369" width="29.5546875" customWidth="1"/>
    <col min="6370" max="6371" width="17.5546875" customWidth="1"/>
    <col min="6372" max="6372" width="18.6640625" customWidth="1"/>
    <col min="6373" max="6373" width="16.33203125" customWidth="1"/>
    <col min="6374" max="6374" width="20.33203125" customWidth="1"/>
    <col min="6375" max="6376" width="16.44140625" customWidth="1"/>
    <col min="6377" max="6377" width="15.109375" customWidth="1"/>
    <col min="6378" max="6620" width="9.109375"/>
    <col min="6621" max="6621" width="14.5546875" customWidth="1"/>
    <col min="6622" max="6622" width="45.5546875" customWidth="1"/>
    <col min="6623" max="6623" width="34.33203125" customWidth="1"/>
    <col min="6624" max="6624" width="19.109375" customWidth="1"/>
    <col min="6625" max="6625" width="29.5546875" customWidth="1"/>
    <col min="6626" max="6627" width="17.5546875" customWidth="1"/>
    <col min="6628" max="6628" width="18.6640625" customWidth="1"/>
    <col min="6629" max="6629" width="16.33203125" customWidth="1"/>
    <col min="6630" max="6630" width="20.33203125" customWidth="1"/>
    <col min="6631" max="6632" width="16.44140625" customWidth="1"/>
    <col min="6633" max="6633" width="15.109375" customWidth="1"/>
    <col min="6634" max="6876" width="9.109375"/>
    <col min="6877" max="6877" width="14.5546875" customWidth="1"/>
    <col min="6878" max="6878" width="45.5546875" customWidth="1"/>
    <col min="6879" max="6879" width="34.33203125" customWidth="1"/>
    <col min="6880" max="6880" width="19.109375" customWidth="1"/>
    <col min="6881" max="6881" width="29.5546875" customWidth="1"/>
    <col min="6882" max="6883" width="17.5546875" customWidth="1"/>
    <col min="6884" max="6884" width="18.6640625" customWidth="1"/>
    <col min="6885" max="6885" width="16.33203125" customWidth="1"/>
    <col min="6886" max="6886" width="20.33203125" customWidth="1"/>
    <col min="6887" max="6888" width="16.44140625" customWidth="1"/>
    <col min="6889" max="6889" width="15.109375" customWidth="1"/>
    <col min="6890" max="7132" width="9.109375"/>
    <col min="7133" max="7133" width="14.5546875" customWidth="1"/>
    <col min="7134" max="7134" width="45.5546875" customWidth="1"/>
    <col min="7135" max="7135" width="34.33203125" customWidth="1"/>
    <col min="7136" max="7136" width="19.109375" customWidth="1"/>
    <col min="7137" max="7137" width="29.5546875" customWidth="1"/>
    <col min="7138" max="7139" width="17.5546875" customWidth="1"/>
    <col min="7140" max="7140" width="18.6640625" customWidth="1"/>
    <col min="7141" max="7141" width="16.33203125" customWidth="1"/>
    <col min="7142" max="7142" width="20.33203125" customWidth="1"/>
    <col min="7143" max="7144" width="16.44140625" customWidth="1"/>
    <col min="7145" max="7145" width="15.109375" customWidth="1"/>
    <col min="7146" max="7388" width="9.109375"/>
    <col min="7389" max="7389" width="14.5546875" customWidth="1"/>
    <col min="7390" max="7390" width="45.5546875" customWidth="1"/>
    <col min="7391" max="7391" width="34.33203125" customWidth="1"/>
    <col min="7392" max="7392" width="19.109375" customWidth="1"/>
    <col min="7393" max="7393" width="29.5546875" customWidth="1"/>
    <col min="7394" max="7395" width="17.5546875" customWidth="1"/>
    <col min="7396" max="7396" width="18.6640625" customWidth="1"/>
    <col min="7397" max="7397" width="16.33203125" customWidth="1"/>
    <col min="7398" max="7398" width="20.33203125" customWidth="1"/>
    <col min="7399" max="7400" width="16.44140625" customWidth="1"/>
    <col min="7401" max="7401" width="15.109375" customWidth="1"/>
    <col min="7402" max="7644" width="9.109375"/>
    <col min="7645" max="7645" width="14.5546875" customWidth="1"/>
    <col min="7646" max="7646" width="45.5546875" customWidth="1"/>
    <col min="7647" max="7647" width="34.33203125" customWidth="1"/>
    <col min="7648" max="7648" width="19.109375" customWidth="1"/>
    <col min="7649" max="7649" width="29.5546875" customWidth="1"/>
    <col min="7650" max="7651" width="17.5546875" customWidth="1"/>
    <col min="7652" max="7652" width="18.6640625" customWidth="1"/>
    <col min="7653" max="7653" width="16.33203125" customWidth="1"/>
    <col min="7654" max="7654" width="20.33203125" customWidth="1"/>
    <col min="7655" max="7656" width="16.44140625" customWidth="1"/>
    <col min="7657" max="7657" width="15.109375" customWidth="1"/>
    <col min="7658" max="7900" width="9.109375"/>
    <col min="7901" max="7901" width="14.5546875" customWidth="1"/>
    <col min="7902" max="7902" width="45.5546875" customWidth="1"/>
    <col min="7903" max="7903" width="34.33203125" customWidth="1"/>
    <col min="7904" max="7904" width="19.109375" customWidth="1"/>
    <col min="7905" max="7905" width="29.5546875" customWidth="1"/>
    <col min="7906" max="7907" width="17.5546875" customWidth="1"/>
    <col min="7908" max="7908" width="18.6640625" customWidth="1"/>
    <col min="7909" max="7909" width="16.33203125" customWidth="1"/>
    <col min="7910" max="7910" width="20.33203125" customWidth="1"/>
    <col min="7911" max="7912" width="16.44140625" customWidth="1"/>
    <col min="7913" max="7913" width="15.109375" customWidth="1"/>
    <col min="7914" max="8156" width="9.109375"/>
    <col min="8157" max="8157" width="14.5546875" customWidth="1"/>
    <col min="8158" max="8158" width="45.5546875" customWidth="1"/>
    <col min="8159" max="8159" width="34.33203125" customWidth="1"/>
    <col min="8160" max="8160" width="19.109375" customWidth="1"/>
    <col min="8161" max="8161" width="29.5546875" customWidth="1"/>
    <col min="8162" max="8163" width="17.5546875" customWidth="1"/>
    <col min="8164" max="8164" width="18.6640625" customWidth="1"/>
    <col min="8165" max="8165" width="16.33203125" customWidth="1"/>
    <col min="8166" max="8166" width="20.33203125" customWidth="1"/>
    <col min="8167" max="8168" width="16.44140625" customWidth="1"/>
    <col min="8169" max="8169" width="15.109375" customWidth="1"/>
    <col min="8170" max="8412" width="9.109375"/>
    <col min="8413" max="8413" width="14.5546875" customWidth="1"/>
    <col min="8414" max="8414" width="45.5546875" customWidth="1"/>
    <col min="8415" max="8415" width="34.33203125" customWidth="1"/>
    <col min="8416" max="8416" width="19.109375" customWidth="1"/>
    <col min="8417" max="8417" width="29.5546875" customWidth="1"/>
    <col min="8418" max="8419" width="17.5546875" customWidth="1"/>
    <col min="8420" max="8420" width="18.6640625" customWidth="1"/>
    <col min="8421" max="8421" width="16.33203125" customWidth="1"/>
    <col min="8422" max="8422" width="20.33203125" customWidth="1"/>
    <col min="8423" max="8424" width="16.44140625" customWidth="1"/>
    <col min="8425" max="8425" width="15.109375" customWidth="1"/>
    <col min="8426" max="8668" width="9.109375"/>
    <col min="8669" max="8669" width="14.5546875" customWidth="1"/>
    <col min="8670" max="8670" width="45.5546875" customWidth="1"/>
    <col min="8671" max="8671" width="34.33203125" customWidth="1"/>
    <col min="8672" max="8672" width="19.109375" customWidth="1"/>
    <col min="8673" max="8673" width="29.5546875" customWidth="1"/>
    <col min="8674" max="8675" width="17.5546875" customWidth="1"/>
    <col min="8676" max="8676" width="18.6640625" customWidth="1"/>
    <col min="8677" max="8677" width="16.33203125" customWidth="1"/>
    <col min="8678" max="8678" width="20.33203125" customWidth="1"/>
    <col min="8679" max="8680" width="16.44140625" customWidth="1"/>
    <col min="8681" max="8681" width="15.109375" customWidth="1"/>
    <col min="8682" max="8924" width="9.109375"/>
    <col min="8925" max="8925" width="14.5546875" customWidth="1"/>
    <col min="8926" max="8926" width="45.5546875" customWidth="1"/>
    <col min="8927" max="8927" width="34.33203125" customWidth="1"/>
    <col min="8928" max="8928" width="19.109375" customWidth="1"/>
    <col min="8929" max="8929" width="29.5546875" customWidth="1"/>
    <col min="8930" max="8931" width="17.5546875" customWidth="1"/>
    <col min="8932" max="8932" width="18.6640625" customWidth="1"/>
    <col min="8933" max="8933" width="16.33203125" customWidth="1"/>
    <col min="8934" max="8934" width="20.33203125" customWidth="1"/>
    <col min="8935" max="8936" width="16.44140625" customWidth="1"/>
    <col min="8937" max="8937" width="15.109375" customWidth="1"/>
    <col min="8938" max="9180" width="9.109375"/>
    <col min="9181" max="9181" width="14.5546875" customWidth="1"/>
    <col min="9182" max="9182" width="45.5546875" customWidth="1"/>
    <col min="9183" max="9183" width="34.33203125" customWidth="1"/>
    <col min="9184" max="9184" width="19.109375" customWidth="1"/>
    <col min="9185" max="9185" width="29.5546875" customWidth="1"/>
    <col min="9186" max="9187" width="17.5546875" customWidth="1"/>
    <col min="9188" max="9188" width="18.6640625" customWidth="1"/>
    <col min="9189" max="9189" width="16.33203125" customWidth="1"/>
    <col min="9190" max="9190" width="20.33203125" customWidth="1"/>
    <col min="9191" max="9192" width="16.44140625" customWidth="1"/>
    <col min="9193" max="9193" width="15.109375" customWidth="1"/>
    <col min="9194" max="9436" width="9.109375"/>
    <col min="9437" max="9437" width="14.5546875" customWidth="1"/>
    <col min="9438" max="9438" width="45.5546875" customWidth="1"/>
    <col min="9439" max="9439" width="34.33203125" customWidth="1"/>
    <col min="9440" max="9440" width="19.109375" customWidth="1"/>
    <col min="9441" max="9441" width="29.5546875" customWidth="1"/>
    <col min="9442" max="9443" width="17.5546875" customWidth="1"/>
    <col min="9444" max="9444" width="18.6640625" customWidth="1"/>
    <col min="9445" max="9445" width="16.33203125" customWidth="1"/>
    <col min="9446" max="9446" width="20.33203125" customWidth="1"/>
    <col min="9447" max="9448" width="16.44140625" customWidth="1"/>
    <col min="9449" max="9449" width="15.109375" customWidth="1"/>
    <col min="9450" max="9692" width="9.109375"/>
    <col min="9693" max="9693" width="14.5546875" customWidth="1"/>
    <col min="9694" max="9694" width="45.5546875" customWidth="1"/>
    <col min="9695" max="9695" width="34.33203125" customWidth="1"/>
    <col min="9696" max="9696" width="19.109375" customWidth="1"/>
    <col min="9697" max="9697" width="29.5546875" customWidth="1"/>
    <col min="9698" max="9699" width="17.5546875" customWidth="1"/>
    <col min="9700" max="9700" width="18.6640625" customWidth="1"/>
    <col min="9701" max="9701" width="16.33203125" customWidth="1"/>
    <col min="9702" max="9702" width="20.33203125" customWidth="1"/>
    <col min="9703" max="9704" width="16.44140625" customWidth="1"/>
    <col min="9705" max="9705" width="15.109375" customWidth="1"/>
    <col min="9706" max="9948" width="9.109375"/>
    <col min="9949" max="9949" width="14.5546875" customWidth="1"/>
    <col min="9950" max="9950" width="45.5546875" customWidth="1"/>
    <col min="9951" max="9951" width="34.33203125" customWidth="1"/>
    <col min="9952" max="9952" width="19.109375" customWidth="1"/>
    <col min="9953" max="9953" width="29.5546875" customWidth="1"/>
    <col min="9954" max="9955" width="17.5546875" customWidth="1"/>
    <col min="9956" max="9956" width="18.6640625" customWidth="1"/>
    <col min="9957" max="9957" width="16.33203125" customWidth="1"/>
    <col min="9958" max="9958" width="20.33203125" customWidth="1"/>
    <col min="9959" max="9960" width="16.44140625" customWidth="1"/>
    <col min="9961" max="9961" width="15.109375" customWidth="1"/>
    <col min="9962" max="10204" width="9.109375"/>
    <col min="10205" max="10205" width="14.5546875" customWidth="1"/>
    <col min="10206" max="10206" width="45.5546875" customWidth="1"/>
    <col min="10207" max="10207" width="34.33203125" customWidth="1"/>
    <col min="10208" max="10208" width="19.109375" customWidth="1"/>
    <col min="10209" max="10209" width="29.5546875" customWidth="1"/>
    <col min="10210" max="10211" width="17.5546875" customWidth="1"/>
    <col min="10212" max="10212" width="18.6640625" customWidth="1"/>
    <col min="10213" max="10213" width="16.33203125" customWidth="1"/>
    <col min="10214" max="10214" width="20.33203125" customWidth="1"/>
    <col min="10215" max="10216" width="16.44140625" customWidth="1"/>
    <col min="10217" max="10217" width="15.109375" customWidth="1"/>
    <col min="10218" max="10460" width="9.109375"/>
    <col min="10461" max="10461" width="14.5546875" customWidth="1"/>
    <col min="10462" max="10462" width="45.5546875" customWidth="1"/>
    <col min="10463" max="10463" width="34.33203125" customWidth="1"/>
    <col min="10464" max="10464" width="19.109375" customWidth="1"/>
    <col min="10465" max="10465" width="29.5546875" customWidth="1"/>
    <col min="10466" max="10467" width="17.5546875" customWidth="1"/>
    <col min="10468" max="10468" width="18.6640625" customWidth="1"/>
    <col min="10469" max="10469" width="16.33203125" customWidth="1"/>
    <col min="10470" max="10470" width="20.33203125" customWidth="1"/>
    <col min="10471" max="10472" width="16.44140625" customWidth="1"/>
    <col min="10473" max="10473" width="15.109375" customWidth="1"/>
    <col min="10474" max="10716" width="9.109375"/>
    <col min="10717" max="10717" width="14.5546875" customWidth="1"/>
    <col min="10718" max="10718" width="45.5546875" customWidth="1"/>
    <col min="10719" max="10719" width="34.33203125" customWidth="1"/>
    <col min="10720" max="10720" width="19.109375" customWidth="1"/>
    <col min="10721" max="10721" width="29.5546875" customWidth="1"/>
    <col min="10722" max="10723" width="17.5546875" customWidth="1"/>
    <col min="10724" max="10724" width="18.6640625" customWidth="1"/>
    <col min="10725" max="10725" width="16.33203125" customWidth="1"/>
    <col min="10726" max="10726" width="20.33203125" customWidth="1"/>
    <col min="10727" max="10728" width="16.44140625" customWidth="1"/>
    <col min="10729" max="10729" width="15.109375" customWidth="1"/>
    <col min="10730" max="10972" width="9.109375"/>
    <col min="10973" max="10973" width="14.5546875" customWidth="1"/>
    <col min="10974" max="10974" width="45.5546875" customWidth="1"/>
    <col min="10975" max="10975" width="34.33203125" customWidth="1"/>
    <col min="10976" max="10976" width="19.109375" customWidth="1"/>
    <col min="10977" max="10977" width="29.5546875" customWidth="1"/>
    <col min="10978" max="10979" width="17.5546875" customWidth="1"/>
    <col min="10980" max="10980" width="18.6640625" customWidth="1"/>
    <col min="10981" max="10981" width="16.33203125" customWidth="1"/>
    <col min="10982" max="10982" width="20.33203125" customWidth="1"/>
    <col min="10983" max="10984" width="16.44140625" customWidth="1"/>
    <col min="10985" max="10985" width="15.109375" customWidth="1"/>
    <col min="10986" max="11228" width="9.109375"/>
    <col min="11229" max="11229" width="14.5546875" customWidth="1"/>
    <col min="11230" max="11230" width="45.5546875" customWidth="1"/>
    <col min="11231" max="11231" width="34.33203125" customWidth="1"/>
    <col min="11232" max="11232" width="19.109375" customWidth="1"/>
    <col min="11233" max="11233" width="29.5546875" customWidth="1"/>
    <col min="11234" max="11235" width="17.5546875" customWidth="1"/>
    <col min="11236" max="11236" width="18.6640625" customWidth="1"/>
    <col min="11237" max="11237" width="16.33203125" customWidth="1"/>
    <col min="11238" max="11238" width="20.33203125" customWidth="1"/>
    <col min="11239" max="11240" width="16.44140625" customWidth="1"/>
    <col min="11241" max="11241" width="15.109375" customWidth="1"/>
    <col min="11242" max="11484" width="9.109375"/>
    <col min="11485" max="11485" width="14.5546875" customWidth="1"/>
    <col min="11486" max="11486" width="45.5546875" customWidth="1"/>
    <col min="11487" max="11487" width="34.33203125" customWidth="1"/>
    <col min="11488" max="11488" width="19.109375" customWidth="1"/>
    <col min="11489" max="11489" width="29.5546875" customWidth="1"/>
    <col min="11490" max="11491" width="17.5546875" customWidth="1"/>
    <col min="11492" max="11492" width="18.6640625" customWidth="1"/>
    <col min="11493" max="11493" width="16.33203125" customWidth="1"/>
    <col min="11494" max="11494" width="20.33203125" customWidth="1"/>
    <col min="11495" max="11496" width="16.44140625" customWidth="1"/>
    <col min="11497" max="11497" width="15.109375" customWidth="1"/>
    <col min="11498" max="11740" width="9.109375"/>
    <col min="11741" max="11741" width="14.5546875" customWidth="1"/>
    <col min="11742" max="11742" width="45.5546875" customWidth="1"/>
    <col min="11743" max="11743" width="34.33203125" customWidth="1"/>
    <col min="11744" max="11744" width="19.109375" customWidth="1"/>
    <col min="11745" max="11745" width="29.5546875" customWidth="1"/>
    <col min="11746" max="11747" width="17.5546875" customWidth="1"/>
    <col min="11748" max="11748" width="18.6640625" customWidth="1"/>
    <col min="11749" max="11749" width="16.33203125" customWidth="1"/>
    <col min="11750" max="11750" width="20.33203125" customWidth="1"/>
    <col min="11751" max="11752" width="16.44140625" customWidth="1"/>
    <col min="11753" max="11753" width="15.109375" customWidth="1"/>
    <col min="11754" max="11996" width="9.109375"/>
    <col min="11997" max="11997" width="14.5546875" customWidth="1"/>
    <col min="11998" max="11998" width="45.5546875" customWidth="1"/>
    <col min="11999" max="11999" width="34.33203125" customWidth="1"/>
    <col min="12000" max="12000" width="19.109375" customWidth="1"/>
    <col min="12001" max="12001" width="29.5546875" customWidth="1"/>
    <col min="12002" max="12003" width="17.5546875" customWidth="1"/>
    <col min="12004" max="12004" width="18.6640625" customWidth="1"/>
    <col min="12005" max="12005" width="16.33203125" customWidth="1"/>
    <col min="12006" max="12006" width="20.33203125" customWidth="1"/>
    <col min="12007" max="12008" width="16.44140625" customWidth="1"/>
    <col min="12009" max="12009" width="15.109375" customWidth="1"/>
    <col min="12010" max="12252" width="9.109375"/>
    <col min="12253" max="12253" width="14.5546875" customWidth="1"/>
    <col min="12254" max="12254" width="45.5546875" customWidth="1"/>
    <col min="12255" max="12255" width="34.33203125" customWidth="1"/>
    <col min="12256" max="12256" width="19.109375" customWidth="1"/>
    <col min="12257" max="12257" width="29.5546875" customWidth="1"/>
    <col min="12258" max="12259" width="17.5546875" customWidth="1"/>
    <col min="12260" max="12260" width="18.6640625" customWidth="1"/>
    <col min="12261" max="12261" width="16.33203125" customWidth="1"/>
    <col min="12262" max="12262" width="20.33203125" customWidth="1"/>
    <col min="12263" max="12264" width="16.44140625" customWidth="1"/>
    <col min="12265" max="12265" width="15.109375" customWidth="1"/>
    <col min="12266" max="12508" width="9.109375"/>
    <col min="12509" max="12509" width="14.5546875" customWidth="1"/>
    <col min="12510" max="12510" width="45.5546875" customWidth="1"/>
    <col min="12511" max="12511" width="34.33203125" customWidth="1"/>
    <col min="12512" max="12512" width="19.109375" customWidth="1"/>
    <col min="12513" max="12513" width="29.5546875" customWidth="1"/>
    <col min="12514" max="12515" width="17.5546875" customWidth="1"/>
    <col min="12516" max="12516" width="18.6640625" customWidth="1"/>
    <col min="12517" max="12517" width="16.33203125" customWidth="1"/>
    <col min="12518" max="12518" width="20.33203125" customWidth="1"/>
    <col min="12519" max="12520" width="16.44140625" customWidth="1"/>
    <col min="12521" max="12521" width="15.109375" customWidth="1"/>
    <col min="12522" max="12764" width="9.109375"/>
    <col min="12765" max="12765" width="14.5546875" customWidth="1"/>
    <col min="12766" max="12766" width="45.5546875" customWidth="1"/>
    <col min="12767" max="12767" width="34.33203125" customWidth="1"/>
    <col min="12768" max="12768" width="19.109375" customWidth="1"/>
    <col min="12769" max="12769" width="29.5546875" customWidth="1"/>
    <col min="12770" max="12771" width="17.5546875" customWidth="1"/>
    <col min="12772" max="12772" width="18.6640625" customWidth="1"/>
    <col min="12773" max="12773" width="16.33203125" customWidth="1"/>
    <col min="12774" max="12774" width="20.33203125" customWidth="1"/>
    <col min="12775" max="12776" width="16.44140625" customWidth="1"/>
    <col min="12777" max="12777" width="15.109375" customWidth="1"/>
    <col min="12778" max="13020" width="9.109375"/>
    <col min="13021" max="13021" width="14.5546875" customWidth="1"/>
    <col min="13022" max="13022" width="45.5546875" customWidth="1"/>
    <col min="13023" max="13023" width="34.33203125" customWidth="1"/>
    <col min="13024" max="13024" width="19.109375" customWidth="1"/>
    <col min="13025" max="13025" width="29.5546875" customWidth="1"/>
    <col min="13026" max="13027" width="17.5546875" customWidth="1"/>
    <col min="13028" max="13028" width="18.6640625" customWidth="1"/>
    <col min="13029" max="13029" width="16.33203125" customWidth="1"/>
    <col min="13030" max="13030" width="20.33203125" customWidth="1"/>
    <col min="13031" max="13032" width="16.44140625" customWidth="1"/>
    <col min="13033" max="13033" width="15.109375" customWidth="1"/>
    <col min="13034" max="13276" width="9.109375"/>
    <col min="13277" max="13277" width="14.5546875" customWidth="1"/>
    <col min="13278" max="13278" width="45.5546875" customWidth="1"/>
    <col min="13279" max="13279" width="34.33203125" customWidth="1"/>
    <col min="13280" max="13280" width="19.109375" customWidth="1"/>
    <col min="13281" max="13281" width="29.5546875" customWidth="1"/>
    <col min="13282" max="13283" width="17.5546875" customWidth="1"/>
    <col min="13284" max="13284" width="18.6640625" customWidth="1"/>
    <col min="13285" max="13285" width="16.33203125" customWidth="1"/>
    <col min="13286" max="13286" width="20.33203125" customWidth="1"/>
    <col min="13287" max="13288" width="16.44140625" customWidth="1"/>
    <col min="13289" max="13289" width="15.109375" customWidth="1"/>
    <col min="13290" max="13532" width="9.109375"/>
    <col min="13533" max="13533" width="14.5546875" customWidth="1"/>
    <col min="13534" max="13534" width="45.5546875" customWidth="1"/>
    <col min="13535" max="13535" width="34.33203125" customWidth="1"/>
    <col min="13536" max="13536" width="19.109375" customWidth="1"/>
    <col min="13537" max="13537" width="29.5546875" customWidth="1"/>
    <col min="13538" max="13539" width="17.5546875" customWidth="1"/>
    <col min="13540" max="13540" width="18.6640625" customWidth="1"/>
    <col min="13541" max="13541" width="16.33203125" customWidth="1"/>
    <col min="13542" max="13542" width="20.33203125" customWidth="1"/>
    <col min="13543" max="13544" width="16.44140625" customWidth="1"/>
    <col min="13545" max="13545" width="15.109375" customWidth="1"/>
    <col min="13546" max="13788" width="9.109375"/>
    <col min="13789" max="13789" width="14.5546875" customWidth="1"/>
    <col min="13790" max="13790" width="45.5546875" customWidth="1"/>
    <col min="13791" max="13791" width="34.33203125" customWidth="1"/>
    <col min="13792" max="13792" width="19.109375" customWidth="1"/>
    <col min="13793" max="13793" width="29.5546875" customWidth="1"/>
    <col min="13794" max="13795" width="17.5546875" customWidth="1"/>
    <col min="13796" max="13796" width="18.6640625" customWidth="1"/>
    <col min="13797" max="13797" width="16.33203125" customWidth="1"/>
    <col min="13798" max="13798" width="20.33203125" customWidth="1"/>
    <col min="13799" max="13800" width="16.44140625" customWidth="1"/>
    <col min="13801" max="13801" width="15.109375" customWidth="1"/>
    <col min="13802" max="14044" width="9.109375"/>
    <col min="14045" max="14045" width="14.5546875" customWidth="1"/>
    <col min="14046" max="14046" width="45.5546875" customWidth="1"/>
    <col min="14047" max="14047" width="34.33203125" customWidth="1"/>
    <col min="14048" max="14048" width="19.109375" customWidth="1"/>
    <col min="14049" max="14049" width="29.5546875" customWidth="1"/>
    <col min="14050" max="14051" width="17.5546875" customWidth="1"/>
    <col min="14052" max="14052" width="18.6640625" customWidth="1"/>
    <col min="14053" max="14053" width="16.33203125" customWidth="1"/>
    <col min="14054" max="14054" width="20.33203125" customWidth="1"/>
    <col min="14055" max="14056" width="16.44140625" customWidth="1"/>
    <col min="14057" max="14057" width="15.109375" customWidth="1"/>
    <col min="14058" max="14300" width="9.109375"/>
    <col min="14301" max="14301" width="14.5546875" customWidth="1"/>
    <col min="14302" max="14302" width="45.5546875" customWidth="1"/>
    <col min="14303" max="14303" width="34.33203125" customWidth="1"/>
    <col min="14304" max="14304" width="19.109375" customWidth="1"/>
    <col min="14305" max="14305" width="29.5546875" customWidth="1"/>
    <col min="14306" max="14307" width="17.5546875" customWidth="1"/>
    <col min="14308" max="14308" width="18.6640625" customWidth="1"/>
    <col min="14309" max="14309" width="16.33203125" customWidth="1"/>
    <col min="14310" max="14310" width="20.33203125" customWidth="1"/>
    <col min="14311" max="14312" width="16.44140625" customWidth="1"/>
    <col min="14313" max="14313" width="15.109375" customWidth="1"/>
    <col min="14314" max="14556" width="9.109375"/>
    <col min="14557" max="14557" width="14.5546875" customWidth="1"/>
    <col min="14558" max="14558" width="45.5546875" customWidth="1"/>
    <col min="14559" max="14559" width="34.33203125" customWidth="1"/>
    <col min="14560" max="14560" width="19.109375" customWidth="1"/>
    <col min="14561" max="14561" width="29.5546875" customWidth="1"/>
    <col min="14562" max="14563" width="17.5546875" customWidth="1"/>
    <col min="14564" max="14564" width="18.6640625" customWidth="1"/>
    <col min="14565" max="14565" width="16.33203125" customWidth="1"/>
    <col min="14566" max="14566" width="20.33203125" customWidth="1"/>
    <col min="14567" max="14568" width="16.44140625" customWidth="1"/>
    <col min="14569" max="14569" width="15.109375" customWidth="1"/>
    <col min="14570" max="14812" width="9.109375"/>
    <col min="14813" max="14813" width="14.5546875" customWidth="1"/>
    <col min="14814" max="14814" width="45.5546875" customWidth="1"/>
    <col min="14815" max="14815" width="34.33203125" customWidth="1"/>
    <col min="14816" max="14816" width="19.109375" customWidth="1"/>
    <col min="14817" max="14817" width="29.5546875" customWidth="1"/>
    <col min="14818" max="14819" width="17.5546875" customWidth="1"/>
    <col min="14820" max="14820" width="18.6640625" customWidth="1"/>
    <col min="14821" max="14821" width="16.33203125" customWidth="1"/>
    <col min="14822" max="14822" width="20.33203125" customWidth="1"/>
    <col min="14823" max="14824" width="16.44140625" customWidth="1"/>
    <col min="14825" max="14825" width="15.109375" customWidth="1"/>
    <col min="14826" max="15068" width="9.109375"/>
    <col min="15069" max="15069" width="14.5546875" customWidth="1"/>
    <col min="15070" max="15070" width="45.5546875" customWidth="1"/>
    <col min="15071" max="15071" width="34.33203125" customWidth="1"/>
    <col min="15072" max="15072" width="19.109375" customWidth="1"/>
    <col min="15073" max="15073" width="29.5546875" customWidth="1"/>
    <col min="15074" max="15075" width="17.5546875" customWidth="1"/>
    <col min="15076" max="15076" width="18.6640625" customWidth="1"/>
    <col min="15077" max="15077" width="16.33203125" customWidth="1"/>
    <col min="15078" max="15078" width="20.33203125" customWidth="1"/>
    <col min="15079" max="15080" width="16.44140625" customWidth="1"/>
    <col min="15081" max="15081" width="15.109375" customWidth="1"/>
    <col min="15082" max="15324" width="9.109375"/>
    <col min="15325" max="15325" width="14.5546875" customWidth="1"/>
    <col min="15326" max="15326" width="45.5546875" customWidth="1"/>
    <col min="15327" max="15327" width="34.33203125" customWidth="1"/>
    <col min="15328" max="15328" width="19.109375" customWidth="1"/>
    <col min="15329" max="15329" width="29.5546875" customWidth="1"/>
    <col min="15330" max="15331" width="17.5546875" customWidth="1"/>
    <col min="15332" max="15332" width="18.6640625" customWidth="1"/>
    <col min="15333" max="15333" width="16.33203125" customWidth="1"/>
    <col min="15334" max="15334" width="20.33203125" customWidth="1"/>
    <col min="15335" max="15336" width="16.44140625" customWidth="1"/>
    <col min="15337" max="15337" width="15.109375" customWidth="1"/>
    <col min="15338" max="15580" width="9.109375"/>
    <col min="15581" max="15581" width="14.5546875" customWidth="1"/>
    <col min="15582" max="15582" width="45.5546875" customWidth="1"/>
    <col min="15583" max="15583" width="34.33203125" customWidth="1"/>
    <col min="15584" max="15584" width="19.109375" customWidth="1"/>
    <col min="15585" max="15585" width="29.5546875" customWidth="1"/>
    <col min="15586" max="15587" width="17.5546875" customWidth="1"/>
    <col min="15588" max="15588" width="18.6640625" customWidth="1"/>
    <col min="15589" max="15589" width="16.33203125" customWidth="1"/>
    <col min="15590" max="15590" width="20.33203125" customWidth="1"/>
    <col min="15591" max="15592" width="16.44140625" customWidth="1"/>
    <col min="15593" max="15593" width="15.109375" customWidth="1"/>
    <col min="15594" max="15836" width="9.109375"/>
    <col min="15837" max="15837" width="14.5546875" customWidth="1"/>
    <col min="15838" max="15838" width="45.5546875" customWidth="1"/>
    <col min="15839" max="15839" width="34.33203125" customWidth="1"/>
    <col min="15840" max="15840" width="19.109375" customWidth="1"/>
    <col min="15841" max="15841" width="29.5546875" customWidth="1"/>
    <col min="15842" max="15843" width="17.5546875" customWidth="1"/>
    <col min="15844" max="15844" width="18.6640625" customWidth="1"/>
    <col min="15845" max="15845" width="16.33203125" customWidth="1"/>
    <col min="15846" max="15846" width="20.33203125" customWidth="1"/>
    <col min="15847" max="15848" width="16.44140625" customWidth="1"/>
    <col min="15849" max="15849" width="15.109375" customWidth="1"/>
    <col min="15850" max="16092" width="9.109375"/>
    <col min="16093" max="16093" width="14.5546875" customWidth="1"/>
    <col min="16094" max="16094" width="45.5546875" customWidth="1"/>
    <col min="16095" max="16095" width="34.33203125" customWidth="1"/>
    <col min="16096" max="16096" width="19.109375" customWidth="1"/>
    <col min="16097" max="16097" width="29.5546875" customWidth="1"/>
    <col min="16098" max="16099" width="17.5546875" customWidth="1"/>
    <col min="16100" max="16100" width="18.6640625" customWidth="1"/>
    <col min="16101" max="16101" width="16.33203125" customWidth="1"/>
    <col min="16102" max="16102" width="20.33203125" customWidth="1"/>
    <col min="16103" max="16104" width="16.44140625" customWidth="1"/>
    <col min="16105" max="16105" width="15.109375" customWidth="1"/>
    <col min="16106" max="16346" width="9.109375"/>
    <col min="16347" max="16384" width="8.6640625" customWidth="1"/>
  </cols>
  <sheetData>
    <row r="1" spans="1:9" ht="15" customHeight="1" x14ac:dyDescent="0.3">
      <c r="A1" s="265"/>
      <c r="B1" s="265"/>
      <c r="C1" s="265"/>
      <c r="D1" s="265"/>
      <c r="E1" s="265"/>
      <c r="F1" s="265"/>
      <c r="G1" s="265"/>
      <c r="H1" s="265"/>
      <c r="I1" s="265"/>
    </row>
    <row r="2" spans="1:9" ht="15" customHeight="1" x14ac:dyDescent="0.3">
      <c r="A2" s="266"/>
      <c r="B2" s="266"/>
      <c r="C2" s="266"/>
      <c r="D2" s="266"/>
      <c r="E2" s="266"/>
      <c r="F2" s="266"/>
      <c r="G2" s="266"/>
      <c r="H2" s="266"/>
      <c r="I2" s="266"/>
    </row>
    <row r="4" spans="1:9" ht="15" customHeight="1" x14ac:dyDescent="0.3">
      <c r="A4" s="1" t="s">
        <v>458</v>
      </c>
      <c r="B4" s="1" t="s">
        <v>113</v>
      </c>
      <c r="C4" s="1" t="s">
        <v>139</v>
      </c>
      <c r="D4" s="1" t="s">
        <v>140</v>
      </c>
      <c r="E4" s="1" t="s">
        <v>144</v>
      </c>
      <c r="F4" s="1" t="s">
        <v>135</v>
      </c>
      <c r="G4" s="1" t="s">
        <v>136</v>
      </c>
      <c r="H4" s="1" t="s">
        <v>137</v>
      </c>
      <c r="I4" s="1" t="s">
        <v>138</v>
      </c>
    </row>
    <row r="5" spans="1:9" ht="15" customHeight="1" x14ac:dyDescent="0.3">
      <c r="A5" s="1" t="s">
        <v>321</v>
      </c>
      <c r="B5" s="75">
        <v>20000</v>
      </c>
      <c r="C5" s="120">
        <v>1000</v>
      </c>
      <c r="D5" s="120">
        <f>TBLREKAPBAHAN[[#This Row],[MODAL]]/TBLREKAPBAHAN[[#This Row],[ISI]]</f>
        <v>20</v>
      </c>
      <c r="E5" s="200">
        <v>1000</v>
      </c>
      <c r="F5" s="120">
        <f>SUMIF(TBLBAHANMASUK[NAMA BAHAN],TBLREKAPBAHAN[[#This Row],[NAMA BAHAN]],TBLBAHANMASUK[MASUK])</f>
        <v>2000</v>
      </c>
      <c r="G5" s="120">
        <f>SUMIF(TBLBAHANKELUAR[NAMA BAHAN],TBLREKAPBAHAN[[#This Row],[NAMA BAHAN]],TBLBAHANKELUAR[TOTAL BAHAN KELUAR])</f>
        <v>835</v>
      </c>
      <c r="H5" s="120">
        <f>TBLREKAPBAHAN[[#This Row],[STOK]]+TBLREKAPBAHAN[[#This Row],[MASUK]]-TBLREKAPBAHAN[[#This Row],[KELUAR]]</f>
        <v>2165</v>
      </c>
      <c r="I5" s="120">
        <f>TBLREKAPBAHAN[[#This Row],[MODAL SATUAN]]*TBLREKAPBAHAN[[#This Row],[SISA STOK]]</f>
        <v>43300</v>
      </c>
    </row>
    <row r="6" spans="1:9" ht="15" customHeight="1" x14ac:dyDescent="0.3">
      <c r="A6" s="1" t="s">
        <v>322</v>
      </c>
      <c r="B6" s="75">
        <v>18000</v>
      </c>
      <c r="C6" s="120">
        <v>1000</v>
      </c>
      <c r="D6" s="120">
        <f>TBLREKAPBAHAN[[#This Row],[MODAL]]/TBLREKAPBAHAN[[#This Row],[ISI]]</f>
        <v>18</v>
      </c>
      <c r="E6" s="200">
        <v>40</v>
      </c>
      <c r="F6" s="120">
        <f>SUMIF(TBLBAHANMASUK[NAMA BAHAN],TBLREKAPBAHAN[[#This Row],[NAMA BAHAN]],TBLBAHANMASUK[MASUK])</f>
        <v>3000</v>
      </c>
      <c r="G6" s="120">
        <f>SUMIF(TBLBAHANKELUAR[NAMA BAHAN],TBLREKAPBAHAN[[#This Row],[NAMA BAHAN]],TBLBAHANKELUAR[TOTAL BAHAN KELUAR])</f>
        <v>1380</v>
      </c>
      <c r="H6" s="120">
        <f>TBLREKAPBAHAN[[#This Row],[STOK]]+TBLREKAPBAHAN[[#This Row],[MASUK]]-TBLREKAPBAHAN[[#This Row],[KELUAR]]</f>
        <v>1660</v>
      </c>
      <c r="I6" s="120">
        <f>TBLREKAPBAHAN[[#This Row],[MODAL SATUAN]]*TBLREKAPBAHAN[[#This Row],[SISA STOK]]</f>
        <v>29880</v>
      </c>
    </row>
    <row r="7" spans="1:9" ht="15" customHeight="1" x14ac:dyDescent="0.3">
      <c r="A7" s="1" t="s">
        <v>323</v>
      </c>
      <c r="B7" s="75">
        <v>12000</v>
      </c>
      <c r="C7" s="120">
        <v>250</v>
      </c>
      <c r="D7" s="120">
        <f>TBLREKAPBAHAN[[#This Row],[MODAL]]/TBLREKAPBAHAN[[#This Row],[ISI]]</f>
        <v>48</v>
      </c>
      <c r="E7" s="200">
        <v>149</v>
      </c>
      <c r="F7" s="120">
        <f>SUMIF(TBLBAHANMASUK[NAMA BAHAN],TBLREKAPBAHAN[[#This Row],[NAMA BAHAN]],TBLBAHANMASUK[MASUK])</f>
        <v>1000</v>
      </c>
      <c r="G7" s="120">
        <f>SUMIF(TBLBAHANKELUAR[NAMA BAHAN],TBLREKAPBAHAN[[#This Row],[NAMA BAHAN]],TBLBAHANKELUAR[TOTAL BAHAN KELUAR])</f>
        <v>847</v>
      </c>
      <c r="H7" s="120">
        <f>TBLREKAPBAHAN[[#This Row],[STOK]]+TBLREKAPBAHAN[[#This Row],[MASUK]]-TBLREKAPBAHAN[[#This Row],[KELUAR]]</f>
        <v>302</v>
      </c>
      <c r="I7" s="120">
        <f>TBLREKAPBAHAN[[#This Row],[MODAL SATUAN]]*TBLREKAPBAHAN[[#This Row],[SISA STOK]]</f>
        <v>14496</v>
      </c>
    </row>
    <row r="8" spans="1:9" ht="15" customHeight="1" x14ac:dyDescent="0.3">
      <c r="A8" s="1" t="s">
        <v>324</v>
      </c>
      <c r="B8" s="75">
        <v>50000</v>
      </c>
      <c r="C8" s="120">
        <v>1000</v>
      </c>
      <c r="D8" s="120">
        <f>TBLREKAPBAHAN[[#This Row],[MODAL]]/TBLREKAPBAHAN[[#This Row],[ISI]]</f>
        <v>50</v>
      </c>
      <c r="E8" s="200">
        <v>903</v>
      </c>
      <c r="F8" s="120">
        <f>SUMIF(TBLBAHANMASUK[NAMA BAHAN],TBLREKAPBAHAN[[#This Row],[NAMA BAHAN]],TBLBAHANMASUK[MASUK])</f>
        <v>2000</v>
      </c>
      <c r="G8" s="120">
        <f>SUMIF(TBLBAHANKELUAR[NAMA BAHAN],TBLREKAPBAHAN[[#This Row],[NAMA BAHAN]],TBLBAHANKELUAR[TOTAL BAHAN KELUAR])</f>
        <v>2270</v>
      </c>
      <c r="H8" s="120">
        <f>TBLREKAPBAHAN[[#This Row],[STOK]]+TBLREKAPBAHAN[[#This Row],[MASUK]]-TBLREKAPBAHAN[[#This Row],[KELUAR]]</f>
        <v>633</v>
      </c>
      <c r="I8" s="120">
        <f>TBLREKAPBAHAN[[#This Row],[MODAL SATUAN]]*TBLREKAPBAHAN[[#This Row],[SISA STOK]]</f>
        <v>31650</v>
      </c>
    </row>
    <row r="9" spans="1:9" ht="15" customHeight="1" x14ac:dyDescent="0.3">
      <c r="A9" s="1" t="s">
        <v>325</v>
      </c>
      <c r="B9" s="75">
        <v>12000</v>
      </c>
      <c r="C9" s="120">
        <v>250</v>
      </c>
      <c r="D9" s="120">
        <f>TBLREKAPBAHAN[[#This Row],[MODAL]]/TBLREKAPBAHAN[[#This Row],[ISI]]</f>
        <v>48</v>
      </c>
      <c r="E9" s="200">
        <v>479</v>
      </c>
      <c r="F9" s="120">
        <f>SUMIF(TBLBAHANMASUK[NAMA BAHAN],TBLREKAPBAHAN[[#This Row],[NAMA BAHAN]],TBLBAHANMASUK[MASUK])</f>
        <v>2250</v>
      </c>
      <c r="G9" s="120">
        <f>SUMIF(TBLBAHANKELUAR[NAMA BAHAN],TBLREKAPBAHAN[[#This Row],[NAMA BAHAN]],TBLBAHANKELUAR[TOTAL BAHAN KELUAR])</f>
        <v>1387</v>
      </c>
      <c r="H9" s="120">
        <f>TBLREKAPBAHAN[[#This Row],[STOK]]+TBLREKAPBAHAN[[#This Row],[MASUK]]-TBLREKAPBAHAN[[#This Row],[KELUAR]]</f>
        <v>1342</v>
      </c>
      <c r="I9" s="120">
        <f>TBLREKAPBAHAN[[#This Row],[MODAL SATUAN]]*TBLREKAPBAHAN[[#This Row],[SISA STOK]]</f>
        <v>64416</v>
      </c>
    </row>
    <row r="10" spans="1:9" ht="15" customHeight="1" x14ac:dyDescent="0.3">
      <c r="A10" s="1" t="s">
        <v>326</v>
      </c>
      <c r="B10" s="75">
        <v>7000</v>
      </c>
      <c r="C10" s="120">
        <v>24</v>
      </c>
      <c r="D10" s="120">
        <f>TBLREKAPBAHAN[[#This Row],[MODAL]]/TBLREKAPBAHAN[[#This Row],[ISI]]</f>
        <v>291.66666666666669</v>
      </c>
      <c r="E10" s="200">
        <v>84</v>
      </c>
      <c r="F10" s="120">
        <f>SUMIF(TBLBAHANMASUK[NAMA BAHAN],TBLREKAPBAHAN[[#This Row],[NAMA BAHAN]],TBLBAHANMASUK[MASUK])</f>
        <v>48</v>
      </c>
      <c r="G10" s="120">
        <f>SUMIF(TBLBAHANKELUAR[NAMA BAHAN],TBLREKAPBAHAN[[#This Row],[NAMA BAHAN]],TBLBAHANKELUAR[TOTAL BAHAN KELUAR])</f>
        <v>114</v>
      </c>
      <c r="H10" s="120">
        <f>TBLREKAPBAHAN[[#This Row],[STOK]]+TBLREKAPBAHAN[[#This Row],[MASUK]]-TBLREKAPBAHAN[[#This Row],[KELUAR]]</f>
        <v>18</v>
      </c>
      <c r="I10" s="120">
        <f>TBLREKAPBAHAN[[#This Row],[MODAL SATUAN]]*TBLREKAPBAHAN[[#This Row],[SISA STOK]]</f>
        <v>5250</v>
      </c>
    </row>
    <row r="11" spans="1:9" ht="15" customHeight="1" x14ac:dyDescent="0.3">
      <c r="A11" s="1" t="s">
        <v>327</v>
      </c>
      <c r="B11" s="75">
        <v>8000</v>
      </c>
      <c r="C11" s="120">
        <v>24</v>
      </c>
      <c r="D11" s="120">
        <f>TBLREKAPBAHAN[[#This Row],[MODAL]]/TBLREKAPBAHAN[[#This Row],[ISI]]</f>
        <v>333.33333333333331</v>
      </c>
      <c r="E11" s="200">
        <v>41</v>
      </c>
      <c r="F11" s="120">
        <f>SUMIF(TBLBAHANMASUK[NAMA BAHAN],TBLREKAPBAHAN[[#This Row],[NAMA BAHAN]],TBLBAHANMASUK[MASUK])</f>
        <v>72</v>
      </c>
      <c r="G11" s="120">
        <f>SUMIF(TBLBAHANKELUAR[NAMA BAHAN],TBLREKAPBAHAN[[#This Row],[NAMA BAHAN]],TBLBAHANKELUAR[TOTAL BAHAN KELUAR])</f>
        <v>74</v>
      </c>
      <c r="H11" s="120">
        <f>TBLREKAPBAHAN[[#This Row],[STOK]]+TBLREKAPBAHAN[[#This Row],[MASUK]]-TBLREKAPBAHAN[[#This Row],[KELUAR]]</f>
        <v>39</v>
      </c>
      <c r="I11" s="120">
        <f>TBLREKAPBAHAN[[#This Row],[MODAL SATUAN]]*TBLREKAPBAHAN[[#This Row],[SISA STOK]]</f>
        <v>13000</v>
      </c>
    </row>
    <row r="12" spans="1:9" ht="15" customHeight="1" x14ac:dyDescent="0.3">
      <c r="A12" s="1" t="s">
        <v>328</v>
      </c>
      <c r="B12" s="75">
        <v>16000</v>
      </c>
      <c r="C12" s="120">
        <v>12</v>
      </c>
      <c r="D12" s="120">
        <f>TBLREKAPBAHAN[[#This Row],[MODAL]]/TBLREKAPBAHAN[[#This Row],[ISI]]</f>
        <v>1333.3333333333333</v>
      </c>
      <c r="E12" s="200">
        <v>27</v>
      </c>
      <c r="F12" s="120">
        <f>SUMIF(TBLBAHANMASUK[NAMA BAHAN],TBLREKAPBAHAN[[#This Row],[NAMA BAHAN]],TBLBAHANMASUK[MASUK])</f>
        <v>22</v>
      </c>
      <c r="G12" s="120">
        <f>SUMIF(TBLBAHANKELUAR[NAMA BAHAN],TBLREKAPBAHAN[[#This Row],[NAMA BAHAN]],TBLBAHANKELUAR[TOTAL BAHAN KELUAR])</f>
        <v>37</v>
      </c>
      <c r="H12" s="120">
        <f>TBLREKAPBAHAN[[#This Row],[STOK]]+TBLREKAPBAHAN[[#This Row],[MASUK]]-TBLREKAPBAHAN[[#This Row],[KELUAR]]</f>
        <v>12</v>
      </c>
      <c r="I12" s="120">
        <f>TBLREKAPBAHAN[[#This Row],[MODAL SATUAN]]*TBLREKAPBAHAN[[#This Row],[SISA STOK]]</f>
        <v>16000</v>
      </c>
    </row>
    <row r="13" spans="1:9" ht="15" customHeight="1" x14ac:dyDescent="0.3">
      <c r="A13" s="1" t="s">
        <v>580</v>
      </c>
      <c r="B13" s="75">
        <v>90000</v>
      </c>
      <c r="C13" s="120">
        <v>500</v>
      </c>
      <c r="D13" s="120">
        <f>TBLREKAPBAHAN[[#This Row],[MODAL]]/TBLREKAPBAHAN[[#This Row],[ISI]]</f>
        <v>180</v>
      </c>
      <c r="E13" s="200">
        <v>6</v>
      </c>
      <c r="F13" s="120">
        <f>SUMIF(TBLBAHANMASUK[NAMA BAHAN],TBLREKAPBAHAN[[#This Row],[NAMA BAHAN]],TBLBAHANMASUK[MASUK])</f>
        <v>1000</v>
      </c>
      <c r="G13" s="120">
        <f>SUMIF(TBLBAHANKELUAR[NAMA BAHAN],TBLREKAPBAHAN[[#This Row],[NAMA BAHAN]],TBLBAHANKELUAR[TOTAL BAHAN KELUAR])</f>
        <v>802</v>
      </c>
      <c r="H13" s="120">
        <f>TBLREKAPBAHAN[[#This Row],[STOK]]+TBLREKAPBAHAN[[#This Row],[MASUK]]-TBLREKAPBAHAN[[#This Row],[KELUAR]]</f>
        <v>204</v>
      </c>
      <c r="I13" s="120">
        <f>TBLREKAPBAHAN[[#This Row],[MODAL SATUAN]]*TBLREKAPBAHAN[[#This Row],[SISA STOK]]</f>
        <v>36720</v>
      </c>
    </row>
    <row r="14" spans="1:9" ht="15" customHeight="1" x14ac:dyDescent="0.3">
      <c r="A14" s="1" t="s">
        <v>329</v>
      </c>
      <c r="B14" s="75">
        <v>22000</v>
      </c>
      <c r="C14" s="120">
        <v>6</v>
      </c>
      <c r="D14" s="120">
        <f>TBLREKAPBAHAN[[#This Row],[MODAL]]/TBLREKAPBAHAN[[#This Row],[ISI]]</f>
        <v>3666.6666666666665</v>
      </c>
      <c r="E14" s="200">
        <v>0</v>
      </c>
      <c r="F14" s="120">
        <f>SUMIF(TBLBAHANMASUK[NAMA BAHAN],TBLREKAPBAHAN[[#This Row],[NAMA BAHAN]],TBLBAHANMASUK[MASUK])</f>
        <v>0</v>
      </c>
      <c r="G14" s="120">
        <f>SUMIF(TBLBAHANKELUAR[NAMA BAHAN],TBLREKAPBAHAN[[#This Row],[NAMA BAHAN]],TBLBAHANKELUAR[TOTAL BAHAN KELUAR])</f>
        <v>0</v>
      </c>
      <c r="H14" s="120">
        <f>TBLREKAPBAHAN[[#This Row],[STOK]]+TBLREKAPBAHAN[[#This Row],[MASUK]]-TBLREKAPBAHAN[[#This Row],[KELUAR]]</f>
        <v>0</v>
      </c>
      <c r="I14" s="120">
        <f>TBLREKAPBAHAN[[#This Row],[MODAL SATUAN]]*TBLREKAPBAHAN[[#This Row],[SISA STOK]]</f>
        <v>0</v>
      </c>
    </row>
    <row r="15" spans="1:9" ht="15" customHeight="1" x14ac:dyDescent="0.3">
      <c r="A15" s="1" t="s">
        <v>330</v>
      </c>
      <c r="B15" s="75">
        <v>35000</v>
      </c>
      <c r="C15" s="120">
        <v>38</v>
      </c>
      <c r="D15" s="120">
        <f>TBLREKAPBAHAN[[#This Row],[MODAL]]/TBLREKAPBAHAN[[#This Row],[ISI]]</f>
        <v>921.0526315789474</v>
      </c>
      <c r="E15" s="200">
        <v>7</v>
      </c>
      <c r="F15" s="120">
        <f>SUMIF(TBLBAHANMASUK[NAMA BAHAN],TBLREKAPBAHAN[[#This Row],[NAMA BAHAN]],TBLBAHANMASUK[MASUK])</f>
        <v>192</v>
      </c>
      <c r="G15" s="120">
        <f>SUMIF(TBLBAHANKELUAR[NAMA BAHAN],TBLREKAPBAHAN[[#This Row],[NAMA BAHAN]],TBLBAHANKELUAR[TOTAL BAHAN KELUAR])</f>
        <v>141</v>
      </c>
      <c r="H15" s="120">
        <f>TBLREKAPBAHAN[[#This Row],[STOK]]+TBLREKAPBAHAN[[#This Row],[MASUK]]-TBLREKAPBAHAN[[#This Row],[KELUAR]]</f>
        <v>58</v>
      </c>
      <c r="I15" s="120">
        <f>TBLREKAPBAHAN[[#This Row],[MODAL SATUAN]]*TBLREKAPBAHAN[[#This Row],[SISA STOK]]</f>
        <v>53421.052631578947</v>
      </c>
    </row>
    <row r="16" spans="1:9" ht="15" customHeight="1" x14ac:dyDescent="0.3">
      <c r="A16" s="1" t="s">
        <v>331</v>
      </c>
      <c r="B16" s="75">
        <v>45000</v>
      </c>
      <c r="C16" s="120">
        <v>400</v>
      </c>
      <c r="D16" s="120">
        <f>TBLREKAPBAHAN[[#This Row],[MODAL]]/TBLREKAPBAHAN[[#This Row],[ISI]]</f>
        <v>112.5</v>
      </c>
      <c r="E16" s="200">
        <v>1593</v>
      </c>
      <c r="F16" s="120">
        <f>SUMIF(TBLBAHANMASUK[NAMA BAHAN],TBLREKAPBAHAN[[#This Row],[NAMA BAHAN]],TBLBAHANMASUK[MASUK])</f>
        <v>2800</v>
      </c>
      <c r="G16" s="120">
        <f>SUMIF(TBLBAHANKELUAR[NAMA BAHAN],TBLREKAPBAHAN[[#This Row],[NAMA BAHAN]],TBLBAHANKELUAR[TOTAL BAHAN KELUAR])</f>
        <v>3943</v>
      </c>
      <c r="H16" s="120">
        <f>TBLREKAPBAHAN[[#This Row],[STOK]]+TBLREKAPBAHAN[[#This Row],[MASUK]]-TBLREKAPBAHAN[[#This Row],[KELUAR]]</f>
        <v>450</v>
      </c>
      <c r="I16" s="120">
        <f>TBLREKAPBAHAN[[#This Row],[MODAL SATUAN]]*TBLREKAPBAHAN[[#This Row],[SISA STOK]]</f>
        <v>50625</v>
      </c>
    </row>
    <row r="17" spans="1:9" ht="15" customHeight="1" x14ac:dyDescent="0.3">
      <c r="A17" s="1" t="s">
        <v>579</v>
      </c>
      <c r="B17" s="75">
        <v>27000</v>
      </c>
      <c r="C17" s="120">
        <v>20</v>
      </c>
      <c r="D17" s="120">
        <f>TBLREKAPBAHAN[[#This Row],[MODAL]]/TBLREKAPBAHAN[[#This Row],[ISI]]</f>
        <v>1350</v>
      </c>
      <c r="E17" s="200">
        <v>25</v>
      </c>
      <c r="F17" s="120">
        <f>SUMIF(TBLBAHANMASUK[NAMA BAHAN],TBLREKAPBAHAN[[#This Row],[NAMA BAHAN]],TBLBAHANMASUK[MASUK])</f>
        <v>160</v>
      </c>
      <c r="G17" s="120">
        <f>SUMIF(TBLBAHANKELUAR[NAMA BAHAN],TBLREKAPBAHAN[[#This Row],[NAMA BAHAN]],TBLBAHANKELUAR[TOTAL BAHAN KELUAR])</f>
        <v>159</v>
      </c>
      <c r="H17" s="120">
        <f>TBLREKAPBAHAN[[#This Row],[STOK]]+TBLREKAPBAHAN[[#This Row],[MASUK]]-TBLREKAPBAHAN[[#This Row],[KELUAR]]</f>
        <v>26</v>
      </c>
      <c r="I17" s="120">
        <f>TBLREKAPBAHAN[[#This Row],[MODAL SATUAN]]*TBLREKAPBAHAN[[#This Row],[SISA STOK]]</f>
        <v>35100</v>
      </c>
    </row>
    <row r="18" spans="1:9" ht="15" customHeight="1" x14ac:dyDescent="0.3">
      <c r="A18" s="1" t="s">
        <v>332</v>
      </c>
      <c r="B18" s="75">
        <v>29000</v>
      </c>
      <c r="C18" s="120">
        <v>20</v>
      </c>
      <c r="D18" s="120">
        <f>TBLREKAPBAHAN[[#This Row],[MODAL]]/TBLREKAPBAHAN[[#This Row],[ISI]]</f>
        <v>1450</v>
      </c>
      <c r="E18" s="200">
        <v>20</v>
      </c>
      <c r="F18" s="120">
        <f>SUMIF(TBLBAHANMASUK[NAMA BAHAN],TBLREKAPBAHAN[[#This Row],[NAMA BAHAN]],TBLBAHANMASUK[MASUK])</f>
        <v>60</v>
      </c>
      <c r="G18" s="120">
        <f>SUMIF(TBLBAHANKELUAR[NAMA BAHAN],TBLREKAPBAHAN[[#This Row],[NAMA BAHAN]],TBLBAHANKELUAR[TOTAL BAHAN KELUAR])</f>
        <v>51</v>
      </c>
      <c r="H18" s="120">
        <f>TBLREKAPBAHAN[[#This Row],[STOK]]+TBLREKAPBAHAN[[#This Row],[MASUK]]-TBLREKAPBAHAN[[#This Row],[KELUAR]]</f>
        <v>29</v>
      </c>
      <c r="I18" s="120">
        <f>TBLREKAPBAHAN[[#This Row],[MODAL SATUAN]]*TBLREKAPBAHAN[[#This Row],[SISA STOK]]</f>
        <v>42050</v>
      </c>
    </row>
    <row r="19" spans="1:9" ht="15" customHeight="1" x14ac:dyDescent="0.3">
      <c r="A19" s="1" t="s">
        <v>333</v>
      </c>
      <c r="B19" s="75">
        <v>15000</v>
      </c>
      <c r="C19" s="120">
        <v>6</v>
      </c>
      <c r="D19" s="120">
        <f>TBLREKAPBAHAN[[#This Row],[MODAL]]/TBLREKAPBAHAN[[#This Row],[ISI]]</f>
        <v>2500</v>
      </c>
      <c r="E19" s="200">
        <v>7</v>
      </c>
      <c r="F19" s="120">
        <f>SUMIF(TBLBAHANMASUK[NAMA BAHAN],TBLREKAPBAHAN[[#This Row],[NAMA BAHAN]],TBLBAHANMASUK[MASUK])</f>
        <v>6</v>
      </c>
      <c r="G19" s="120">
        <f>SUMIF(TBLBAHANKELUAR[NAMA BAHAN],TBLREKAPBAHAN[[#This Row],[NAMA BAHAN]],TBLBAHANKELUAR[TOTAL BAHAN KELUAR])</f>
        <v>12</v>
      </c>
      <c r="H19" s="120">
        <f>TBLREKAPBAHAN[[#This Row],[STOK]]+TBLREKAPBAHAN[[#This Row],[MASUK]]-TBLREKAPBAHAN[[#This Row],[KELUAR]]</f>
        <v>1</v>
      </c>
      <c r="I19" s="120">
        <f>TBLREKAPBAHAN[[#This Row],[MODAL SATUAN]]*TBLREKAPBAHAN[[#This Row],[SISA STOK]]</f>
        <v>2500</v>
      </c>
    </row>
    <row r="20" spans="1:9" ht="15" customHeight="1" x14ac:dyDescent="0.3">
      <c r="A20" s="1" t="s">
        <v>164</v>
      </c>
      <c r="B20" s="75">
        <v>15000</v>
      </c>
      <c r="C20" s="120">
        <v>6</v>
      </c>
      <c r="D20" s="120">
        <f>TBLREKAPBAHAN[[#This Row],[MODAL]]/TBLREKAPBAHAN[[#This Row],[ISI]]</f>
        <v>2500</v>
      </c>
      <c r="E20" s="200">
        <v>10</v>
      </c>
      <c r="F20" s="120">
        <f>SUMIF(TBLBAHANMASUK[NAMA BAHAN],TBLREKAPBAHAN[[#This Row],[NAMA BAHAN]],TBLBAHANMASUK[MASUK])</f>
        <v>6</v>
      </c>
      <c r="G20" s="120">
        <f>SUMIF(TBLBAHANKELUAR[NAMA BAHAN],TBLREKAPBAHAN[[#This Row],[NAMA BAHAN]],TBLBAHANKELUAR[TOTAL BAHAN KELUAR])</f>
        <v>14</v>
      </c>
      <c r="H20" s="120">
        <f>TBLREKAPBAHAN[[#This Row],[STOK]]+TBLREKAPBAHAN[[#This Row],[MASUK]]-TBLREKAPBAHAN[[#This Row],[KELUAR]]</f>
        <v>2</v>
      </c>
      <c r="I20" s="120">
        <f>TBLREKAPBAHAN[[#This Row],[MODAL SATUAN]]*TBLREKAPBAHAN[[#This Row],[SISA STOK]]</f>
        <v>5000</v>
      </c>
    </row>
    <row r="21" spans="1:9" ht="15" customHeight="1" x14ac:dyDescent="0.3">
      <c r="A21" s="1" t="s">
        <v>151</v>
      </c>
      <c r="B21" s="75">
        <v>20000</v>
      </c>
      <c r="C21" s="120">
        <v>10</v>
      </c>
      <c r="D21" s="120">
        <f>TBLREKAPBAHAN[[#This Row],[MODAL]]/TBLREKAPBAHAN[[#This Row],[ISI]]</f>
        <v>2000</v>
      </c>
      <c r="E21" s="200">
        <v>33</v>
      </c>
      <c r="F21" s="120">
        <f>SUMIF(TBLBAHANMASUK[NAMA BAHAN],TBLREKAPBAHAN[[#This Row],[NAMA BAHAN]],TBLBAHANMASUK[MASUK])</f>
        <v>10</v>
      </c>
      <c r="G21" s="120">
        <f>SUMIF(TBLBAHANKELUAR[NAMA BAHAN],TBLREKAPBAHAN[[#This Row],[NAMA BAHAN]],TBLBAHANKELUAR[TOTAL BAHAN KELUAR])</f>
        <v>33</v>
      </c>
      <c r="H21" s="120">
        <f>TBLREKAPBAHAN[[#This Row],[STOK]]+TBLREKAPBAHAN[[#This Row],[MASUK]]-TBLREKAPBAHAN[[#This Row],[KELUAR]]</f>
        <v>10</v>
      </c>
      <c r="I21" s="120">
        <f>TBLREKAPBAHAN[[#This Row],[MODAL SATUAN]]*TBLREKAPBAHAN[[#This Row],[SISA STOK]]</f>
        <v>20000</v>
      </c>
    </row>
    <row r="22" spans="1:9" ht="15" customHeight="1" x14ac:dyDescent="0.3">
      <c r="A22" s="1" t="s">
        <v>154</v>
      </c>
      <c r="B22" s="75">
        <v>5000</v>
      </c>
      <c r="C22" s="120">
        <v>250</v>
      </c>
      <c r="D22" s="120">
        <f>TBLREKAPBAHAN[[#This Row],[MODAL]]/TBLREKAPBAHAN[[#This Row],[ISI]]</f>
        <v>20</v>
      </c>
      <c r="E22" s="200">
        <v>413</v>
      </c>
      <c r="F22" s="120">
        <f>SUMIF(TBLBAHANMASUK[NAMA BAHAN],TBLREKAPBAHAN[[#This Row],[NAMA BAHAN]],TBLBAHANMASUK[MASUK])</f>
        <v>0</v>
      </c>
      <c r="G22" s="120">
        <f>SUMIF(TBLBAHANKELUAR[NAMA BAHAN],TBLREKAPBAHAN[[#This Row],[NAMA BAHAN]],TBLBAHANKELUAR[TOTAL BAHAN KELUAR])</f>
        <v>0</v>
      </c>
      <c r="H22" s="120">
        <f>TBLREKAPBAHAN[[#This Row],[STOK]]+TBLREKAPBAHAN[[#This Row],[MASUK]]-TBLREKAPBAHAN[[#This Row],[KELUAR]]</f>
        <v>413</v>
      </c>
      <c r="I22" s="120">
        <f>TBLREKAPBAHAN[[#This Row],[MODAL SATUAN]]*TBLREKAPBAHAN[[#This Row],[SISA STOK]]</f>
        <v>8260</v>
      </c>
    </row>
    <row r="23" spans="1:9" ht="15" customHeight="1" x14ac:dyDescent="0.3">
      <c r="A23" s="1" t="s">
        <v>354</v>
      </c>
      <c r="B23" s="75">
        <v>15000</v>
      </c>
      <c r="C23" s="120">
        <v>250</v>
      </c>
      <c r="D23" s="120">
        <f>TBLREKAPBAHAN[[#This Row],[MODAL]]/TBLREKAPBAHAN[[#This Row],[ISI]]</f>
        <v>60</v>
      </c>
      <c r="E23" s="200">
        <v>387</v>
      </c>
      <c r="F23" s="120">
        <f>SUMIF(TBLBAHANMASUK[NAMA BAHAN],TBLREKAPBAHAN[[#This Row],[NAMA BAHAN]],TBLBAHANMASUK[MASUK])</f>
        <v>250</v>
      </c>
      <c r="G23" s="120">
        <f>SUMIF(TBLBAHANKELUAR[NAMA BAHAN],TBLREKAPBAHAN[[#This Row],[NAMA BAHAN]],TBLBAHANKELUAR[TOTAL BAHAN KELUAR])</f>
        <v>0</v>
      </c>
      <c r="H23" s="120">
        <f>TBLREKAPBAHAN[[#This Row],[STOK]]+TBLREKAPBAHAN[[#This Row],[MASUK]]-TBLREKAPBAHAN[[#This Row],[KELUAR]]</f>
        <v>637</v>
      </c>
      <c r="I23" s="120">
        <f>TBLREKAPBAHAN[[#This Row],[MODAL SATUAN]]*TBLREKAPBAHAN[[#This Row],[SISA STOK]]</f>
        <v>38220</v>
      </c>
    </row>
    <row r="24" spans="1:9" ht="15" customHeight="1" x14ac:dyDescent="0.3">
      <c r="A24" s="1" t="s">
        <v>334</v>
      </c>
      <c r="B24" s="75">
        <v>2000</v>
      </c>
      <c r="C24" s="120">
        <v>60</v>
      </c>
      <c r="D24" s="120">
        <f>TBLREKAPBAHAN[[#This Row],[MODAL]]/TBLREKAPBAHAN[[#This Row],[ISI]]</f>
        <v>33.333333333333336</v>
      </c>
      <c r="E24" s="200">
        <v>0</v>
      </c>
      <c r="F24" s="120">
        <f>SUMIF(TBLBAHANMASUK[NAMA BAHAN],TBLREKAPBAHAN[[#This Row],[NAMA BAHAN]],TBLBAHANMASUK[MASUK])</f>
        <v>0</v>
      </c>
      <c r="G24" s="120">
        <f>SUMIF(TBLBAHANKELUAR[NAMA BAHAN],TBLREKAPBAHAN[[#This Row],[NAMA BAHAN]],TBLBAHANKELUAR[TOTAL BAHAN KELUAR])</f>
        <v>0</v>
      </c>
      <c r="H24" s="120">
        <f>TBLREKAPBAHAN[[#This Row],[STOK]]+TBLREKAPBAHAN[[#This Row],[MASUK]]-TBLREKAPBAHAN[[#This Row],[KELUAR]]</f>
        <v>0</v>
      </c>
      <c r="I24" s="120">
        <f>TBLREKAPBAHAN[[#This Row],[MODAL SATUAN]]*TBLREKAPBAHAN[[#This Row],[SISA STOK]]</f>
        <v>0</v>
      </c>
    </row>
    <row r="25" spans="1:9" ht="15" customHeight="1" x14ac:dyDescent="0.3">
      <c r="A25" s="1" t="s">
        <v>335</v>
      </c>
      <c r="B25" s="75">
        <v>2000</v>
      </c>
      <c r="C25" s="120">
        <v>45</v>
      </c>
      <c r="D25" s="120">
        <f>TBLREKAPBAHAN[[#This Row],[MODAL]]/TBLREKAPBAHAN[[#This Row],[ISI]]</f>
        <v>44.444444444444443</v>
      </c>
      <c r="E25" s="200">
        <v>0</v>
      </c>
      <c r="F25" s="120">
        <f>SUMIF(TBLBAHANMASUK[NAMA BAHAN],TBLREKAPBAHAN[[#This Row],[NAMA BAHAN]],TBLBAHANMASUK[MASUK])</f>
        <v>0</v>
      </c>
      <c r="G25" s="120">
        <f>SUMIF(TBLBAHANKELUAR[NAMA BAHAN],TBLREKAPBAHAN[[#This Row],[NAMA BAHAN]],TBLBAHANKELUAR[TOTAL BAHAN KELUAR])</f>
        <v>0</v>
      </c>
      <c r="H25" s="120">
        <f>TBLREKAPBAHAN[[#This Row],[STOK]]+TBLREKAPBAHAN[[#This Row],[MASUK]]-TBLREKAPBAHAN[[#This Row],[KELUAR]]</f>
        <v>0</v>
      </c>
      <c r="I25" s="120">
        <f>TBLREKAPBAHAN[[#This Row],[MODAL SATUAN]]*TBLREKAPBAHAN[[#This Row],[SISA STOK]]</f>
        <v>0</v>
      </c>
    </row>
    <row r="26" spans="1:9" ht="15" customHeight="1" x14ac:dyDescent="0.3">
      <c r="A26" s="1" t="s">
        <v>336</v>
      </c>
      <c r="B26" s="75">
        <v>60000</v>
      </c>
      <c r="C26" s="120">
        <v>50</v>
      </c>
      <c r="D26" s="120">
        <f>TBLREKAPBAHAN[[#This Row],[MODAL]]/TBLREKAPBAHAN[[#This Row],[ISI]]</f>
        <v>1200</v>
      </c>
      <c r="E26" s="200">
        <v>0</v>
      </c>
      <c r="F26" s="120">
        <f>SUMIF(TBLBAHANMASUK[NAMA BAHAN],TBLREKAPBAHAN[[#This Row],[NAMA BAHAN]],TBLBAHANMASUK[MASUK])</f>
        <v>185</v>
      </c>
      <c r="G26" s="120">
        <f>SUMIF(TBLBAHANKELUAR[NAMA BAHAN],TBLREKAPBAHAN[[#This Row],[NAMA BAHAN]],TBLBAHANKELUAR[TOTAL BAHAN KELUAR])</f>
        <v>151</v>
      </c>
      <c r="H26" s="120">
        <f>TBLREKAPBAHAN[[#This Row],[STOK]]+TBLREKAPBAHAN[[#This Row],[MASUK]]-TBLREKAPBAHAN[[#This Row],[KELUAR]]</f>
        <v>34</v>
      </c>
      <c r="I26" s="120">
        <f>TBLREKAPBAHAN[[#This Row],[MODAL SATUAN]]*TBLREKAPBAHAN[[#This Row],[SISA STOK]]</f>
        <v>40800</v>
      </c>
    </row>
    <row r="27" spans="1:9" ht="15" customHeight="1" x14ac:dyDescent="0.3">
      <c r="A27" s="1" t="s">
        <v>337</v>
      </c>
      <c r="B27" s="75">
        <v>35000</v>
      </c>
      <c r="C27" s="120">
        <v>1000</v>
      </c>
      <c r="D27" s="120">
        <f>TBLREKAPBAHAN[[#This Row],[MODAL]]/TBLREKAPBAHAN[[#This Row],[ISI]]</f>
        <v>35</v>
      </c>
      <c r="E27" s="200">
        <v>1121.5</v>
      </c>
      <c r="F27" s="120">
        <f>SUMIF(TBLBAHANMASUK[NAMA BAHAN],TBLREKAPBAHAN[[#This Row],[NAMA BAHAN]],TBLBAHANMASUK[MASUK])</f>
        <v>2500</v>
      </c>
      <c r="G27" s="120">
        <f>SUMIF(TBLBAHANKELUAR[NAMA BAHAN],TBLREKAPBAHAN[[#This Row],[NAMA BAHAN]],TBLBAHANKELUAR[TOTAL BAHAN KELUAR])</f>
        <v>1795</v>
      </c>
      <c r="H27" s="120">
        <f>TBLREKAPBAHAN[[#This Row],[STOK]]+TBLREKAPBAHAN[[#This Row],[MASUK]]-TBLREKAPBAHAN[[#This Row],[KELUAR]]</f>
        <v>1826.5</v>
      </c>
      <c r="I27" s="120">
        <f>TBLREKAPBAHAN[[#This Row],[MODAL SATUAN]]*TBLREKAPBAHAN[[#This Row],[SISA STOK]]</f>
        <v>63927.5</v>
      </c>
    </row>
    <row r="28" spans="1:9" ht="15" customHeight="1" x14ac:dyDescent="0.3">
      <c r="A28" s="1" t="s">
        <v>338</v>
      </c>
      <c r="B28" s="75">
        <v>18000</v>
      </c>
      <c r="C28" s="120">
        <v>1000</v>
      </c>
      <c r="D28" s="120">
        <f>TBLREKAPBAHAN[[#This Row],[MODAL]]/TBLREKAPBAHAN[[#This Row],[ISI]]</f>
        <v>18</v>
      </c>
      <c r="E28" s="200">
        <v>874</v>
      </c>
      <c r="F28" s="120">
        <f>SUMIF(TBLBAHANMASUK[NAMA BAHAN],TBLREKAPBAHAN[[#This Row],[NAMA BAHAN]],TBLBAHANMASUK[MASUK])</f>
        <v>1000</v>
      </c>
      <c r="G28" s="120">
        <f>SUMIF(TBLBAHANKELUAR[NAMA BAHAN],TBLREKAPBAHAN[[#This Row],[NAMA BAHAN]],TBLBAHANKELUAR[TOTAL BAHAN KELUAR])</f>
        <v>157.5</v>
      </c>
      <c r="H28" s="120">
        <f>TBLREKAPBAHAN[[#This Row],[STOK]]+TBLREKAPBAHAN[[#This Row],[MASUK]]-TBLREKAPBAHAN[[#This Row],[KELUAR]]</f>
        <v>1716.5</v>
      </c>
      <c r="I28" s="120">
        <f>TBLREKAPBAHAN[[#This Row],[MODAL SATUAN]]*TBLREKAPBAHAN[[#This Row],[SISA STOK]]</f>
        <v>30897</v>
      </c>
    </row>
    <row r="29" spans="1:9" ht="15" customHeight="1" x14ac:dyDescent="0.3">
      <c r="A29" s="1" t="s">
        <v>339</v>
      </c>
      <c r="B29" s="75">
        <v>4000</v>
      </c>
      <c r="C29" s="120">
        <v>250</v>
      </c>
      <c r="D29" s="120">
        <f>TBLREKAPBAHAN[[#This Row],[MODAL]]/TBLREKAPBAHAN[[#This Row],[ISI]]</f>
        <v>16</v>
      </c>
      <c r="E29" s="200">
        <v>93.5</v>
      </c>
      <c r="F29" s="120">
        <f>SUMIF(TBLBAHANMASUK[NAMA BAHAN],TBLREKAPBAHAN[[#This Row],[NAMA BAHAN]],TBLBAHANMASUK[MASUK])</f>
        <v>250</v>
      </c>
      <c r="G29" s="120">
        <f>SUMIF(TBLBAHANKELUAR[NAMA BAHAN],TBLREKAPBAHAN[[#This Row],[NAMA BAHAN]],TBLBAHANKELUAR[TOTAL BAHAN KELUAR])</f>
        <v>41</v>
      </c>
      <c r="H29" s="120">
        <f>TBLREKAPBAHAN[[#This Row],[STOK]]+TBLREKAPBAHAN[[#This Row],[MASUK]]-TBLREKAPBAHAN[[#This Row],[KELUAR]]</f>
        <v>302.5</v>
      </c>
      <c r="I29" s="120">
        <f>TBLREKAPBAHAN[[#This Row],[MODAL SATUAN]]*TBLREKAPBAHAN[[#This Row],[SISA STOK]]</f>
        <v>4840</v>
      </c>
    </row>
    <row r="30" spans="1:9" ht="15" customHeight="1" x14ac:dyDescent="0.3">
      <c r="A30" s="1" t="s">
        <v>340</v>
      </c>
      <c r="B30" s="75">
        <v>7000</v>
      </c>
      <c r="C30" s="120">
        <v>11</v>
      </c>
      <c r="D30" s="120">
        <f>TBLREKAPBAHAN[[#This Row],[MODAL]]/TBLREKAPBAHAN[[#This Row],[ISI]]</f>
        <v>636.36363636363637</v>
      </c>
      <c r="E30" s="200">
        <v>0</v>
      </c>
      <c r="F30" s="120">
        <f>SUMIF(TBLBAHANMASUK[NAMA BAHAN],TBLREKAPBAHAN[[#This Row],[NAMA BAHAN]],TBLBAHANMASUK[MASUK])</f>
        <v>44</v>
      </c>
      <c r="G30" s="120">
        <f>SUMIF(TBLBAHANKELUAR[NAMA BAHAN],TBLREKAPBAHAN[[#This Row],[NAMA BAHAN]],TBLBAHANKELUAR[TOTAL BAHAN KELUAR])</f>
        <v>34</v>
      </c>
      <c r="H30" s="120">
        <f>TBLREKAPBAHAN[[#This Row],[STOK]]+TBLREKAPBAHAN[[#This Row],[MASUK]]-TBLREKAPBAHAN[[#This Row],[KELUAR]]</f>
        <v>10</v>
      </c>
      <c r="I30" s="120">
        <f>TBLREKAPBAHAN[[#This Row],[MODAL SATUAN]]*TBLREKAPBAHAN[[#This Row],[SISA STOK]]</f>
        <v>6363.636363636364</v>
      </c>
    </row>
    <row r="31" spans="1:9" ht="15" customHeight="1" x14ac:dyDescent="0.3">
      <c r="A31" s="1" t="s">
        <v>341</v>
      </c>
      <c r="B31" s="75">
        <v>18000</v>
      </c>
      <c r="C31" s="120">
        <v>250</v>
      </c>
      <c r="D31" s="120">
        <f>TBLREKAPBAHAN[[#This Row],[MODAL]]/TBLREKAPBAHAN[[#This Row],[ISI]]</f>
        <v>72</v>
      </c>
      <c r="E31" s="200">
        <v>930</v>
      </c>
      <c r="F31" s="120">
        <f>SUMIF(TBLBAHANMASUK[NAMA BAHAN],TBLREKAPBAHAN[[#This Row],[NAMA BAHAN]],TBLBAHANMASUK[MASUK])</f>
        <v>500</v>
      </c>
      <c r="G31" s="120">
        <f>SUMIF(TBLBAHANKELUAR[NAMA BAHAN],TBLREKAPBAHAN[[#This Row],[NAMA BAHAN]],TBLBAHANKELUAR[TOTAL BAHAN KELUAR])</f>
        <v>1175</v>
      </c>
      <c r="H31" s="120">
        <f>TBLREKAPBAHAN[[#This Row],[STOK]]+TBLREKAPBAHAN[[#This Row],[MASUK]]-TBLREKAPBAHAN[[#This Row],[KELUAR]]</f>
        <v>255</v>
      </c>
      <c r="I31" s="120">
        <f>TBLREKAPBAHAN[[#This Row],[MODAL SATUAN]]*TBLREKAPBAHAN[[#This Row],[SISA STOK]]</f>
        <v>18360</v>
      </c>
    </row>
    <row r="32" spans="1:9" ht="15" customHeight="1" x14ac:dyDescent="0.3">
      <c r="A32" s="1" t="s">
        <v>343</v>
      </c>
      <c r="B32" s="75">
        <v>14000</v>
      </c>
      <c r="C32" s="120">
        <v>1000</v>
      </c>
      <c r="D32" s="120">
        <f>TBLREKAPBAHAN[[#This Row],[MODAL]]/TBLREKAPBAHAN[[#This Row],[ISI]]</f>
        <v>14</v>
      </c>
      <c r="E32" s="200">
        <v>1632</v>
      </c>
      <c r="F32" s="120">
        <f>SUMIF(TBLBAHANMASUK[NAMA BAHAN],TBLREKAPBAHAN[[#This Row],[NAMA BAHAN]],TBLBAHANMASUK[MASUK])</f>
        <v>1000</v>
      </c>
      <c r="G32" s="120">
        <f>SUMIF(TBLBAHANKELUAR[NAMA BAHAN],TBLREKAPBAHAN[[#This Row],[NAMA BAHAN]],TBLBAHANKELUAR[TOTAL BAHAN KELUAR])</f>
        <v>1350</v>
      </c>
      <c r="H32" s="120">
        <f>TBLREKAPBAHAN[[#This Row],[STOK]]+TBLREKAPBAHAN[[#This Row],[MASUK]]-TBLREKAPBAHAN[[#This Row],[KELUAR]]</f>
        <v>1282</v>
      </c>
      <c r="I32" s="120">
        <f>TBLREKAPBAHAN[[#This Row],[MODAL SATUAN]]*TBLREKAPBAHAN[[#This Row],[SISA STOK]]</f>
        <v>17948</v>
      </c>
    </row>
    <row r="33" spans="1:9" ht="15" customHeight="1" x14ac:dyDescent="0.3">
      <c r="A33" s="1" t="s">
        <v>342</v>
      </c>
      <c r="B33" s="75">
        <v>14000</v>
      </c>
      <c r="C33" s="120">
        <v>1000</v>
      </c>
      <c r="D33" s="120">
        <f>TBLREKAPBAHAN[[#This Row],[MODAL]]/TBLREKAPBAHAN[[#This Row],[ISI]]</f>
        <v>14</v>
      </c>
      <c r="E33" s="200">
        <v>1200</v>
      </c>
      <c r="F33" s="120">
        <f>SUMIF(TBLBAHANMASUK[NAMA BAHAN],TBLREKAPBAHAN[[#This Row],[NAMA BAHAN]],TBLBAHANMASUK[MASUK])</f>
        <v>2000</v>
      </c>
      <c r="G33" s="120">
        <f>SUMIF(TBLBAHANKELUAR[NAMA BAHAN],TBLREKAPBAHAN[[#This Row],[NAMA BAHAN]],TBLBAHANKELUAR[TOTAL BAHAN KELUAR])</f>
        <v>1830</v>
      </c>
      <c r="H33" s="120">
        <f>TBLREKAPBAHAN[[#This Row],[STOK]]+TBLREKAPBAHAN[[#This Row],[MASUK]]-TBLREKAPBAHAN[[#This Row],[KELUAR]]</f>
        <v>1370</v>
      </c>
      <c r="I33" s="120">
        <f>TBLREKAPBAHAN[[#This Row],[MODAL SATUAN]]*TBLREKAPBAHAN[[#This Row],[SISA STOK]]</f>
        <v>19180</v>
      </c>
    </row>
    <row r="34" spans="1:9" ht="15" customHeight="1" x14ac:dyDescent="0.3">
      <c r="A34" s="1" t="s">
        <v>344</v>
      </c>
      <c r="B34" s="75">
        <v>30000</v>
      </c>
      <c r="C34" s="120">
        <v>30</v>
      </c>
      <c r="D34" s="120">
        <f>TBLREKAPBAHAN[[#This Row],[MODAL]]/TBLREKAPBAHAN[[#This Row],[ISI]]</f>
        <v>1000</v>
      </c>
      <c r="E34" s="200">
        <v>27.400000000000006</v>
      </c>
      <c r="F34" s="120">
        <f>SUMIF(TBLBAHANMASUK[NAMA BAHAN],TBLREKAPBAHAN[[#This Row],[NAMA BAHAN]],TBLBAHANMASUK[MASUK])</f>
        <v>30</v>
      </c>
      <c r="G34" s="120">
        <f>SUMIF(TBLBAHANKELUAR[NAMA BAHAN],TBLREKAPBAHAN[[#This Row],[NAMA BAHAN]],TBLBAHANKELUAR[TOTAL BAHAN KELUAR])</f>
        <v>34</v>
      </c>
      <c r="H34" s="120">
        <f>TBLREKAPBAHAN[[#This Row],[STOK]]+TBLREKAPBAHAN[[#This Row],[MASUK]]-TBLREKAPBAHAN[[#This Row],[KELUAR]]</f>
        <v>23.400000000000006</v>
      </c>
      <c r="I34" s="120">
        <f>TBLREKAPBAHAN[[#This Row],[MODAL SATUAN]]*TBLREKAPBAHAN[[#This Row],[SISA STOK]]</f>
        <v>23400.000000000007</v>
      </c>
    </row>
    <row r="35" spans="1:9" ht="15" customHeight="1" x14ac:dyDescent="0.3">
      <c r="A35" s="1" t="s">
        <v>363</v>
      </c>
      <c r="B35" s="75">
        <v>15000</v>
      </c>
      <c r="C35" s="120">
        <v>80</v>
      </c>
      <c r="D35" s="120">
        <f>TBLREKAPBAHAN[[#This Row],[MODAL]]/TBLREKAPBAHAN[[#This Row],[ISI]]</f>
        <v>187.5</v>
      </c>
      <c r="E35" s="200">
        <v>198.5</v>
      </c>
      <c r="F35" s="120">
        <f>SUMIF(TBLBAHANMASUK[NAMA BAHAN],TBLREKAPBAHAN[[#This Row],[NAMA BAHAN]],TBLBAHANMASUK[MASUK])</f>
        <v>80</v>
      </c>
      <c r="G35" s="120">
        <f>SUMIF(TBLBAHANKELUAR[NAMA BAHAN],TBLREKAPBAHAN[[#This Row],[NAMA BAHAN]],TBLBAHANKELUAR[TOTAL BAHAN KELUAR])</f>
        <v>268</v>
      </c>
      <c r="H35" s="120">
        <f>TBLREKAPBAHAN[[#This Row],[STOK]]+TBLREKAPBAHAN[[#This Row],[MASUK]]-TBLREKAPBAHAN[[#This Row],[KELUAR]]</f>
        <v>10.5</v>
      </c>
      <c r="I35" s="120">
        <f>TBLREKAPBAHAN[[#This Row],[MODAL SATUAN]]*TBLREKAPBAHAN[[#This Row],[SISA STOK]]</f>
        <v>1968.75</v>
      </c>
    </row>
    <row r="36" spans="1:9" ht="15" customHeight="1" x14ac:dyDescent="0.3">
      <c r="A36" s="1" t="s">
        <v>345</v>
      </c>
      <c r="B36" s="75">
        <v>5000</v>
      </c>
      <c r="C36" s="120">
        <v>8</v>
      </c>
      <c r="D36" s="120">
        <f>TBLREKAPBAHAN[[#This Row],[MODAL]]/TBLREKAPBAHAN[[#This Row],[ISI]]</f>
        <v>625</v>
      </c>
      <c r="E36" s="200">
        <v>33</v>
      </c>
      <c r="F36" s="120">
        <f>SUMIF(TBLBAHANMASUK[NAMA BAHAN],TBLREKAPBAHAN[[#This Row],[NAMA BAHAN]],TBLBAHANMASUK[MASUK])</f>
        <v>40</v>
      </c>
      <c r="G36" s="120">
        <f>SUMIF(TBLBAHANKELUAR[NAMA BAHAN],TBLREKAPBAHAN[[#This Row],[NAMA BAHAN]],TBLBAHANKELUAR[TOTAL BAHAN KELUAR])</f>
        <v>56</v>
      </c>
      <c r="H36" s="120">
        <f>TBLREKAPBAHAN[[#This Row],[STOK]]+TBLREKAPBAHAN[[#This Row],[MASUK]]-TBLREKAPBAHAN[[#This Row],[KELUAR]]</f>
        <v>17</v>
      </c>
      <c r="I36" s="120">
        <f>TBLREKAPBAHAN[[#This Row],[MODAL SATUAN]]*TBLREKAPBAHAN[[#This Row],[SISA STOK]]</f>
        <v>10625</v>
      </c>
    </row>
    <row r="37" spans="1:9" ht="15" customHeight="1" x14ac:dyDescent="0.3">
      <c r="A37" s="1" t="s">
        <v>346</v>
      </c>
      <c r="B37" s="75">
        <v>25000</v>
      </c>
      <c r="C37" s="120">
        <v>100</v>
      </c>
      <c r="D37" s="120">
        <f>TBLREKAPBAHAN[[#This Row],[MODAL]]/TBLREKAPBAHAN[[#This Row],[ISI]]</f>
        <v>250</v>
      </c>
      <c r="E37" s="200">
        <v>7</v>
      </c>
      <c r="F37" s="120">
        <f>SUMIF(TBLBAHANMASUK[NAMA BAHAN],TBLREKAPBAHAN[[#This Row],[NAMA BAHAN]],TBLBAHANMASUK[MASUK])</f>
        <v>100</v>
      </c>
      <c r="G37" s="120">
        <f>SUMIF(TBLBAHANKELUAR[NAMA BAHAN],TBLREKAPBAHAN[[#This Row],[NAMA BAHAN]],TBLBAHANKELUAR[TOTAL BAHAN KELUAR])</f>
        <v>50</v>
      </c>
      <c r="H37" s="120">
        <f>TBLREKAPBAHAN[[#This Row],[STOK]]+TBLREKAPBAHAN[[#This Row],[MASUK]]-TBLREKAPBAHAN[[#This Row],[KELUAR]]</f>
        <v>57</v>
      </c>
      <c r="I37" s="120">
        <f>TBLREKAPBAHAN[[#This Row],[MODAL SATUAN]]*TBLREKAPBAHAN[[#This Row],[SISA STOK]]</f>
        <v>14250</v>
      </c>
    </row>
    <row r="38" spans="1:9" ht="15" customHeight="1" x14ac:dyDescent="0.3">
      <c r="A38" s="1" t="s">
        <v>291</v>
      </c>
      <c r="B38" s="75">
        <v>2000</v>
      </c>
      <c r="C38" s="120">
        <v>10</v>
      </c>
      <c r="D38" s="120">
        <f>TBLREKAPBAHAN[[#This Row],[MODAL]]/TBLREKAPBAHAN[[#This Row],[ISI]]</f>
        <v>200</v>
      </c>
      <c r="E38" s="200">
        <v>0</v>
      </c>
      <c r="F38" s="120">
        <f>SUMIF(TBLBAHANMASUK[NAMA BAHAN],TBLREKAPBAHAN[[#This Row],[NAMA BAHAN]],TBLBAHANMASUK[MASUK])</f>
        <v>20</v>
      </c>
      <c r="G38" s="120">
        <f>SUMIF(TBLBAHANKELUAR[NAMA BAHAN],TBLREKAPBAHAN[[#This Row],[NAMA BAHAN]],TBLBAHANKELUAR[TOTAL BAHAN KELUAR])</f>
        <v>16</v>
      </c>
      <c r="H38" s="120">
        <f>TBLREKAPBAHAN[[#This Row],[STOK]]+TBLREKAPBAHAN[[#This Row],[MASUK]]-TBLREKAPBAHAN[[#This Row],[KELUAR]]</f>
        <v>4</v>
      </c>
      <c r="I38" s="120">
        <f>TBLREKAPBAHAN[[#This Row],[MODAL SATUAN]]*TBLREKAPBAHAN[[#This Row],[SISA STOK]]</f>
        <v>800</v>
      </c>
    </row>
    <row r="39" spans="1:9" ht="15" customHeight="1" x14ac:dyDescent="0.3">
      <c r="A39" s="1" t="s">
        <v>347</v>
      </c>
      <c r="B39" s="75">
        <v>3000</v>
      </c>
      <c r="C39" s="120">
        <v>2</v>
      </c>
      <c r="D39" s="120">
        <f>TBLREKAPBAHAN[[#This Row],[MODAL]]/TBLREKAPBAHAN[[#This Row],[ISI]]</f>
        <v>1500</v>
      </c>
      <c r="E39" s="200">
        <v>2.5</v>
      </c>
      <c r="F39" s="120">
        <f>SUMIF(TBLBAHANMASUK[NAMA BAHAN],TBLREKAPBAHAN[[#This Row],[NAMA BAHAN]],TBLBAHANMASUK[MASUK])</f>
        <v>1</v>
      </c>
      <c r="G39" s="120">
        <f>SUMIF(TBLBAHANKELUAR[NAMA BAHAN],TBLREKAPBAHAN[[#This Row],[NAMA BAHAN]],TBLBAHANKELUAR[TOTAL BAHAN KELUAR])</f>
        <v>3</v>
      </c>
      <c r="H39" s="120">
        <f>TBLREKAPBAHAN[[#This Row],[STOK]]+TBLREKAPBAHAN[[#This Row],[MASUK]]-TBLREKAPBAHAN[[#This Row],[KELUAR]]</f>
        <v>0.5</v>
      </c>
      <c r="I39" s="120">
        <f>TBLREKAPBAHAN[[#This Row],[MODAL SATUAN]]*TBLREKAPBAHAN[[#This Row],[SISA STOK]]</f>
        <v>750</v>
      </c>
    </row>
    <row r="40" spans="1:9" ht="15" customHeight="1" x14ac:dyDescent="0.3">
      <c r="A40" s="1" t="s">
        <v>288</v>
      </c>
      <c r="B40" s="75">
        <v>16000</v>
      </c>
      <c r="C40" s="120">
        <v>250</v>
      </c>
      <c r="D40" s="120">
        <f>TBLREKAPBAHAN[[#This Row],[MODAL]]/TBLREKAPBAHAN[[#This Row],[ISI]]</f>
        <v>64</v>
      </c>
      <c r="E40" s="200">
        <v>442</v>
      </c>
      <c r="F40" s="120">
        <f>SUMIF(TBLBAHANMASUK[NAMA BAHAN],TBLREKAPBAHAN[[#This Row],[NAMA BAHAN]],TBLBAHANMASUK[MASUK])</f>
        <v>0</v>
      </c>
      <c r="G40" s="120">
        <f>SUMIF(TBLBAHANKELUAR[NAMA BAHAN],TBLREKAPBAHAN[[#This Row],[NAMA BAHAN]],TBLBAHANKELUAR[TOTAL BAHAN KELUAR])</f>
        <v>0</v>
      </c>
      <c r="H40" s="120">
        <f>TBLREKAPBAHAN[[#This Row],[STOK]]+TBLREKAPBAHAN[[#This Row],[MASUK]]-TBLREKAPBAHAN[[#This Row],[KELUAR]]</f>
        <v>442</v>
      </c>
      <c r="I40" s="120">
        <f>TBLREKAPBAHAN[[#This Row],[MODAL SATUAN]]*TBLREKAPBAHAN[[#This Row],[SISA STOK]]</f>
        <v>28288</v>
      </c>
    </row>
    <row r="41" spans="1:9" ht="15" customHeight="1" x14ac:dyDescent="0.3">
      <c r="A41" s="1" t="s">
        <v>289</v>
      </c>
      <c r="B41" s="75">
        <v>9000</v>
      </c>
      <c r="C41" s="120">
        <v>10</v>
      </c>
      <c r="D41" s="120">
        <f>TBLREKAPBAHAN[[#This Row],[MODAL]]/TBLREKAPBAHAN[[#This Row],[ISI]]</f>
        <v>900</v>
      </c>
      <c r="E41" s="200">
        <v>5</v>
      </c>
      <c r="F41" s="120">
        <f>SUMIF(TBLBAHANMASUK[NAMA BAHAN],TBLREKAPBAHAN[[#This Row],[NAMA BAHAN]],TBLBAHANMASUK[MASUK])</f>
        <v>10</v>
      </c>
      <c r="G41" s="120">
        <f>SUMIF(TBLBAHANKELUAR[NAMA BAHAN],TBLREKAPBAHAN[[#This Row],[NAMA BAHAN]],TBLBAHANKELUAR[TOTAL BAHAN KELUAR])</f>
        <v>11</v>
      </c>
      <c r="H41" s="120">
        <f>TBLREKAPBAHAN[[#This Row],[STOK]]+TBLREKAPBAHAN[[#This Row],[MASUK]]-TBLREKAPBAHAN[[#This Row],[KELUAR]]</f>
        <v>4</v>
      </c>
      <c r="I41" s="120">
        <f>TBLREKAPBAHAN[[#This Row],[MODAL SATUAN]]*TBLREKAPBAHAN[[#This Row],[SISA STOK]]</f>
        <v>3600</v>
      </c>
    </row>
    <row r="42" spans="1:9" ht="15" customHeight="1" x14ac:dyDescent="0.3">
      <c r="A42" s="1" t="s">
        <v>434</v>
      </c>
      <c r="B42" s="86">
        <v>10000</v>
      </c>
      <c r="C42" s="120">
        <v>100</v>
      </c>
      <c r="D42" s="120">
        <f>TBLREKAPBAHAN[[#This Row],[MODAL]]/TBLREKAPBAHAN[[#This Row],[ISI]]</f>
        <v>100</v>
      </c>
      <c r="E42" s="200">
        <v>834.2</v>
      </c>
      <c r="F42" s="120">
        <f>SUMIF(TBLBAHANMASUK[NAMA BAHAN],TBLREKAPBAHAN[[#This Row],[NAMA BAHAN]],TBLBAHANMASUK[MASUK])</f>
        <v>200</v>
      </c>
      <c r="G42" s="120">
        <f>SUMIF(TBLBAHANKELUAR[NAMA BAHAN],TBLREKAPBAHAN[[#This Row],[NAMA BAHAN]],TBLBAHANKELUAR[TOTAL BAHAN KELUAR])</f>
        <v>925</v>
      </c>
      <c r="H42" s="120">
        <f>TBLREKAPBAHAN[[#This Row],[STOK]]+TBLREKAPBAHAN[[#This Row],[MASUK]]-TBLREKAPBAHAN[[#This Row],[KELUAR]]</f>
        <v>109.20000000000005</v>
      </c>
      <c r="I42" s="120">
        <f>TBLREKAPBAHAN[[#This Row],[MODAL SATUAN]]*TBLREKAPBAHAN[[#This Row],[SISA STOK]]</f>
        <v>10920.000000000004</v>
      </c>
    </row>
    <row r="43" spans="1:9" ht="15" customHeight="1" x14ac:dyDescent="0.3">
      <c r="A43" s="1" t="s">
        <v>290</v>
      </c>
      <c r="B43" s="86">
        <v>12000</v>
      </c>
      <c r="C43" s="120">
        <v>10</v>
      </c>
      <c r="D43" s="120">
        <f>TBLREKAPBAHAN[[#This Row],[MODAL]]/TBLREKAPBAHAN[[#This Row],[ISI]]</f>
        <v>1200</v>
      </c>
      <c r="E43" s="200">
        <v>4.5</v>
      </c>
      <c r="F43" s="120">
        <f>SUMIF(TBLBAHANMASUK[NAMA BAHAN],TBLREKAPBAHAN[[#This Row],[NAMA BAHAN]],TBLBAHANMASUK[MASUK])</f>
        <v>0</v>
      </c>
      <c r="G43" s="120">
        <f>SUMIF(TBLBAHANKELUAR[NAMA BAHAN],TBLREKAPBAHAN[[#This Row],[NAMA BAHAN]],TBLBAHANKELUAR[TOTAL BAHAN KELUAR])</f>
        <v>3</v>
      </c>
      <c r="H43" s="120">
        <f>TBLREKAPBAHAN[[#This Row],[STOK]]+TBLREKAPBAHAN[[#This Row],[MASUK]]-TBLREKAPBAHAN[[#This Row],[KELUAR]]</f>
        <v>1.5</v>
      </c>
      <c r="I43" s="120">
        <f>TBLREKAPBAHAN[[#This Row],[MODAL SATUAN]]*TBLREKAPBAHAN[[#This Row],[SISA STOK]]</f>
        <v>1800</v>
      </c>
    </row>
    <row r="44" spans="1:9" ht="15" customHeight="1" x14ac:dyDescent="0.3">
      <c r="A44" s="1" t="s">
        <v>348</v>
      </c>
      <c r="B44" s="75">
        <v>23000</v>
      </c>
      <c r="C44" s="120">
        <v>3000</v>
      </c>
      <c r="D44" s="120">
        <f>TBLREKAPBAHAN[[#This Row],[MODAL]]/TBLREKAPBAHAN[[#This Row],[ISI]]</f>
        <v>7.666666666666667</v>
      </c>
      <c r="E44" s="200">
        <v>1120</v>
      </c>
      <c r="F44" s="120">
        <f>SUMIF(TBLBAHANMASUK[NAMA BAHAN],TBLREKAPBAHAN[[#This Row],[NAMA BAHAN]],TBLBAHANMASUK[MASUK])</f>
        <v>3000</v>
      </c>
      <c r="G44" s="120">
        <f>SUMIF(TBLBAHANKELUAR[NAMA BAHAN],TBLREKAPBAHAN[[#This Row],[NAMA BAHAN]],TBLBAHANKELUAR[TOTAL BAHAN KELUAR])</f>
        <v>2200</v>
      </c>
      <c r="H44" s="120">
        <f>TBLREKAPBAHAN[[#This Row],[STOK]]+TBLREKAPBAHAN[[#This Row],[MASUK]]-TBLREKAPBAHAN[[#This Row],[KELUAR]]</f>
        <v>1920</v>
      </c>
      <c r="I44" s="120">
        <f>TBLREKAPBAHAN[[#This Row],[MODAL SATUAN]]*TBLREKAPBAHAN[[#This Row],[SISA STOK]]</f>
        <v>14720</v>
      </c>
    </row>
    <row r="45" spans="1:9" ht="15" customHeight="1" x14ac:dyDescent="0.3">
      <c r="A45" s="1" t="s">
        <v>367</v>
      </c>
      <c r="B45" s="75">
        <v>17000</v>
      </c>
      <c r="C45" s="120">
        <v>19000</v>
      </c>
      <c r="D45" s="120">
        <f>TBLREKAPBAHAN[[#This Row],[MODAL]]/TBLREKAPBAHAN[[#This Row],[ISI]]</f>
        <v>0.89473684210526316</v>
      </c>
      <c r="E45" s="200">
        <v>27720</v>
      </c>
      <c r="F45" s="120">
        <f>SUMIF(TBLBAHANMASUK[NAMA BAHAN],TBLREKAPBAHAN[[#This Row],[NAMA BAHAN]],TBLBAHANMASUK[MASUK])</f>
        <v>0</v>
      </c>
      <c r="G45" s="120">
        <f>SUMIF(TBLBAHANKELUAR[NAMA BAHAN],TBLREKAPBAHAN[[#This Row],[NAMA BAHAN]],TBLBAHANKELUAR[TOTAL BAHAN KELUAR])</f>
        <v>710</v>
      </c>
      <c r="H45" s="120">
        <f>TBLREKAPBAHAN[[#This Row],[STOK]]+TBLREKAPBAHAN[[#This Row],[MASUK]]-TBLREKAPBAHAN[[#This Row],[KELUAR]]</f>
        <v>27010</v>
      </c>
      <c r="I45" s="120">
        <f>TBLREKAPBAHAN[[#This Row],[MODAL SATUAN]]*TBLREKAPBAHAN[[#This Row],[SISA STOK]]</f>
        <v>24166.842105263157</v>
      </c>
    </row>
    <row r="46" spans="1:9" ht="15" customHeight="1" x14ac:dyDescent="0.3">
      <c r="A46" s="1" t="s">
        <v>349</v>
      </c>
      <c r="B46" s="75">
        <v>17000</v>
      </c>
      <c r="C46" s="120">
        <v>19000</v>
      </c>
      <c r="D46" s="120">
        <f>TBLREKAPBAHAN[[#This Row],[MODAL]]/TBLREKAPBAHAN[[#This Row],[ISI]]</f>
        <v>0.89473684210526316</v>
      </c>
      <c r="E46" s="200">
        <v>19000</v>
      </c>
      <c r="F46" s="120">
        <f>SUMIF(TBLBAHANMASUK[NAMA BAHAN],TBLREKAPBAHAN[[#This Row],[NAMA BAHAN]],TBLBAHANMASUK[MASUK])</f>
        <v>0</v>
      </c>
      <c r="G46" s="120">
        <f>SUMIF(TBLBAHANKELUAR[NAMA BAHAN],TBLREKAPBAHAN[[#This Row],[NAMA BAHAN]],TBLBAHANKELUAR[TOTAL BAHAN KELUAR])</f>
        <v>0</v>
      </c>
      <c r="H46" s="120">
        <f>TBLREKAPBAHAN[[#This Row],[STOK]]+TBLREKAPBAHAN[[#This Row],[MASUK]]-TBLREKAPBAHAN[[#This Row],[KELUAR]]</f>
        <v>19000</v>
      </c>
      <c r="I46" s="120">
        <f>TBLREKAPBAHAN[[#This Row],[MODAL SATUAN]]*TBLREKAPBAHAN[[#This Row],[SISA STOK]]</f>
        <v>17000</v>
      </c>
    </row>
    <row r="47" spans="1:9" ht="15" customHeight="1" x14ac:dyDescent="0.3">
      <c r="A47" s="1" t="s">
        <v>350</v>
      </c>
      <c r="B47" s="75">
        <v>17000</v>
      </c>
      <c r="C47" s="120">
        <v>19000</v>
      </c>
      <c r="D47" s="120">
        <f>TBLREKAPBAHAN[[#This Row],[MODAL]]/TBLREKAPBAHAN[[#This Row],[ISI]]</f>
        <v>0.89473684210526316</v>
      </c>
      <c r="E47" s="200">
        <v>13119</v>
      </c>
      <c r="F47" s="120">
        <f>SUMIF(TBLBAHANMASUK[NAMA BAHAN],TBLREKAPBAHAN[[#This Row],[NAMA BAHAN]],TBLBAHANMASUK[MASUK])</f>
        <v>0</v>
      </c>
      <c r="G47" s="120">
        <f>SUMIF(TBLBAHANKELUAR[NAMA BAHAN],TBLREKAPBAHAN[[#This Row],[NAMA BAHAN]],TBLBAHANKELUAR[TOTAL BAHAN KELUAR])</f>
        <v>0</v>
      </c>
      <c r="H47" s="120">
        <f>TBLREKAPBAHAN[[#This Row],[STOK]]+TBLREKAPBAHAN[[#This Row],[MASUK]]-TBLREKAPBAHAN[[#This Row],[KELUAR]]</f>
        <v>13119</v>
      </c>
      <c r="I47" s="120">
        <f>TBLREKAPBAHAN[[#This Row],[MODAL SATUAN]]*TBLREKAPBAHAN[[#This Row],[SISA STOK]]</f>
        <v>11738.052631578947</v>
      </c>
    </row>
    <row r="48" spans="1:9" ht="15" customHeight="1" x14ac:dyDescent="0.3">
      <c r="A48" s="1" t="s">
        <v>540</v>
      </c>
      <c r="B48" s="75">
        <v>10000</v>
      </c>
      <c r="C48" s="120">
        <v>50</v>
      </c>
      <c r="D48" s="120">
        <f>TBLREKAPBAHAN[[#This Row],[MODAL]]/TBLREKAPBAHAN[[#This Row],[ISI]]</f>
        <v>200</v>
      </c>
      <c r="E48" s="200">
        <v>141</v>
      </c>
      <c r="F48" s="120">
        <f>SUMIF(TBLBAHANMASUK[NAMA BAHAN],TBLREKAPBAHAN[[#This Row],[NAMA BAHAN]],TBLBAHANMASUK[MASUK])</f>
        <v>0</v>
      </c>
      <c r="G48" s="120">
        <f>SUMIF(TBLBAHANKELUAR[NAMA BAHAN],TBLREKAPBAHAN[[#This Row],[NAMA BAHAN]],TBLBAHANKELUAR[TOTAL BAHAN KELUAR])</f>
        <v>10</v>
      </c>
      <c r="H48" s="120">
        <f>TBLREKAPBAHAN[[#This Row],[STOK]]+TBLREKAPBAHAN[[#This Row],[MASUK]]-TBLREKAPBAHAN[[#This Row],[KELUAR]]</f>
        <v>131</v>
      </c>
      <c r="I48" s="120">
        <f>TBLREKAPBAHAN[[#This Row],[MODAL SATUAN]]*TBLREKAPBAHAN[[#This Row],[SISA STOK]]</f>
        <v>26200</v>
      </c>
    </row>
    <row r="49" spans="1:9" ht="15" customHeight="1" x14ac:dyDescent="0.3">
      <c r="A49" s="1" t="s">
        <v>411</v>
      </c>
      <c r="B49" s="75">
        <v>57000</v>
      </c>
      <c r="C49" s="120">
        <v>1000</v>
      </c>
      <c r="D49" s="120">
        <f>TBLREKAPBAHAN[[#This Row],[MODAL]]/TBLREKAPBAHAN[[#This Row],[ISI]]</f>
        <v>57</v>
      </c>
      <c r="E49" s="200">
        <v>0</v>
      </c>
      <c r="F49" s="120">
        <f>SUMIF(TBLBAHANMASUK[NAMA BAHAN],TBLREKAPBAHAN[[#This Row],[NAMA BAHAN]],TBLBAHANMASUK[MASUK])</f>
        <v>0</v>
      </c>
      <c r="G49" s="120">
        <f>SUMIF(TBLBAHANKELUAR[NAMA BAHAN],TBLREKAPBAHAN[[#This Row],[NAMA BAHAN]],TBLBAHANKELUAR[TOTAL BAHAN KELUAR])</f>
        <v>0</v>
      </c>
      <c r="H49" s="120">
        <f>TBLREKAPBAHAN[[#This Row],[STOK]]+TBLREKAPBAHAN[[#This Row],[MASUK]]-TBLREKAPBAHAN[[#This Row],[KELUAR]]</f>
        <v>0</v>
      </c>
      <c r="I49" s="120">
        <f>TBLREKAPBAHAN[[#This Row],[MODAL SATUAN]]*TBLREKAPBAHAN[[#This Row],[SISA STOK]]</f>
        <v>0</v>
      </c>
    </row>
    <row r="50" spans="1:9" ht="15" customHeight="1" x14ac:dyDescent="0.3">
      <c r="A50" s="1" t="s">
        <v>351</v>
      </c>
      <c r="B50" s="75">
        <v>11400</v>
      </c>
      <c r="C50" s="120">
        <v>100</v>
      </c>
      <c r="D50" s="120">
        <f>TBLREKAPBAHAN[[#This Row],[MODAL]]/TBLREKAPBAHAN[[#This Row],[ISI]]</f>
        <v>114</v>
      </c>
      <c r="E50" s="200">
        <v>712</v>
      </c>
      <c r="F50" s="120">
        <f>SUMIF(TBLBAHANMASUK[NAMA BAHAN],TBLREKAPBAHAN[[#This Row],[NAMA BAHAN]],TBLBAHANMASUK[MASUK])</f>
        <v>300</v>
      </c>
      <c r="G50" s="120">
        <f>SUMIF(TBLBAHANKELUAR[NAMA BAHAN],TBLREKAPBAHAN[[#This Row],[NAMA BAHAN]],TBLBAHANKELUAR[TOTAL BAHAN KELUAR])</f>
        <v>712</v>
      </c>
      <c r="H50" s="120">
        <f>TBLREKAPBAHAN[[#This Row],[STOK]]+TBLREKAPBAHAN[[#This Row],[MASUK]]-TBLREKAPBAHAN[[#This Row],[KELUAR]]</f>
        <v>300</v>
      </c>
      <c r="I50" s="120">
        <f>TBLREKAPBAHAN[[#This Row],[MODAL SATUAN]]*TBLREKAPBAHAN[[#This Row],[SISA STOK]]</f>
        <v>34200</v>
      </c>
    </row>
    <row r="51" spans="1:9" ht="15" customHeight="1" x14ac:dyDescent="0.3">
      <c r="A51" s="1" t="s">
        <v>352</v>
      </c>
      <c r="B51" s="75">
        <v>25000</v>
      </c>
      <c r="C51" s="120">
        <v>100</v>
      </c>
      <c r="D51" s="120">
        <f>TBLREKAPBAHAN[[#This Row],[MODAL]]/TBLREKAPBAHAN[[#This Row],[ISI]]</f>
        <v>250</v>
      </c>
      <c r="E51" s="200">
        <v>223</v>
      </c>
      <c r="F51" s="120">
        <f>SUMIF(TBLBAHANMASUK[NAMA BAHAN],TBLREKAPBAHAN[[#This Row],[NAMA BAHAN]],TBLBAHANMASUK[MASUK])</f>
        <v>200</v>
      </c>
      <c r="G51" s="120">
        <f>SUMIF(TBLBAHANKELUAR[NAMA BAHAN],TBLREKAPBAHAN[[#This Row],[NAMA BAHAN]],TBLBAHANKELUAR[TOTAL BAHAN KELUAR])</f>
        <v>157</v>
      </c>
      <c r="H51" s="120">
        <f>TBLREKAPBAHAN[[#This Row],[STOK]]+TBLREKAPBAHAN[[#This Row],[MASUK]]-TBLREKAPBAHAN[[#This Row],[KELUAR]]</f>
        <v>266</v>
      </c>
      <c r="I51" s="120">
        <f>TBLREKAPBAHAN[[#This Row],[MODAL SATUAN]]*TBLREKAPBAHAN[[#This Row],[SISA STOK]]</f>
        <v>66500</v>
      </c>
    </row>
    <row r="52" spans="1:9" ht="15" customHeight="1" x14ac:dyDescent="0.3">
      <c r="A52" s="1" t="s">
        <v>353</v>
      </c>
      <c r="B52" s="75">
        <v>41000</v>
      </c>
      <c r="C52" s="120">
        <v>50</v>
      </c>
      <c r="D52" s="120">
        <f>TBLREKAPBAHAN[[#This Row],[MODAL]]/TBLREKAPBAHAN[[#This Row],[ISI]]</f>
        <v>820</v>
      </c>
      <c r="E52" s="200">
        <v>84</v>
      </c>
      <c r="F52" s="120">
        <f>SUMIF(TBLBAHANMASUK[NAMA BAHAN],TBLREKAPBAHAN[[#This Row],[NAMA BAHAN]],TBLBAHANMASUK[MASUK])</f>
        <v>0</v>
      </c>
      <c r="G52" s="120">
        <f>SUMIF(TBLBAHANKELUAR[NAMA BAHAN],TBLREKAPBAHAN[[#This Row],[NAMA BAHAN]],TBLBAHANKELUAR[TOTAL BAHAN KELUAR])</f>
        <v>0</v>
      </c>
      <c r="H52" s="120">
        <f>TBLREKAPBAHAN[[#This Row],[STOK]]+TBLREKAPBAHAN[[#This Row],[MASUK]]-TBLREKAPBAHAN[[#This Row],[KELUAR]]</f>
        <v>84</v>
      </c>
      <c r="I52" s="120">
        <f>TBLREKAPBAHAN[[#This Row],[MODAL SATUAN]]*TBLREKAPBAHAN[[#This Row],[SISA STOK]]</f>
        <v>68880</v>
      </c>
    </row>
    <row r="53" spans="1:9" ht="15" customHeight="1" x14ac:dyDescent="0.3">
      <c r="A53" s="1" t="s">
        <v>622</v>
      </c>
      <c r="B53" s="75">
        <v>40000</v>
      </c>
      <c r="C53" s="120">
        <v>100</v>
      </c>
      <c r="D53" s="120">
        <f>TBLREKAPBAHAN[[#This Row],[MODAL]]/TBLREKAPBAHAN[[#This Row],[ISI]]</f>
        <v>400</v>
      </c>
      <c r="E53" s="200">
        <v>0</v>
      </c>
      <c r="F53" s="120">
        <f>SUMIF(TBLBAHANMASUK[NAMA BAHAN],TBLREKAPBAHAN[[#This Row],[NAMA BAHAN]],TBLBAHANMASUK[MASUK])</f>
        <v>0</v>
      </c>
      <c r="G53" s="120">
        <f>SUMIF(TBLBAHANKELUAR[NAMA BAHAN],TBLREKAPBAHAN[[#This Row],[NAMA BAHAN]],TBLBAHANKELUAR[TOTAL BAHAN KELUAR])</f>
        <v>0</v>
      </c>
      <c r="H53" s="120">
        <f>TBLREKAPBAHAN[[#This Row],[STOK]]+TBLREKAPBAHAN[[#This Row],[MASUK]]-TBLREKAPBAHAN[[#This Row],[KELUAR]]</f>
        <v>0</v>
      </c>
      <c r="I53" s="120">
        <f>TBLREKAPBAHAN[[#This Row],[MODAL SATUAN]]*TBLREKAPBAHAN[[#This Row],[SISA STOK]]</f>
        <v>0</v>
      </c>
    </row>
    <row r="54" spans="1:9" ht="15" customHeight="1" x14ac:dyDescent="0.3">
      <c r="A54" s="1" t="s">
        <v>355</v>
      </c>
      <c r="B54" s="75">
        <v>2000</v>
      </c>
      <c r="C54" s="120">
        <v>1</v>
      </c>
      <c r="D54" s="120">
        <f>TBLREKAPBAHAN[[#This Row],[MODAL]]/TBLREKAPBAHAN[[#This Row],[ISI]]</f>
        <v>2000</v>
      </c>
      <c r="E54" s="200">
        <v>16</v>
      </c>
      <c r="F54" s="120">
        <f>SUMIF(TBLBAHANMASUK[NAMA BAHAN],TBLREKAPBAHAN[[#This Row],[NAMA BAHAN]],TBLBAHANMASUK[MASUK])</f>
        <v>0</v>
      </c>
      <c r="G54" s="120">
        <f>SUMIF(TBLBAHANKELUAR[NAMA BAHAN],TBLREKAPBAHAN[[#This Row],[NAMA BAHAN]],TBLBAHANKELUAR[TOTAL BAHAN KELUAR])</f>
        <v>7</v>
      </c>
      <c r="H54" s="120">
        <f>TBLREKAPBAHAN[[#This Row],[STOK]]+TBLREKAPBAHAN[[#This Row],[MASUK]]-TBLREKAPBAHAN[[#This Row],[KELUAR]]</f>
        <v>9</v>
      </c>
      <c r="I54" s="120">
        <f>TBLREKAPBAHAN[[#This Row],[MODAL SATUAN]]*TBLREKAPBAHAN[[#This Row],[SISA STOK]]</f>
        <v>18000</v>
      </c>
    </row>
    <row r="55" spans="1:9" ht="15" customHeight="1" x14ac:dyDescent="0.3">
      <c r="A55" s="1" t="s">
        <v>356</v>
      </c>
      <c r="B55" s="75">
        <v>2500</v>
      </c>
      <c r="C55" s="120">
        <v>1</v>
      </c>
      <c r="D55" s="120">
        <f>TBLREKAPBAHAN[[#This Row],[MODAL]]/TBLREKAPBAHAN[[#This Row],[ISI]]</f>
        <v>2500</v>
      </c>
      <c r="E55" s="200">
        <v>18</v>
      </c>
      <c r="F55" s="120">
        <f>SUMIF(TBLBAHANMASUK[NAMA BAHAN],TBLREKAPBAHAN[[#This Row],[NAMA BAHAN]],TBLBAHANMASUK[MASUK])</f>
        <v>10</v>
      </c>
      <c r="G55" s="120">
        <f>SUMIF(TBLBAHANKELUAR[NAMA BAHAN],TBLREKAPBAHAN[[#This Row],[NAMA BAHAN]],TBLBAHANKELUAR[TOTAL BAHAN KELUAR])</f>
        <v>2</v>
      </c>
      <c r="H55" s="120">
        <f>TBLREKAPBAHAN[[#This Row],[STOK]]+TBLREKAPBAHAN[[#This Row],[MASUK]]-TBLREKAPBAHAN[[#This Row],[KELUAR]]</f>
        <v>26</v>
      </c>
      <c r="I55" s="120">
        <f>TBLREKAPBAHAN[[#This Row],[MODAL SATUAN]]*TBLREKAPBAHAN[[#This Row],[SISA STOK]]</f>
        <v>65000</v>
      </c>
    </row>
    <row r="56" spans="1:9" ht="15" customHeight="1" x14ac:dyDescent="0.3">
      <c r="A56" s="1" t="s">
        <v>357</v>
      </c>
      <c r="B56" s="75">
        <v>3000</v>
      </c>
      <c r="C56" s="120">
        <v>1</v>
      </c>
      <c r="D56" s="120">
        <f>TBLREKAPBAHAN[[#This Row],[MODAL]]/TBLREKAPBAHAN[[#This Row],[ISI]]</f>
        <v>3000</v>
      </c>
      <c r="E56" s="200">
        <v>25</v>
      </c>
      <c r="F56" s="120">
        <f>SUMIF(TBLBAHANMASUK[NAMA BAHAN],TBLREKAPBAHAN[[#This Row],[NAMA BAHAN]],TBLBAHANMASUK[MASUK])</f>
        <v>0</v>
      </c>
      <c r="G56" s="120">
        <f>SUMIF(TBLBAHANKELUAR[NAMA BAHAN],TBLREKAPBAHAN[[#This Row],[NAMA BAHAN]],TBLBAHANKELUAR[TOTAL BAHAN KELUAR])</f>
        <v>1</v>
      </c>
      <c r="H56" s="120">
        <f>TBLREKAPBAHAN[[#This Row],[STOK]]+TBLREKAPBAHAN[[#This Row],[MASUK]]-TBLREKAPBAHAN[[#This Row],[KELUAR]]</f>
        <v>24</v>
      </c>
      <c r="I56" s="120">
        <f>TBLREKAPBAHAN[[#This Row],[MODAL SATUAN]]*TBLREKAPBAHAN[[#This Row],[SISA STOK]]</f>
        <v>72000</v>
      </c>
    </row>
    <row r="57" spans="1:9" ht="15" customHeight="1" x14ac:dyDescent="0.3">
      <c r="A57" s="1" t="s">
        <v>358</v>
      </c>
      <c r="B57" s="75">
        <v>37500</v>
      </c>
      <c r="C57" s="120">
        <v>300</v>
      </c>
      <c r="D57" s="120">
        <f>TBLREKAPBAHAN[[#This Row],[MODAL]]/TBLREKAPBAHAN[[#This Row],[ISI]]</f>
        <v>125</v>
      </c>
      <c r="E57" s="200">
        <v>399</v>
      </c>
      <c r="F57" s="120">
        <f>SUMIF(TBLBAHANMASUK[NAMA BAHAN],TBLREKAPBAHAN[[#This Row],[NAMA BAHAN]],TBLBAHANMASUK[MASUK])</f>
        <v>0</v>
      </c>
      <c r="G57" s="120">
        <f>SUMIF(TBLBAHANKELUAR[NAMA BAHAN],TBLREKAPBAHAN[[#This Row],[NAMA BAHAN]],TBLBAHANKELUAR[TOTAL BAHAN KELUAR])</f>
        <v>10</v>
      </c>
      <c r="H57" s="120">
        <f>TBLREKAPBAHAN[[#This Row],[STOK]]+TBLREKAPBAHAN[[#This Row],[MASUK]]-TBLREKAPBAHAN[[#This Row],[KELUAR]]</f>
        <v>389</v>
      </c>
      <c r="I57" s="120">
        <f>TBLREKAPBAHAN[[#This Row],[MODAL SATUAN]]*TBLREKAPBAHAN[[#This Row],[SISA STOK]]</f>
        <v>48625</v>
      </c>
    </row>
    <row r="58" spans="1:9" ht="15" customHeight="1" x14ac:dyDescent="0.3">
      <c r="A58" s="1" t="s">
        <v>360</v>
      </c>
      <c r="B58" s="75">
        <v>5500</v>
      </c>
      <c r="C58" s="120">
        <v>100</v>
      </c>
      <c r="D58" s="120">
        <f>TBLREKAPBAHAN[[#This Row],[MODAL]]/TBLREKAPBAHAN[[#This Row],[ISI]]</f>
        <v>55</v>
      </c>
      <c r="E58" s="200">
        <v>299</v>
      </c>
      <c r="F58" s="120">
        <f>SUMIF(TBLBAHANMASUK[NAMA BAHAN],TBLREKAPBAHAN[[#This Row],[NAMA BAHAN]],TBLBAHANMASUK[MASUK])</f>
        <v>0</v>
      </c>
      <c r="G58" s="120">
        <f>SUMIF(TBLBAHANKELUAR[NAMA BAHAN],TBLREKAPBAHAN[[#This Row],[NAMA BAHAN]],TBLBAHANKELUAR[TOTAL BAHAN KELUAR])</f>
        <v>157</v>
      </c>
      <c r="H58" s="120">
        <f>TBLREKAPBAHAN[[#This Row],[STOK]]+TBLREKAPBAHAN[[#This Row],[MASUK]]-TBLREKAPBAHAN[[#This Row],[KELUAR]]</f>
        <v>142</v>
      </c>
      <c r="I58" s="120">
        <f>TBLREKAPBAHAN[[#This Row],[MODAL SATUAN]]*TBLREKAPBAHAN[[#This Row],[SISA STOK]]</f>
        <v>7810</v>
      </c>
    </row>
    <row r="59" spans="1:9" ht="15" customHeight="1" x14ac:dyDescent="0.3">
      <c r="A59" s="1" t="s">
        <v>359</v>
      </c>
      <c r="B59" s="75">
        <v>7000</v>
      </c>
      <c r="C59" s="120">
        <v>50</v>
      </c>
      <c r="D59" s="120">
        <f>TBLREKAPBAHAN[[#This Row],[MODAL]]/TBLREKAPBAHAN[[#This Row],[ISI]]</f>
        <v>140</v>
      </c>
      <c r="E59" s="200">
        <v>419</v>
      </c>
      <c r="F59" s="120">
        <f>SUMIF(TBLBAHANMASUK[NAMA BAHAN],TBLREKAPBAHAN[[#This Row],[NAMA BAHAN]],TBLBAHANMASUK[MASUK])</f>
        <v>0</v>
      </c>
      <c r="G59" s="120">
        <f>SUMIF(TBLBAHANKELUAR[NAMA BAHAN],TBLREKAPBAHAN[[#This Row],[NAMA BAHAN]],TBLBAHANKELUAR[TOTAL BAHAN KELUAR])</f>
        <v>0</v>
      </c>
      <c r="H59" s="120">
        <f>TBLREKAPBAHAN[[#This Row],[STOK]]+TBLREKAPBAHAN[[#This Row],[MASUK]]-TBLREKAPBAHAN[[#This Row],[KELUAR]]</f>
        <v>419</v>
      </c>
      <c r="I59" s="120">
        <f>TBLREKAPBAHAN[[#This Row],[MODAL SATUAN]]*TBLREKAPBAHAN[[#This Row],[SISA STOK]]</f>
        <v>58660</v>
      </c>
    </row>
    <row r="60" spans="1:9" ht="15" customHeight="1" x14ac:dyDescent="0.3">
      <c r="A60" s="1" t="s">
        <v>361</v>
      </c>
      <c r="B60" s="75">
        <v>8500</v>
      </c>
      <c r="C60" s="120">
        <v>50</v>
      </c>
      <c r="D60" s="120">
        <f>TBLREKAPBAHAN[[#This Row],[MODAL]]/TBLREKAPBAHAN[[#This Row],[ISI]]</f>
        <v>170</v>
      </c>
      <c r="E60" s="200">
        <v>77</v>
      </c>
      <c r="F60" s="120">
        <f>SUMIF(TBLBAHANMASUK[NAMA BAHAN],TBLREKAPBAHAN[[#This Row],[NAMA BAHAN]],TBLBAHANMASUK[MASUK])</f>
        <v>0</v>
      </c>
      <c r="G60" s="120">
        <f>SUMIF(TBLBAHANKELUAR[NAMA BAHAN],TBLREKAPBAHAN[[#This Row],[NAMA BAHAN]],TBLBAHANKELUAR[TOTAL BAHAN KELUAR])</f>
        <v>0</v>
      </c>
      <c r="H60" s="120">
        <f>TBLREKAPBAHAN[[#This Row],[STOK]]+TBLREKAPBAHAN[[#This Row],[MASUK]]-TBLREKAPBAHAN[[#This Row],[KELUAR]]</f>
        <v>77</v>
      </c>
      <c r="I60" s="120">
        <f>TBLREKAPBAHAN[[#This Row],[MODAL SATUAN]]*TBLREKAPBAHAN[[#This Row],[SISA STOK]]</f>
        <v>13090</v>
      </c>
    </row>
    <row r="61" spans="1:9" ht="15" customHeight="1" x14ac:dyDescent="0.3">
      <c r="A61" s="1" t="s">
        <v>362</v>
      </c>
      <c r="B61" s="75">
        <v>8000</v>
      </c>
      <c r="C61" s="120">
        <v>50</v>
      </c>
      <c r="D61" s="120">
        <f>TBLREKAPBAHAN[[#This Row],[MODAL]]/TBLREKAPBAHAN[[#This Row],[ISI]]</f>
        <v>160</v>
      </c>
      <c r="E61" s="200">
        <v>180</v>
      </c>
      <c r="F61" s="120">
        <f>SUMIF(TBLBAHANMASUK[NAMA BAHAN],TBLREKAPBAHAN[[#This Row],[NAMA BAHAN]],TBLBAHANMASUK[MASUK])</f>
        <v>0</v>
      </c>
      <c r="G61" s="120">
        <f>SUMIF(TBLBAHANKELUAR[NAMA BAHAN],TBLREKAPBAHAN[[#This Row],[NAMA BAHAN]],TBLBAHANKELUAR[TOTAL BAHAN KELUAR])</f>
        <v>0</v>
      </c>
      <c r="H61" s="120">
        <f>TBLREKAPBAHAN[[#This Row],[STOK]]+TBLREKAPBAHAN[[#This Row],[MASUK]]-TBLREKAPBAHAN[[#This Row],[KELUAR]]</f>
        <v>180</v>
      </c>
      <c r="I61" s="120">
        <f>TBLREKAPBAHAN[[#This Row],[MODAL SATUAN]]*TBLREKAPBAHAN[[#This Row],[SISA STOK]]</f>
        <v>28800</v>
      </c>
    </row>
    <row r="62" spans="1:9" ht="15" customHeight="1" x14ac:dyDescent="0.3">
      <c r="A62" s="1" t="s">
        <v>364</v>
      </c>
      <c r="B62" s="75">
        <v>1000</v>
      </c>
      <c r="C62" s="120">
        <v>2</v>
      </c>
      <c r="D62" s="120">
        <f>TBLREKAPBAHAN[[#This Row],[MODAL]]/TBLREKAPBAHAN[[#This Row],[ISI]]</f>
        <v>500</v>
      </c>
      <c r="E62" s="200">
        <v>99</v>
      </c>
      <c r="F62" s="120">
        <f>SUMIF(TBLBAHANMASUK[NAMA BAHAN],TBLREKAPBAHAN[[#This Row],[NAMA BAHAN]],TBLBAHANMASUK[MASUK])</f>
        <v>0</v>
      </c>
      <c r="G62" s="120">
        <f>SUMIF(TBLBAHANKELUAR[NAMA BAHAN],TBLREKAPBAHAN[[#This Row],[NAMA BAHAN]],TBLBAHANKELUAR[TOTAL BAHAN KELUAR])</f>
        <v>9</v>
      </c>
      <c r="H62" s="120">
        <f>TBLREKAPBAHAN[[#This Row],[STOK]]+TBLREKAPBAHAN[[#This Row],[MASUK]]-TBLREKAPBAHAN[[#This Row],[KELUAR]]</f>
        <v>90</v>
      </c>
      <c r="I62" s="120">
        <f>TBLREKAPBAHAN[[#This Row],[MODAL SATUAN]]*TBLREKAPBAHAN[[#This Row],[SISA STOK]]</f>
        <v>45000</v>
      </c>
    </row>
    <row r="63" spans="1:9" ht="15" customHeight="1" x14ac:dyDescent="0.3">
      <c r="A63" s="1" t="s">
        <v>365</v>
      </c>
      <c r="B63" s="75">
        <v>1000</v>
      </c>
      <c r="C63" s="120">
        <v>1</v>
      </c>
      <c r="D63" s="120">
        <f>TBLREKAPBAHAN[[#This Row],[MODAL]]/TBLREKAPBAHAN[[#This Row],[ISI]]</f>
        <v>1000</v>
      </c>
      <c r="E63" s="200">
        <v>85</v>
      </c>
      <c r="F63" s="120">
        <f>SUMIF(TBLBAHANMASUK[NAMA BAHAN],TBLREKAPBAHAN[[#This Row],[NAMA BAHAN]],TBLBAHANMASUK[MASUK])</f>
        <v>0</v>
      </c>
      <c r="G63" s="120">
        <f>SUMIF(TBLBAHANKELUAR[NAMA BAHAN],TBLREKAPBAHAN[[#This Row],[NAMA BAHAN]],TBLBAHANKELUAR[TOTAL BAHAN KELUAR])</f>
        <v>1</v>
      </c>
      <c r="H63" s="120">
        <f>TBLREKAPBAHAN[[#This Row],[STOK]]+TBLREKAPBAHAN[[#This Row],[MASUK]]-TBLREKAPBAHAN[[#This Row],[KELUAR]]</f>
        <v>84</v>
      </c>
      <c r="I63" s="120">
        <f>TBLREKAPBAHAN[[#This Row],[MODAL SATUAN]]*TBLREKAPBAHAN[[#This Row],[SISA STOK]]</f>
        <v>84000</v>
      </c>
    </row>
    <row r="64" spans="1:9" ht="15" customHeight="1" x14ac:dyDescent="0.3">
      <c r="A64" s="1" t="s">
        <v>368</v>
      </c>
      <c r="B64" s="75">
        <v>5000</v>
      </c>
      <c r="C64" s="120">
        <v>100</v>
      </c>
      <c r="D64" s="120">
        <f>TBLREKAPBAHAN[[#This Row],[MODAL]]/TBLREKAPBAHAN[[#This Row],[ISI]]</f>
        <v>50</v>
      </c>
      <c r="E64" s="200">
        <v>119</v>
      </c>
      <c r="F64" s="120">
        <f>SUMIF(TBLBAHANMASUK[NAMA BAHAN],TBLREKAPBAHAN[[#This Row],[NAMA BAHAN]],TBLBAHANMASUK[MASUK])</f>
        <v>0</v>
      </c>
      <c r="G64" s="120">
        <f>SUMIF(TBLBAHANKELUAR[NAMA BAHAN],TBLREKAPBAHAN[[#This Row],[NAMA BAHAN]],TBLBAHANKELUAR[TOTAL BAHAN KELUAR])</f>
        <v>0</v>
      </c>
      <c r="H64" s="120">
        <f>TBLREKAPBAHAN[[#This Row],[STOK]]+TBLREKAPBAHAN[[#This Row],[MASUK]]-TBLREKAPBAHAN[[#This Row],[KELUAR]]</f>
        <v>119</v>
      </c>
      <c r="I64" s="120">
        <f>TBLREKAPBAHAN[[#This Row],[MODAL SATUAN]]*TBLREKAPBAHAN[[#This Row],[SISA STOK]]</f>
        <v>5950</v>
      </c>
    </row>
    <row r="65" spans="1:9" ht="15" customHeight="1" x14ac:dyDescent="0.3">
      <c r="A65" s="1" t="s">
        <v>369</v>
      </c>
      <c r="B65" s="75">
        <v>6000</v>
      </c>
      <c r="C65" s="120">
        <v>100</v>
      </c>
      <c r="D65" s="120">
        <f>TBLREKAPBAHAN[[#This Row],[MODAL]]/TBLREKAPBAHAN[[#This Row],[ISI]]</f>
        <v>60</v>
      </c>
      <c r="E65" s="200">
        <v>187</v>
      </c>
      <c r="F65" s="120">
        <f>SUMIF(TBLBAHANMASUK[NAMA BAHAN],TBLREKAPBAHAN[[#This Row],[NAMA BAHAN]],TBLBAHANMASUK[MASUK])</f>
        <v>0</v>
      </c>
      <c r="G65" s="120">
        <f>SUMIF(TBLBAHANKELUAR[NAMA BAHAN],TBLREKAPBAHAN[[#This Row],[NAMA BAHAN]],TBLBAHANKELUAR[TOTAL BAHAN KELUAR])</f>
        <v>0</v>
      </c>
      <c r="H65" s="120">
        <f>TBLREKAPBAHAN[[#This Row],[STOK]]+TBLREKAPBAHAN[[#This Row],[MASUK]]-TBLREKAPBAHAN[[#This Row],[KELUAR]]</f>
        <v>187</v>
      </c>
      <c r="I65" s="120">
        <f>TBLREKAPBAHAN[[#This Row],[MODAL SATUAN]]*TBLREKAPBAHAN[[#This Row],[SISA STOK]]</f>
        <v>11220</v>
      </c>
    </row>
    <row r="66" spans="1:9" ht="15" customHeight="1" x14ac:dyDescent="0.3">
      <c r="A66" s="1" t="s">
        <v>370</v>
      </c>
      <c r="B66" s="86">
        <v>8000</v>
      </c>
      <c r="C66" s="120">
        <v>100</v>
      </c>
      <c r="D66" s="120">
        <f>TBLREKAPBAHAN[[#This Row],[MODAL]]/TBLREKAPBAHAN[[#This Row],[ISI]]</f>
        <v>80</v>
      </c>
      <c r="E66" s="200">
        <v>66</v>
      </c>
      <c r="F66" s="120">
        <f>SUMIF(TBLBAHANMASUK[NAMA BAHAN],TBLREKAPBAHAN[[#This Row],[NAMA BAHAN]],TBLBAHANMASUK[MASUK])</f>
        <v>0</v>
      </c>
      <c r="G66" s="120">
        <f>SUMIF(TBLBAHANKELUAR[NAMA BAHAN],TBLREKAPBAHAN[[#This Row],[NAMA BAHAN]],TBLBAHANKELUAR[TOTAL BAHAN KELUAR])</f>
        <v>0</v>
      </c>
      <c r="H66" s="120">
        <f>TBLREKAPBAHAN[[#This Row],[STOK]]+TBLREKAPBAHAN[[#This Row],[MASUK]]-TBLREKAPBAHAN[[#This Row],[KELUAR]]</f>
        <v>66</v>
      </c>
      <c r="I66" s="120">
        <f>TBLREKAPBAHAN[[#This Row],[MODAL SATUAN]]*TBLREKAPBAHAN[[#This Row],[SISA STOK]]</f>
        <v>5280</v>
      </c>
    </row>
    <row r="67" spans="1:9" ht="15" customHeight="1" x14ac:dyDescent="0.3">
      <c r="A67" s="1" t="s">
        <v>371</v>
      </c>
      <c r="B67" s="86">
        <v>12000</v>
      </c>
      <c r="C67" s="120">
        <v>100</v>
      </c>
      <c r="D67" s="120">
        <f>TBLREKAPBAHAN[[#This Row],[MODAL]]/TBLREKAPBAHAN[[#This Row],[ISI]]</f>
        <v>120</v>
      </c>
      <c r="E67" s="200">
        <v>100</v>
      </c>
      <c r="F67" s="120">
        <f>SUMIF(TBLBAHANMASUK[NAMA BAHAN],TBLREKAPBAHAN[[#This Row],[NAMA BAHAN]],TBLBAHANMASUK[MASUK])</f>
        <v>0</v>
      </c>
      <c r="G67" s="120">
        <f>SUMIF(TBLBAHANKELUAR[NAMA BAHAN],TBLREKAPBAHAN[[#This Row],[NAMA BAHAN]],TBLBAHANKELUAR[TOTAL BAHAN KELUAR])</f>
        <v>0</v>
      </c>
      <c r="H67" s="120">
        <f>TBLREKAPBAHAN[[#This Row],[STOK]]+TBLREKAPBAHAN[[#This Row],[MASUK]]-TBLREKAPBAHAN[[#This Row],[KELUAR]]</f>
        <v>100</v>
      </c>
      <c r="I67" s="120">
        <f>TBLREKAPBAHAN[[#This Row],[MODAL SATUAN]]*TBLREKAPBAHAN[[#This Row],[SISA STOK]]</f>
        <v>12000</v>
      </c>
    </row>
    <row r="68" spans="1:9" ht="15" customHeight="1" x14ac:dyDescent="0.3">
      <c r="A68" s="1" t="s">
        <v>423</v>
      </c>
      <c r="B68" s="75">
        <v>3500</v>
      </c>
      <c r="C68" s="120">
        <v>100</v>
      </c>
      <c r="D68" s="120">
        <f>TBLREKAPBAHAN[[#This Row],[MODAL]]/TBLREKAPBAHAN[[#This Row],[ISI]]</f>
        <v>35</v>
      </c>
      <c r="E68" s="200">
        <v>49</v>
      </c>
      <c r="F68" s="120">
        <f>SUMIF(TBLBAHANMASUK[NAMA BAHAN],TBLREKAPBAHAN[[#This Row],[NAMA BAHAN]],TBLBAHANMASUK[MASUK])</f>
        <v>0</v>
      </c>
      <c r="G68" s="120">
        <f>SUMIF(TBLBAHANKELUAR[NAMA BAHAN],TBLREKAPBAHAN[[#This Row],[NAMA BAHAN]],TBLBAHANKELUAR[TOTAL BAHAN KELUAR])</f>
        <v>0</v>
      </c>
      <c r="H68" s="120">
        <f>TBLREKAPBAHAN[[#This Row],[STOK]]+TBLREKAPBAHAN[[#This Row],[MASUK]]-TBLREKAPBAHAN[[#This Row],[KELUAR]]</f>
        <v>49</v>
      </c>
      <c r="I68" s="120">
        <f>TBLREKAPBAHAN[[#This Row],[MODAL SATUAN]]*TBLREKAPBAHAN[[#This Row],[SISA STOK]]</f>
        <v>1715</v>
      </c>
    </row>
    <row r="69" spans="1:9" ht="15" customHeight="1" x14ac:dyDescent="0.3">
      <c r="A69" s="1" t="s">
        <v>445</v>
      </c>
      <c r="B69" s="75">
        <v>17000</v>
      </c>
      <c r="C69" s="120">
        <v>1000</v>
      </c>
      <c r="D69" s="120">
        <f>TBLREKAPBAHAN[[#This Row],[MODAL]]/TBLREKAPBAHAN[[#This Row],[ISI]]</f>
        <v>17</v>
      </c>
      <c r="E69" s="200">
        <v>44</v>
      </c>
      <c r="F69" s="120">
        <f>SUMIF(TBLBAHANMASUK[NAMA BAHAN],TBLREKAPBAHAN[[#This Row],[NAMA BAHAN]],TBLBAHANMASUK[MASUK])</f>
        <v>0</v>
      </c>
      <c r="G69" s="120">
        <f>SUMIF(TBLBAHANKELUAR[NAMA BAHAN],TBLREKAPBAHAN[[#This Row],[NAMA BAHAN]],TBLBAHANKELUAR[TOTAL BAHAN KELUAR])</f>
        <v>0</v>
      </c>
      <c r="H69" s="120">
        <f>TBLREKAPBAHAN[[#This Row],[STOK]]+TBLREKAPBAHAN[[#This Row],[MASUK]]-TBLREKAPBAHAN[[#This Row],[KELUAR]]</f>
        <v>44</v>
      </c>
      <c r="I69" s="120">
        <f>TBLREKAPBAHAN[[#This Row],[MODAL SATUAN]]*TBLREKAPBAHAN[[#This Row],[SISA STOK]]</f>
        <v>748</v>
      </c>
    </row>
    <row r="70" spans="1:9" ht="15" customHeight="1" x14ac:dyDescent="0.3">
      <c r="A70" s="1" t="s">
        <v>459</v>
      </c>
      <c r="B70" s="86">
        <v>85000</v>
      </c>
      <c r="C70" s="120">
        <v>1000</v>
      </c>
      <c r="D70" s="120">
        <f>TBLREKAPBAHAN[[#This Row],[MODAL]]/TBLREKAPBAHAN[[#This Row],[ISI]]</f>
        <v>85</v>
      </c>
      <c r="E70" s="200">
        <v>985</v>
      </c>
      <c r="F70" s="120">
        <f>SUMIF(TBLBAHANMASUK[NAMA BAHAN],TBLREKAPBAHAN[[#This Row],[NAMA BAHAN]],TBLBAHANMASUK[MASUK])</f>
        <v>1000</v>
      </c>
      <c r="G70" s="120">
        <f>SUMIF(TBLBAHANKELUAR[NAMA BAHAN],TBLREKAPBAHAN[[#This Row],[NAMA BAHAN]],TBLBAHANKELUAR[TOTAL BAHAN KELUAR])</f>
        <v>1065</v>
      </c>
      <c r="H70" s="120">
        <f>TBLREKAPBAHAN[[#This Row],[STOK]]+TBLREKAPBAHAN[[#This Row],[MASUK]]-TBLREKAPBAHAN[[#This Row],[KELUAR]]</f>
        <v>920</v>
      </c>
      <c r="I70" s="120">
        <f>TBLREKAPBAHAN[[#This Row],[MODAL SATUAN]]*TBLREKAPBAHAN[[#This Row],[SISA STOK]]</f>
        <v>78200</v>
      </c>
    </row>
    <row r="71" spans="1:9" ht="15" customHeight="1" x14ac:dyDescent="0.3">
      <c r="A71" s="1" t="s">
        <v>581</v>
      </c>
      <c r="B71" s="86">
        <v>5500</v>
      </c>
      <c r="C71" s="120">
        <v>100</v>
      </c>
      <c r="D71" s="120">
        <f>TBLREKAPBAHAN[[#This Row],[MODAL]]/TBLREKAPBAHAN[[#This Row],[ISI]]</f>
        <v>55</v>
      </c>
      <c r="E71" s="200">
        <v>0</v>
      </c>
      <c r="F71" s="120">
        <f>SUMIF(TBLBAHANMASUK[NAMA BAHAN],TBLREKAPBAHAN[[#This Row],[NAMA BAHAN]],TBLBAHANMASUK[MASUK])</f>
        <v>100</v>
      </c>
      <c r="G71" s="120">
        <f>SUMIF(TBLBAHANKELUAR[NAMA BAHAN],TBLREKAPBAHAN[[#This Row],[NAMA BAHAN]],TBLBAHANKELUAR[TOTAL BAHAN KELUAR])</f>
        <v>0</v>
      </c>
      <c r="H71" s="120">
        <f>TBLREKAPBAHAN[[#This Row],[STOK]]+TBLREKAPBAHAN[[#This Row],[MASUK]]-TBLREKAPBAHAN[[#This Row],[KELUAR]]</f>
        <v>100</v>
      </c>
      <c r="I71" s="120">
        <f>TBLREKAPBAHAN[[#This Row],[MODAL SATUAN]]*TBLREKAPBAHAN[[#This Row],[SISA STOK]]</f>
        <v>5500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scale="75" orientation="landscape" horizontalDpi="4294967293" r:id="rId1"/>
  <ignoredErrors>
    <ignoredError sqref="C7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4"/>
  <sheetViews>
    <sheetView topLeftCell="A45" zoomScale="70" zoomScaleNormal="70" workbookViewId="0">
      <selection activeCell="J75" sqref="J75"/>
    </sheetView>
  </sheetViews>
  <sheetFormatPr defaultRowHeight="14.4" x14ac:dyDescent="0.3"/>
  <cols>
    <col min="1" max="3" width="14.5546875" customWidth="1"/>
    <col min="4" max="4" width="44.109375" customWidth="1"/>
    <col min="5" max="8" width="12.88671875" customWidth="1"/>
    <col min="9" max="9" width="12.88671875" style="74" customWidth="1"/>
    <col min="10" max="14" width="12.88671875" customWidth="1"/>
    <col min="15" max="15" width="14.44140625" customWidth="1"/>
    <col min="16" max="20" width="12.88671875" customWidth="1"/>
    <col min="21" max="231" width="9.109375"/>
    <col min="232" max="232" width="14.5546875" customWidth="1"/>
    <col min="233" max="233" width="45.5546875" customWidth="1"/>
    <col min="234" max="234" width="34.33203125" customWidth="1"/>
    <col min="235" max="235" width="19.109375" customWidth="1"/>
    <col min="236" max="236" width="29.5546875" customWidth="1"/>
    <col min="237" max="238" width="17.5546875" customWidth="1"/>
    <col min="239" max="239" width="18.6640625" customWidth="1"/>
    <col min="240" max="240" width="16.33203125" customWidth="1"/>
    <col min="241" max="241" width="20.33203125" customWidth="1"/>
    <col min="242" max="243" width="16.44140625" customWidth="1"/>
    <col min="244" max="244" width="15.109375" customWidth="1"/>
    <col min="245" max="487" width="9.109375"/>
    <col min="488" max="488" width="14.5546875" customWidth="1"/>
    <col min="489" max="489" width="45.5546875" customWidth="1"/>
    <col min="490" max="490" width="34.33203125" customWidth="1"/>
    <col min="491" max="491" width="19.109375" customWidth="1"/>
    <col min="492" max="492" width="29.5546875" customWidth="1"/>
    <col min="493" max="494" width="17.5546875" customWidth="1"/>
    <col min="495" max="495" width="18.6640625" customWidth="1"/>
    <col min="496" max="496" width="16.33203125" customWidth="1"/>
    <col min="497" max="497" width="20.33203125" customWidth="1"/>
    <col min="498" max="499" width="16.44140625" customWidth="1"/>
    <col min="500" max="500" width="15.109375" customWidth="1"/>
    <col min="501" max="743" width="9.109375"/>
    <col min="744" max="744" width="14.5546875" customWidth="1"/>
    <col min="745" max="745" width="45.5546875" customWidth="1"/>
    <col min="746" max="746" width="34.33203125" customWidth="1"/>
    <col min="747" max="747" width="19.109375" customWidth="1"/>
    <col min="748" max="748" width="29.5546875" customWidth="1"/>
    <col min="749" max="750" width="17.5546875" customWidth="1"/>
    <col min="751" max="751" width="18.6640625" customWidth="1"/>
    <col min="752" max="752" width="16.33203125" customWidth="1"/>
    <col min="753" max="753" width="20.33203125" customWidth="1"/>
    <col min="754" max="755" width="16.44140625" customWidth="1"/>
    <col min="756" max="756" width="15.109375" customWidth="1"/>
    <col min="757" max="999" width="9.109375"/>
    <col min="1000" max="1000" width="14.5546875" customWidth="1"/>
    <col min="1001" max="1001" width="45.5546875" customWidth="1"/>
    <col min="1002" max="1002" width="34.33203125" customWidth="1"/>
    <col min="1003" max="1003" width="19.109375" customWidth="1"/>
    <col min="1004" max="1004" width="29.5546875" customWidth="1"/>
    <col min="1005" max="1006" width="17.5546875" customWidth="1"/>
    <col min="1007" max="1007" width="18.6640625" customWidth="1"/>
    <col min="1008" max="1008" width="16.33203125" customWidth="1"/>
    <col min="1009" max="1009" width="20.33203125" customWidth="1"/>
    <col min="1010" max="1011" width="16.44140625" customWidth="1"/>
    <col min="1012" max="1012" width="15.109375" customWidth="1"/>
    <col min="1013" max="1255" width="9.109375"/>
    <col min="1256" max="1256" width="14.5546875" customWidth="1"/>
    <col min="1257" max="1257" width="45.5546875" customWidth="1"/>
    <col min="1258" max="1258" width="34.33203125" customWidth="1"/>
    <col min="1259" max="1259" width="19.109375" customWidth="1"/>
    <col min="1260" max="1260" width="29.5546875" customWidth="1"/>
    <col min="1261" max="1262" width="17.5546875" customWidth="1"/>
    <col min="1263" max="1263" width="18.6640625" customWidth="1"/>
    <col min="1264" max="1264" width="16.33203125" customWidth="1"/>
    <col min="1265" max="1265" width="20.33203125" customWidth="1"/>
    <col min="1266" max="1267" width="16.44140625" customWidth="1"/>
    <col min="1268" max="1268" width="15.109375" customWidth="1"/>
    <col min="1269" max="1511" width="9.109375"/>
    <col min="1512" max="1512" width="14.5546875" customWidth="1"/>
    <col min="1513" max="1513" width="45.5546875" customWidth="1"/>
    <col min="1514" max="1514" width="34.33203125" customWidth="1"/>
    <col min="1515" max="1515" width="19.109375" customWidth="1"/>
    <col min="1516" max="1516" width="29.5546875" customWidth="1"/>
    <col min="1517" max="1518" width="17.5546875" customWidth="1"/>
    <col min="1519" max="1519" width="18.6640625" customWidth="1"/>
    <col min="1520" max="1520" width="16.33203125" customWidth="1"/>
    <col min="1521" max="1521" width="20.33203125" customWidth="1"/>
    <col min="1522" max="1523" width="16.44140625" customWidth="1"/>
    <col min="1524" max="1524" width="15.109375" customWidth="1"/>
    <col min="1525" max="1767" width="9.109375"/>
    <col min="1768" max="1768" width="14.5546875" customWidth="1"/>
    <col min="1769" max="1769" width="45.5546875" customWidth="1"/>
    <col min="1770" max="1770" width="34.33203125" customWidth="1"/>
    <col min="1771" max="1771" width="19.109375" customWidth="1"/>
    <col min="1772" max="1772" width="29.5546875" customWidth="1"/>
    <col min="1773" max="1774" width="17.5546875" customWidth="1"/>
    <col min="1775" max="1775" width="18.6640625" customWidth="1"/>
    <col min="1776" max="1776" width="16.33203125" customWidth="1"/>
    <col min="1777" max="1777" width="20.33203125" customWidth="1"/>
    <col min="1778" max="1779" width="16.44140625" customWidth="1"/>
    <col min="1780" max="1780" width="15.109375" customWidth="1"/>
    <col min="1781" max="2023" width="9.109375"/>
    <col min="2024" max="2024" width="14.5546875" customWidth="1"/>
    <col min="2025" max="2025" width="45.5546875" customWidth="1"/>
    <col min="2026" max="2026" width="34.33203125" customWidth="1"/>
    <col min="2027" max="2027" width="19.109375" customWidth="1"/>
    <col min="2028" max="2028" width="29.5546875" customWidth="1"/>
    <col min="2029" max="2030" width="17.5546875" customWidth="1"/>
    <col min="2031" max="2031" width="18.6640625" customWidth="1"/>
    <col min="2032" max="2032" width="16.33203125" customWidth="1"/>
    <col min="2033" max="2033" width="20.33203125" customWidth="1"/>
    <col min="2034" max="2035" width="16.44140625" customWidth="1"/>
    <col min="2036" max="2036" width="15.109375" customWidth="1"/>
    <col min="2037" max="2279" width="9.109375"/>
    <col min="2280" max="2280" width="14.5546875" customWidth="1"/>
    <col min="2281" max="2281" width="45.5546875" customWidth="1"/>
    <col min="2282" max="2282" width="34.33203125" customWidth="1"/>
    <col min="2283" max="2283" width="19.109375" customWidth="1"/>
    <col min="2284" max="2284" width="29.5546875" customWidth="1"/>
    <col min="2285" max="2286" width="17.5546875" customWidth="1"/>
    <col min="2287" max="2287" width="18.6640625" customWidth="1"/>
    <col min="2288" max="2288" width="16.33203125" customWidth="1"/>
    <col min="2289" max="2289" width="20.33203125" customWidth="1"/>
    <col min="2290" max="2291" width="16.44140625" customWidth="1"/>
    <col min="2292" max="2292" width="15.109375" customWidth="1"/>
    <col min="2293" max="2535" width="9.109375"/>
    <col min="2536" max="2536" width="14.5546875" customWidth="1"/>
    <col min="2537" max="2537" width="45.5546875" customWidth="1"/>
    <col min="2538" max="2538" width="34.33203125" customWidth="1"/>
    <col min="2539" max="2539" width="19.109375" customWidth="1"/>
    <col min="2540" max="2540" width="29.5546875" customWidth="1"/>
    <col min="2541" max="2542" width="17.5546875" customWidth="1"/>
    <col min="2543" max="2543" width="18.6640625" customWidth="1"/>
    <col min="2544" max="2544" width="16.33203125" customWidth="1"/>
    <col min="2545" max="2545" width="20.33203125" customWidth="1"/>
    <col min="2546" max="2547" width="16.44140625" customWidth="1"/>
    <col min="2548" max="2548" width="15.109375" customWidth="1"/>
    <col min="2549" max="2791" width="9.109375"/>
    <col min="2792" max="2792" width="14.5546875" customWidth="1"/>
    <col min="2793" max="2793" width="45.5546875" customWidth="1"/>
    <col min="2794" max="2794" width="34.33203125" customWidth="1"/>
    <col min="2795" max="2795" width="19.109375" customWidth="1"/>
    <col min="2796" max="2796" width="29.5546875" customWidth="1"/>
    <col min="2797" max="2798" width="17.5546875" customWidth="1"/>
    <col min="2799" max="2799" width="18.6640625" customWidth="1"/>
    <col min="2800" max="2800" width="16.33203125" customWidth="1"/>
    <col min="2801" max="2801" width="20.33203125" customWidth="1"/>
    <col min="2802" max="2803" width="16.44140625" customWidth="1"/>
    <col min="2804" max="2804" width="15.109375" customWidth="1"/>
    <col min="2805" max="3047" width="9.109375"/>
    <col min="3048" max="3048" width="14.5546875" customWidth="1"/>
    <col min="3049" max="3049" width="45.5546875" customWidth="1"/>
    <col min="3050" max="3050" width="34.33203125" customWidth="1"/>
    <col min="3051" max="3051" width="19.109375" customWidth="1"/>
    <col min="3052" max="3052" width="29.5546875" customWidth="1"/>
    <col min="3053" max="3054" width="17.5546875" customWidth="1"/>
    <col min="3055" max="3055" width="18.6640625" customWidth="1"/>
    <col min="3056" max="3056" width="16.33203125" customWidth="1"/>
    <col min="3057" max="3057" width="20.33203125" customWidth="1"/>
    <col min="3058" max="3059" width="16.44140625" customWidth="1"/>
    <col min="3060" max="3060" width="15.109375" customWidth="1"/>
    <col min="3061" max="3303" width="9.109375"/>
    <col min="3304" max="3304" width="14.5546875" customWidth="1"/>
    <col min="3305" max="3305" width="45.5546875" customWidth="1"/>
    <col min="3306" max="3306" width="34.33203125" customWidth="1"/>
    <col min="3307" max="3307" width="19.109375" customWidth="1"/>
    <col min="3308" max="3308" width="29.5546875" customWidth="1"/>
    <col min="3309" max="3310" width="17.5546875" customWidth="1"/>
    <col min="3311" max="3311" width="18.6640625" customWidth="1"/>
    <col min="3312" max="3312" width="16.33203125" customWidth="1"/>
    <col min="3313" max="3313" width="20.33203125" customWidth="1"/>
    <col min="3314" max="3315" width="16.44140625" customWidth="1"/>
    <col min="3316" max="3316" width="15.109375" customWidth="1"/>
    <col min="3317" max="3559" width="9.109375"/>
    <col min="3560" max="3560" width="14.5546875" customWidth="1"/>
    <col min="3561" max="3561" width="45.5546875" customWidth="1"/>
    <col min="3562" max="3562" width="34.33203125" customWidth="1"/>
    <col min="3563" max="3563" width="19.109375" customWidth="1"/>
    <col min="3564" max="3564" width="29.5546875" customWidth="1"/>
    <col min="3565" max="3566" width="17.5546875" customWidth="1"/>
    <col min="3567" max="3567" width="18.6640625" customWidth="1"/>
    <col min="3568" max="3568" width="16.33203125" customWidth="1"/>
    <col min="3569" max="3569" width="20.33203125" customWidth="1"/>
    <col min="3570" max="3571" width="16.44140625" customWidth="1"/>
    <col min="3572" max="3572" width="15.109375" customWidth="1"/>
    <col min="3573" max="3815" width="9.109375"/>
    <col min="3816" max="3816" width="14.5546875" customWidth="1"/>
    <col min="3817" max="3817" width="45.5546875" customWidth="1"/>
    <col min="3818" max="3818" width="34.33203125" customWidth="1"/>
    <col min="3819" max="3819" width="19.109375" customWidth="1"/>
    <col min="3820" max="3820" width="29.5546875" customWidth="1"/>
    <col min="3821" max="3822" width="17.5546875" customWidth="1"/>
    <col min="3823" max="3823" width="18.6640625" customWidth="1"/>
    <col min="3824" max="3824" width="16.33203125" customWidth="1"/>
    <col min="3825" max="3825" width="20.33203125" customWidth="1"/>
    <col min="3826" max="3827" width="16.44140625" customWidth="1"/>
    <col min="3828" max="3828" width="15.109375" customWidth="1"/>
    <col min="3829" max="4071" width="9.109375"/>
    <col min="4072" max="4072" width="14.5546875" customWidth="1"/>
    <col min="4073" max="4073" width="45.5546875" customWidth="1"/>
    <col min="4074" max="4074" width="34.33203125" customWidth="1"/>
    <col min="4075" max="4075" width="19.109375" customWidth="1"/>
    <col min="4076" max="4076" width="29.5546875" customWidth="1"/>
    <col min="4077" max="4078" width="17.5546875" customWidth="1"/>
    <col min="4079" max="4079" width="18.6640625" customWidth="1"/>
    <col min="4080" max="4080" width="16.33203125" customWidth="1"/>
    <col min="4081" max="4081" width="20.33203125" customWidth="1"/>
    <col min="4082" max="4083" width="16.44140625" customWidth="1"/>
    <col min="4084" max="4084" width="15.109375" customWidth="1"/>
    <col min="4085" max="4327" width="9.109375"/>
    <col min="4328" max="4328" width="14.5546875" customWidth="1"/>
    <col min="4329" max="4329" width="45.5546875" customWidth="1"/>
    <col min="4330" max="4330" width="34.33203125" customWidth="1"/>
    <col min="4331" max="4331" width="19.109375" customWidth="1"/>
    <col min="4332" max="4332" width="29.5546875" customWidth="1"/>
    <col min="4333" max="4334" width="17.5546875" customWidth="1"/>
    <col min="4335" max="4335" width="18.6640625" customWidth="1"/>
    <col min="4336" max="4336" width="16.33203125" customWidth="1"/>
    <col min="4337" max="4337" width="20.33203125" customWidth="1"/>
    <col min="4338" max="4339" width="16.44140625" customWidth="1"/>
    <col min="4340" max="4340" width="15.109375" customWidth="1"/>
    <col min="4341" max="4583" width="9.109375"/>
    <col min="4584" max="4584" width="14.5546875" customWidth="1"/>
    <col min="4585" max="4585" width="45.5546875" customWidth="1"/>
    <col min="4586" max="4586" width="34.33203125" customWidth="1"/>
    <col min="4587" max="4587" width="19.109375" customWidth="1"/>
    <col min="4588" max="4588" width="29.5546875" customWidth="1"/>
    <col min="4589" max="4590" width="17.5546875" customWidth="1"/>
    <col min="4591" max="4591" width="18.6640625" customWidth="1"/>
    <col min="4592" max="4592" width="16.33203125" customWidth="1"/>
    <col min="4593" max="4593" width="20.33203125" customWidth="1"/>
    <col min="4594" max="4595" width="16.44140625" customWidth="1"/>
    <col min="4596" max="4596" width="15.109375" customWidth="1"/>
    <col min="4597" max="4839" width="9.109375"/>
    <col min="4840" max="4840" width="14.5546875" customWidth="1"/>
    <col min="4841" max="4841" width="45.5546875" customWidth="1"/>
    <col min="4842" max="4842" width="34.33203125" customWidth="1"/>
    <col min="4843" max="4843" width="19.109375" customWidth="1"/>
    <col min="4844" max="4844" width="29.5546875" customWidth="1"/>
    <col min="4845" max="4846" width="17.5546875" customWidth="1"/>
    <col min="4847" max="4847" width="18.6640625" customWidth="1"/>
    <col min="4848" max="4848" width="16.33203125" customWidth="1"/>
    <col min="4849" max="4849" width="20.33203125" customWidth="1"/>
    <col min="4850" max="4851" width="16.44140625" customWidth="1"/>
    <col min="4852" max="4852" width="15.109375" customWidth="1"/>
    <col min="4853" max="5095" width="9.109375"/>
    <col min="5096" max="5096" width="14.5546875" customWidth="1"/>
    <col min="5097" max="5097" width="45.5546875" customWidth="1"/>
    <col min="5098" max="5098" width="34.33203125" customWidth="1"/>
    <col min="5099" max="5099" width="19.109375" customWidth="1"/>
    <col min="5100" max="5100" width="29.5546875" customWidth="1"/>
    <col min="5101" max="5102" width="17.5546875" customWidth="1"/>
    <col min="5103" max="5103" width="18.6640625" customWidth="1"/>
    <col min="5104" max="5104" width="16.33203125" customWidth="1"/>
    <col min="5105" max="5105" width="20.33203125" customWidth="1"/>
    <col min="5106" max="5107" width="16.44140625" customWidth="1"/>
    <col min="5108" max="5108" width="15.109375" customWidth="1"/>
    <col min="5109" max="5351" width="9.109375"/>
    <col min="5352" max="5352" width="14.5546875" customWidth="1"/>
    <col min="5353" max="5353" width="45.5546875" customWidth="1"/>
    <col min="5354" max="5354" width="34.33203125" customWidth="1"/>
    <col min="5355" max="5355" width="19.109375" customWidth="1"/>
    <col min="5356" max="5356" width="29.5546875" customWidth="1"/>
    <col min="5357" max="5358" width="17.5546875" customWidth="1"/>
    <col min="5359" max="5359" width="18.6640625" customWidth="1"/>
    <col min="5360" max="5360" width="16.33203125" customWidth="1"/>
    <col min="5361" max="5361" width="20.33203125" customWidth="1"/>
    <col min="5362" max="5363" width="16.44140625" customWidth="1"/>
    <col min="5364" max="5364" width="15.109375" customWidth="1"/>
    <col min="5365" max="5607" width="9.109375"/>
    <col min="5608" max="5608" width="14.5546875" customWidth="1"/>
    <col min="5609" max="5609" width="45.5546875" customWidth="1"/>
    <col min="5610" max="5610" width="34.33203125" customWidth="1"/>
    <col min="5611" max="5611" width="19.109375" customWidth="1"/>
    <col min="5612" max="5612" width="29.5546875" customWidth="1"/>
    <col min="5613" max="5614" width="17.5546875" customWidth="1"/>
    <col min="5615" max="5615" width="18.6640625" customWidth="1"/>
    <col min="5616" max="5616" width="16.33203125" customWidth="1"/>
    <col min="5617" max="5617" width="20.33203125" customWidth="1"/>
    <col min="5618" max="5619" width="16.44140625" customWidth="1"/>
    <col min="5620" max="5620" width="15.109375" customWidth="1"/>
    <col min="5621" max="5863" width="9.109375"/>
    <col min="5864" max="5864" width="14.5546875" customWidth="1"/>
    <col min="5865" max="5865" width="45.5546875" customWidth="1"/>
    <col min="5866" max="5866" width="34.33203125" customWidth="1"/>
    <col min="5867" max="5867" width="19.109375" customWidth="1"/>
    <col min="5868" max="5868" width="29.5546875" customWidth="1"/>
    <col min="5869" max="5870" width="17.5546875" customWidth="1"/>
    <col min="5871" max="5871" width="18.6640625" customWidth="1"/>
    <col min="5872" max="5872" width="16.33203125" customWidth="1"/>
    <col min="5873" max="5873" width="20.33203125" customWidth="1"/>
    <col min="5874" max="5875" width="16.44140625" customWidth="1"/>
    <col min="5876" max="5876" width="15.109375" customWidth="1"/>
    <col min="5877" max="6119" width="9.109375"/>
    <col min="6120" max="6120" width="14.5546875" customWidth="1"/>
    <col min="6121" max="6121" width="45.5546875" customWidth="1"/>
    <col min="6122" max="6122" width="34.33203125" customWidth="1"/>
    <col min="6123" max="6123" width="19.109375" customWidth="1"/>
    <col min="6124" max="6124" width="29.5546875" customWidth="1"/>
    <col min="6125" max="6126" width="17.5546875" customWidth="1"/>
    <col min="6127" max="6127" width="18.6640625" customWidth="1"/>
    <col min="6128" max="6128" width="16.33203125" customWidth="1"/>
    <col min="6129" max="6129" width="20.33203125" customWidth="1"/>
    <col min="6130" max="6131" width="16.44140625" customWidth="1"/>
    <col min="6132" max="6132" width="15.109375" customWidth="1"/>
    <col min="6133" max="6375" width="9.109375"/>
    <col min="6376" max="6376" width="14.5546875" customWidth="1"/>
    <col min="6377" max="6377" width="45.5546875" customWidth="1"/>
    <col min="6378" max="6378" width="34.33203125" customWidth="1"/>
    <col min="6379" max="6379" width="19.109375" customWidth="1"/>
    <col min="6380" max="6380" width="29.5546875" customWidth="1"/>
    <col min="6381" max="6382" width="17.5546875" customWidth="1"/>
    <col min="6383" max="6383" width="18.6640625" customWidth="1"/>
    <col min="6384" max="6384" width="16.33203125" customWidth="1"/>
    <col min="6385" max="6385" width="20.33203125" customWidth="1"/>
    <col min="6386" max="6387" width="16.44140625" customWidth="1"/>
    <col min="6388" max="6388" width="15.109375" customWidth="1"/>
    <col min="6389" max="6631" width="9.109375"/>
    <col min="6632" max="6632" width="14.5546875" customWidth="1"/>
    <col min="6633" max="6633" width="45.5546875" customWidth="1"/>
    <col min="6634" max="6634" width="34.33203125" customWidth="1"/>
    <col min="6635" max="6635" width="19.109375" customWidth="1"/>
    <col min="6636" max="6636" width="29.5546875" customWidth="1"/>
    <col min="6637" max="6638" width="17.5546875" customWidth="1"/>
    <col min="6639" max="6639" width="18.6640625" customWidth="1"/>
    <col min="6640" max="6640" width="16.33203125" customWidth="1"/>
    <col min="6641" max="6641" width="20.33203125" customWidth="1"/>
    <col min="6642" max="6643" width="16.44140625" customWidth="1"/>
    <col min="6644" max="6644" width="15.109375" customWidth="1"/>
    <col min="6645" max="6887" width="9.109375"/>
    <col min="6888" max="6888" width="14.5546875" customWidth="1"/>
    <col min="6889" max="6889" width="45.5546875" customWidth="1"/>
    <col min="6890" max="6890" width="34.33203125" customWidth="1"/>
    <col min="6891" max="6891" width="19.109375" customWidth="1"/>
    <col min="6892" max="6892" width="29.5546875" customWidth="1"/>
    <col min="6893" max="6894" width="17.5546875" customWidth="1"/>
    <col min="6895" max="6895" width="18.6640625" customWidth="1"/>
    <col min="6896" max="6896" width="16.33203125" customWidth="1"/>
    <col min="6897" max="6897" width="20.33203125" customWidth="1"/>
    <col min="6898" max="6899" width="16.44140625" customWidth="1"/>
    <col min="6900" max="6900" width="15.109375" customWidth="1"/>
    <col min="6901" max="7143" width="9.109375"/>
    <col min="7144" max="7144" width="14.5546875" customWidth="1"/>
    <col min="7145" max="7145" width="45.5546875" customWidth="1"/>
    <col min="7146" max="7146" width="34.33203125" customWidth="1"/>
    <col min="7147" max="7147" width="19.109375" customWidth="1"/>
    <col min="7148" max="7148" width="29.5546875" customWidth="1"/>
    <col min="7149" max="7150" width="17.5546875" customWidth="1"/>
    <col min="7151" max="7151" width="18.6640625" customWidth="1"/>
    <col min="7152" max="7152" width="16.33203125" customWidth="1"/>
    <col min="7153" max="7153" width="20.33203125" customWidth="1"/>
    <col min="7154" max="7155" width="16.44140625" customWidth="1"/>
    <col min="7156" max="7156" width="15.109375" customWidth="1"/>
    <col min="7157" max="7399" width="9.109375"/>
    <col min="7400" max="7400" width="14.5546875" customWidth="1"/>
    <col min="7401" max="7401" width="45.5546875" customWidth="1"/>
    <col min="7402" max="7402" width="34.33203125" customWidth="1"/>
    <col min="7403" max="7403" width="19.109375" customWidth="1"/>
    <col min="7404" max="7404" width="29.5546875" customWidth="1"/>
    <col min="7405" max="7406" width="17.5546875" customWidth="1"/>
    <col min="7407" max="7407" width="18.6640625" customWidth="1"/>
    <col min="7408" max="7408" width="16.33203125" customWidth="1"/>
    <col min="7409" max="7409" width="20.33203125" customWidth="1"/>
    <col min="7410" max="7411" width="16.44140625" customWidth="1"/>
    <col min="7412" max="7412" width="15.109375" customWidth="1"/>
    <col min="7413" max="7655" width="9.109375"/>
    <col min="7656" max="7656" width="14.5546875" customWidth="1"/>
    <col min="7657" max="7657" width="45.5546875" customWidth="1"/>
    <col min="7658" max="7658" width="34.33203125" customWidth="1"/>
    <col min="7659" max="7659" width="19.109375" customWidth="1"/>
    <col min="7660" max="7660" width="29.5546875" customWidth="1"/>
    <col min="7661" max="7662" width="17.5546875" customWidth="1"/>
    <col min="7663" max="7663" width="18.6640625" customWidth="1"/>
    <col min="7664" max="7664" width="16.33203125" customWidth="1"/>
    <col min="7665" max="7665" width="20.33203125" customWidth="1"/>
    <col min="7666" max="7667" width="16.44140625" customWidth="1"/>
    <col min="7668" max="7668" width="15.109375" customWidth="1"/>
    <col min="7669" max="7911" width="9.109375"/>
    <col min="7912" max="7912" width="14.5546875" customWidth="1"/>
    <col min="7913" max="7913" width="45.5546875" customWidth="1"/>
    <col min="7914" max="7914" width="34.33203125" customWidth="1"/>
    <col min="7915" max="7915" width="19.109375" customWidth="1"/>
    <col min="7916" max="7916" width="29.5546875" customWidth="1"/>
    <col min="7917" max="7918" width="17.5546875" customWidth="1"/>
    <col min="7919" max="7919" width="18.6640625" customWidth="1"/>
    <col min="7920" max="7920" width="16.33203125" customWidth="1"/>
    <col min="7921" max="7921" width="20.33203125" customWidth="1"/>
    <col min="7922" max="7923" width="16.44140625" customWidth="1"/>
    <col min="7924" max="7924" width="15.109375" customWidth="1"/>
    <col min="7925" max="8167" width="9.109375"/>
    <col min="8168" max="8168" width="14.5546875" customWidth="1"/>
    <col min="8169" max="8169" width="45.5546875" customWidth="1"/>
    <col min="8170" max="8170" width="34.33203125" customWidth="1"/>
    <col min="8171" max="8171" width="19.109375" customWidth="1"/>
    <col min="8172" max="8172" width="29.5546875" customWidth="1"/>
    <col min="8173" max="8174" width="17.5546875" customWidth="1"/>
    <col min="8175" max="8175" width="18.6640625" customWidth="1"/>
    <col min="8176" max="8176" width="16.33203125" customWidth="1"/>
    <col min="8177" max="8177" width="20.33203125" customWidth="1"/>
    <col min="8178" max="8179" width="16.44140625" customWidth="1"/>
    <col min="8180" max="8180" width="15.109375" customWidth="1"/>
    <col min="8181" max="8423" width="9.109375"/>
    <col min="8424" max="8424" width="14.5546875" customWidth="1"/>
    <col min="8425" max="8425" width="45.5546875" customWidth="1"/>
    <col min="8426" max="8426" width="34.33203125" customWidth="1"/>
    <col min="8427" max="8427" width="19.109375" customWidth="1"/>
    <col min="8428" max="8428" width="29.5546875" customWidth="1"/>
    <col min="8429" max="8430" width="17.5546875" customWidth="1"/>
    <col min="8431" max="8431" width="18.6640625" customWidth="1"/>
    <col min="8432" max="8432" width="16.33203125" customWidth="1"/>
    <col min="8433" max="8433" width="20.33203125" customWidth="1"/>
    <col min="8434" max="8435" width="16.44140625" customWidth="1"/>
    <col min="8436" max="8436" width="15.109375" customWidth="1"/>
    <col min="8437" max="8679" width="9.109375"/>
    <col min="8680" max="8680" width="14.5546875" customWidth="1"/>
    <col min="8681" max="8681" width="45.5546875" customWidth="1"/>
    <col min="8682" max="8682" width="34.33203125" customWidth="1"/>
    <col min="8683" max="8683" width="19.109375" customWidth="1"/>
    <col min="8684" max="8684" width="29.5546875" customWidth="1"/>
    <col min="8685" max="8686" width="17.5546875" customWidth="1"/>
    <col min="8687" max="8687" width="18.6640625" customWidth="1"/>
    <col min="8688" max="8688" width="16.33203125" customWidth="1"/>
    <col min="8689" max="8689" width="20.33203125" customWidth="1"/>
    <col min="8690" max="8691" width="16.44140625" customWidth="1"/>
    <col min="8692" max="8692" width="15.109375" customWidth="1"/>
    <col min="8693" max="8935" width="9.109375"/>
    <col min="8936" max="8936" width="14.5546875" customWidth="1"/>
    <col min="8937" max="8937" width="45.5546875" customWidth="1"/>
    <col min="8938" max="8938" width="34.33203125" customWidth="1"/>
    <col min="8939" max="8939" width="19.109375" customWidth="1"/>
    <col min="8940" max="8940" width="29.5546875" customWidth="1"/>
    <col min="8941" max="8942" width="17.5546875" customWidth="1"/>
    <col min="8943" max="8943" width="18.6640625" customWidth="1"/>
    <col min="8944" max="8944" width="16.33203125" customWidth="1"/>
    <col min="8945" max="8945" width="20.33203125" customWidth="1"/>
    <col min="8946" max="8947" width="16.44140625" customWidth="1"/>
    <col min="8948" max="8948" width="15.109375" customWidth="1"/>
    <col min="8949" max="9191" width="9.109375"/>
    <col min="9192" max="9192" width="14.5546875" customWidth="1"/>
    <col min="9193" max="9193" width="45.5546875" customWidth="1"/>
    <col min="9194" max="9194" width="34.33203125" customWidth="1"/>
    <col min="9195" max="9195" width="19.109375" customWidth="1"/>
    <col min="9196" max="9196" width="29.5546875" customWidth="1"/>
    <col min="9197" max="9198" width="17.5546875" customWidth="1"/>
    <col min="9199" max="9199" width="18.6640625" customWidth="1"/>
    <col min="9200" max="9200" width="16.33203125" customWidth="1"/>
    <col min="9201" max="9201" width="20.33203125" customWidth="1"/>
    <col min="9202" max="9203" width="16.44140625" customWidth="1"/>
    <col min="9204" max="9204" width="15.109375" customWidth="1"/>
    <col min="9205" max="9447" width="9.109375"/>
    <col min="9448" max="9448" width="14.5546875" customWidth="1"/>
    <col min="9449" max="9449" width="45.5546875" customWidth="1"/>
    <col min="9450" max="9450" width="34.33203125" customWidth="1"/>
    <col min="9451" max="9451" width="19.109375" customWidth="1"/>
    <col min="9452" max="9452" width="29.5546875" customWidth="1"/>
    <col min="9453" max="9454" width="17.5546875" customWidth="1"/>
    <col min="9455" max="9455" width="18.6640625" customWidth="1"/>
    <col min="9456" max="9456" width="16.33203125" customWidth="1"/>
    <col min="9457" max="9457" width="20.33203125" customWidth="1"/>
    <col min="9458" max="9459" width="16.44140625" customWidth="1"/>
    <col min="9460" max="9460" width="15.109375" customWidth="1"/>
    <col min="9461" max="9703" width="9.109375"/>
    <col min="9704" max="9704" width="14.5546875" customWidth="1"/>
    <col min="9705" max="9705" width="45.5546875" customWidth="1"/>
    <col min="9706" max="9706" width="34.33203125" customWidth="1"/>
    <col min="9707" max="9707" width="19.109375" customWidth="1"/>
    <col min="9708" max="9708" width="29.5546875" customWidth="1"/>
    <col min="9709" max="9710" width="17.5546875" customWidth="1"/>
    <col min="9711" max="9711" width="18.6640625" customWidth="1"/>
    <col min="9712" max="9712" width="16.33203125" customWidth="1"/>
    <col min="9713" max="9713" width="20.33203125" customWidth="1"/>
    <col min="9714" max="9715" width="16.44140625" customWidth="1"/>
    <col min="9716" max="9716" width="15.109375" customWidth="1"/>
    <col min="9717" max="9959" width="9.109375"/>
    <col min="9960" max="9960" width="14.5546875" customWidth="1"/>
    <col min="9961" max="9961" width="45.5546875" customWidth="1"/>
    <col min="9962" max="9962" width="34.33203125" customWidth="1"/>
    <col min="9963" max="9963" width="19.109375" customWidth="1"/>
    <col min="9964" max="9964" width="29.5546875" customWidth="1"/>
    <col min="9965" max="9966" width="17.5546875" customWidth="1"/>
    <col min="9967" max="9967" width="18.6640625" customWidth="1"/>
    <col min="9968" max="9968" width="16.33203125" customWidth="1"/>
    <col min="9969" max="9969" width="20.33203125" customWidth="1"/>
    <col min="9970" max="9971" width="16.44140625" customWidth="1"/>
    <col min="9972" max="9972" width="15.109375" customWidth="1"/>
    <col min="9973" max="10215" width="9.109375"/>
    <col min="10216" max="10216" width="14.5546875" customWidth="1"/>
    <col min="10217" max="10217" width="45.5546875" customWidth="1"/>
    <col min="10218" max="10218" width="34.33203125" customWidth="1"/>
    <col min="10219" max="10219" width="19.109375" customWidth="1"/>
    <col min="10220" max="10220" width="29.5546875" customWidth="1"/>
    <col min="10221" max="10222" width="17.5546875" customWidth="1"/>
    <col min="10223" max="10223" width="18.6640625" customWidth="1"/>
    <col min="10224" max="10224" width="16.33203125" customWidth="1"/>
    <col min="10225" max="10225" width="20.33203125" customWidth="1"/>
    <col min="10226" max="10227" width="16.44140625" customWidth="1"/>
    <col min="10228" max="10228" width="15.109375" customWidth="1"/>
    <col min="10229" max="10471" width="9.109375"/>
    <col min="10472" max="10472" width="14.5546875" customWidth="1"/>
    <col min="10473" max="10473" width="45.5546875" customWidth="1"/>
    <col min="10474" max="10474" width="34.33203125" customWidth="1"/>
    <col min="10475" max="10475" width="19.109375" customWidth="1"/>
    <col min="10476" max="10476" width="29.5546875" customWidth="1"/>
    <col min="10477" max="10478" width="17.5546875" customWidth="1"/>
    <col min="10479" max="10479" width="18.6640625" customWidth="1"/>
    <col min="10480" max="10480" width="16.33203125" customWidth="1"/>
    <col min="10481" max="10481" width="20.33203125" customWidth="1"/>
    <col min="10482" max="10483" width="16.44140625" customWidth="1"/>
    <col min="10484" max="10484" width="15.109375" customWidth="1"/>
    <col min="10485" max="10727" width="9.109375"/>
    <col min="10728" max="10728" width="14.5546875" customWidth="1"/>
    <col min="10729" max="10729" width="45.5546875" customWidth="1"/>
    <col min="10730" max="10730" width="34.33203125" customWidth="1"/>
    <col min="10731" max="10731" width="19.109375" customWidth="1"/>
    <col min="10732" max="10732" width="29.5546875" customWidth="1"/>
    <col min="10733" max="10734" width="17.5546875" customWidth="1"/>
    <col min="10735" max="10735" width="18.6640625" customWidth="1"/>
    <col min="10736" max="10736" width="16.33203125" customWidth="1"/>
    <col min="10737" max="10737" width="20.33203125" customWidth="1"/>
    <col min="10738" max="10739" width="16.44140625" customWidth="1"/>
    <col min="10740" max="10740" width="15.109375" customWidth="1"/>
    <col min="10741" max="10983" width="9.109375"/>
    <col min="10984" max="10984" width="14.5546875" customWidth="1"/>
    <col min="10985" max="10985" width="45.5546875" customWidth="1"/>
    <col min="10986" max="10986" width="34.33203125" customWidth="1"/>
    <col min="10987" max="10987" width="19.109375" customWidth="1"/>
    <col min="10988" max="10988" width="29.5546875" customWidth="1"/>
    <col min="10989" max="10990" width="17.5546875" customWidth="1"/>
    <col min="10991" max="10991" width="18.6640625" customWidth="1"/>
    <col min="10992" max="10992" width="16.33203125" customWidth="1"/>
    <col min="10993" max="10993" width="20.33203125" customWidth="1"/>
    <col min="10994" max="10995" width="16.44140625" customWidth="1"/>
    <col min="10996" max="10996" width="15.109375" customWidth="1"/>
    <col min="10997" max="11239" width="9.109375"/>
    <col min="11240" max="11240" width="14.5546875" customWidth="1"/>
    <col min="11241" max="11241" width="45.5546875" customWidth="1"/>
    <col min="11242" max="11242" width="34.33203125" customWidth="1"/>
    <col min="11243" max="11243" width="19.109375" customWidth="1"/>
    <col min="11244" max="11244" width="29.5546875" customWidth="1"/>
    <col min="11245" max="11246" width="17.5546875" customWidth="1"/>
    <col min="11247" max="11247" width="18.6640625" customWidth="1"/>
    <col min="11248" max="11248" width="16.33203125" customWidth="1"/>
    <col min="11249" max="11249" width="20.33203125" customWidth="1"/>
    <col min="11250" max="11251" width="16.44140625" customWidth="1"/>
    <col min="11252" max="11252" width="15.109375" customWidth="1"/>
    <col min="11253" max="11495" width="9.109375"/>
    <col min="11496" max="11496" width="14.5546875" customWidth="1"/>
    <col min="11497" max="11497" width="45.5546875" customWidth="1"/>
    <col min="11498" max="11498" width="34.33203125" customWidth="1"/>
    <col min="11499" max="11499" width="19.109375" customWidth="1"/>
    <col min="11500" max="11500" width="29.5546875" customWidth="1"/>
    <col min="11501" max="11502" width="17.5546875" customWidth="1"/>
    <col min="11503" max="11503" width="18.6640625" customWidth="1"/>
    <col min="11504" max="11504" width="16.33203125" customWidth="1"/>
    <col min="11505" max="11505" width="20.33203125" customWidth="1"/>
    <col min="11506" max="11507" width="16.44140625" customWidth="1"/>
    <col min="11508" max="11508" width="15.109375" customWidth="1"/>
    <col min="11509" max="11751" width="9.109375"/>
    <col min="11752" max="11752" width="14.5546875" customWidth="1"/>
    <col min="11753" max="11753" width="45.5546875" customWidth="1"/>
    <col min="11754" max="11754" width="34.33203125" customWidth="1"/>
    <col min="11755" max="11755" width="19.109375" customWidth="1"/>
    <col min="11756" max="11756" width="29.5546875" customWidth="1"/>
    <col min="11757" max="11758" width="17.5546875" customWidth="1"/>
    <col min="11759" max="11759" width="18.6640625" customWidth="1"/>
    <col min="11760" max="11760" width="16.33203125" customWidth="1"/>
    <col min="11761" max="11761" width="20.33203125" customWidth="1"/>
    <col min="11762" max="11763" width="16.44140625" customWidth="1"/>
    <col min="11764" max="11764" width="15.109375" customWidth="1"/>
    <col min="11765" max="12007" width="9.109375"/>
    <col min="12008" max="12008" width="14.5546875" customWidth="1"/>
    <col min="12009" max="12009" width="45.5546875" customWidth="1"/>
    <col min="12010" max="12010" width="34.33203125" customWidth="1"/>
    <col min="12011" max="12011" width="19.109375" customWidth="1"/>
    <col min="12012" max="12012" width="29.5546875" customWidth="1"/>
    <col min="12013" max="12014" width="17.5546875" customWidth="1"/>
    <col min="12015" max="12015" width="18.6640625" customWidth="1"/>
    <col min="12016" max="12016" width="16.33203125" customWidth="1"/>
    <col min="12017" max="12017" width="20.33203125" customWidth="1"/>
    <col min="12018" max="12019" width="16.44140625" customWidth="1"/>
    <col min="12020" max="12020" width="15.109375" customWidth="1"/>
    <col min="12021" max="12263" width="9.109375"/>
    <col min="12264" max="12264" width="14.5546875" customWidth="1"/>
    <col min="12265" max="12265" width="45.5546875" customWidth="1"/>
    <col min="12266" max="12266" width="34.33203125" customWidth="1"/>
    <col min="12267" max="12267" width="19.109375" customWidth="1"/>
    <col min="12268" max="12268" width="29.5546875" customWidth="1"/>
    <col min="12269" max="12270" width="17.5546875" customWidth="1"/>
    <col min="12271" max="12271" width="18.6640625" customWidth="1"/>
    <col min="12272" max="12272" width="16.33203125" customWidth="1"/>
    <col min="12273" max="12273" width="20.33203125" customWidth="1"/>
    <col min="12274" max="12275" width="16.44140625" customWidth="1"/>
    <col min="12276" max="12276" width="15.109375" customWidth="1"/>
    <col min="12277" max="12519" width="9.109375"/>
    <col min="12520" max="12520" width="14.5546875" customWidth="1"/>
    <col min="12521" max="12521" width="45.5546875" customWidth="1"/>
    <col min="12522" max="12522" width="34.33203125" customWidth="1"/>
    <col min="12523" max="12523" width="19.109375" customWidth="1"/>
    <col min="12524" max="12524" width="29.5546875" customWidth="1"/>
    <col min="12525" max="12526" width="17.5546875" customWidth="1"/>
    <col min="12527" max="12527" width="18.6640625" customWidth="1"/>
    <col min="12528" max="12528" width="16.33203125" customWidth="1"/>
    <col min="12529" max="12529" width="20.33203125" customWidth="1"/>
    <col min="12530" max="12531" width="16.44140625" customWidth="1"/>
    <col min="12532" max="12532" width="15.109375" customWidth="1"/>
    <col min="12533" max="12775" width="9.109375"/>
    <col min="12776" max="12776" width="14.5546875" customWidth="1"/>
    <col min="12777" max="12777" width="45.5546875" customWidth="1"/>
    <col min="12778" max="12778" width="34.33203125" customWidth="1"/>
    <col min="12779" max="12779" width="19.109375" customWidth="1"/>
    <col min="12780" max="12780" width="29.5546875" customWidth="1"/>
    <col min="12781" max="12782" width="17.5546875" customWidth="1"/>
    <col min="12783" max="12783" width="18.6640625" customWidth="1"/>
    <col min="12784" max="12784" width="16.33203125" customWidth="1"/>
    <col min="12785" max="12785" width="20.33203125" customWidth="1"/>
    <col min="12786" max="12787" width="16.44140625" customWidth="1"/>
    <col min="12788" max="12788" width="15.109375" customWidth="1"/>
    <col min="12789" max="13031" width="9.109375"/>
    <col min="13032" max="13032" width="14.5546875" customWidth="1"/>
    <col min="13033" max="13033" width="45.5546875" customWidth="1"/>
    <col min="13034" max="13034" width="34.33203125" customWidth="1"/>
    <col min="13035" max="13035" width="19.109375" customWidth="1"/>
    <col min="13036" max="13036" width="29.5546875" customWidth="1"/>
    <col min="13037" max="13038" width="17.5546875" customWidth="1"/>
    <col min="13039" max="13039" width="18.6640625" customWidth="1"/>
    <col min="13040" max="13040" width="16.33203125" customWidth="1"/>
    <col min="13041" max="13041" width="20.33203125" customWidth="1"/>
    <col min="13042" max="13043" width="16.44140625" customWidth="1"/>
    <col min="13044" max="13044" width="15.109375" customWidth="1"/>
    <col min="13045" max="13287" width="9.109375"/>
    <col min="13288" max="13288" width="14.5546875" customWidth="1"/>
    <col min="13289" max="13289" width="45.5546875" customWidth="1"/>
    <col min="13290" max="13290" width="34.33203125" customWidth="1"/>
    <col min="13291" max="13291" width="19.109375" customWidth="1"/>
    <col min="13292" max="13292" width="29.5546875" customWidth="1"/>
    <col min="13293" max="13294" width="17.5546875" customWidth="1"/>
    <col min="13295" max="13295" width="18.6640625" customWidth="1"/>
    <col min="13296" max="13296" width="16.33203125" customWidth="1"/>
    <col min="13297" max="13297" width="20.33203125" customWidth="1"/>
    <col min="13298" max="13299" width="16.44140625" customWidth="1"/>
    <col min="13300" max="13300" width="15.109375" customWidth="1"/>
    <col min="13301" max="13543" width="9.109375"/>
    <col min="13544" max="13544" width="14.5546875" customWidth="1"/>
    <col min="13545" max="13545" width="45.5546875" customWidth="1"/>
    <col min="13546" max="13546" width="34.33203125" customWidth="1"/>
    <col min="13547" max="13547" width="19.109375" customWidth="1"/>
    <col min="13548" max="13548" width="29.5546875" customWidth="1"/>
    <col min="13549" max="13550" width="17.5546875" customWidth="1"/>
    <col min="13551" max="13551" width="18.6640625" customWidth="1"/>
    <col min="13552" max="13552" width="16.33203125" customWidth="1"/>
    <col min="13553" max="13553" width="20.33203125" customWidth="1"/>
    <col min="13554" max="13555" width="16.44140625" customWidth="1"/>
    <col min="13556" max="13556" width="15.109375" customWidth="1"/>
    <col min="13557" max="13799" width="9.109375"/>
    <col min="13800" max="13800" width="14.5546875" customWidth="1"/>
    <col min="13801" max="13801" width="45.5546875" customWidth="1"/>
    <col min="13802" max="13802" width="34.33203125" customWidth="1"/>
    <col min="13803" max="13803" width="19.109375" customWidth="1"/>
    <col min="13804" max="13804" width="29.5546875" customWidth="1"/>
    <col min="13805" max="13806" width="17.5546875" customWidth="1"/>
    <col min="13807" max="13807" width="18.6640625" customWidth="1"/>
    <col min="13808" max="13808" width="16.33203125" customWidth="1"/>
    <col min="13809" max="13809" width="20.33203125" customWidth="1"/>
    <col min="13810" max="13811" width="16.44140625" customWidth="1"/>
    <col min="13812" max="13812" width="15.109375" customWidth="1"/>
    <col min="13813" max="14055" width="9.109375"/>
    <col min="14056" max="14056" width="14.5546875" customWidth="1"/>
    <col min="14057" max="14057" width="45.5546875" customWidth="1"/>
    <col min="14058" max="14058" width="34.33203125" customWidth="1"/>
    <col min="14059" max="14059" width="19.109375" customWidth="1"/>
    <col min="14060" max="14060" width="29.5546875" customWidth="1"/>
    <col min="14061" max="14062" width="17.5546875" customWidth="1"/>
    <col min="14063" max="14063" width="18.6640625" customWidth="1"/>
    <col min="14064" max="14064" width="16.33203125" customWidth="1"/>
    <col min="14065" max="14065" width="20.33203125" customWidth="1"/>
    <col min="14066" max="14067" width="16.44140625" customWidth="1"/>
    <col min="14068" max="14068" width="15.109375" customWidth="1"/>
    <col min="14069" max="14311" width="9.109375"/>
    <col min="14312" max="14312" width="14.5546875" customWidth="1"/>
    <col min="14313" max="14313" width="45.5546875" customWidth="1"/>
    <col min="14314" max="14314" width="34.33203125" customWidth="1"/>
    <col min="14315" max="14315" width="19.109375" customWidth="1"/>
    <col min="14316" max="14316" width="29.5546875" customWidth="1"/>
    <col min="14317" max="14318" width="17.5546875" customWidth="1"/>
    <col min="14319" max="14319" width="18.6640625" customWidth="1"/>
    <col min="14320" max="14320" width="16.33203125" customWidth="1"/>
    <col min="14321" max="14321" width="20.33203125" customWidth="1"/>
    <col min="14322" max="14323" width="16.44140625" customWidth="1"/>
    <col min="14324" max="14324" width="15.109375" customWidth="1"/>
    <col min="14325" max="14567" width="9.109375"/>
    <col min="14568" max="14568" width="14.5546875" customWidth="1"/>
    <col min="14569" max="14569" width="45.5546875" customWidth="1"/>
    <col min="14570" max="14570" width="34.33203125" customWidth="1"/>
    <col min="14571" max="14571" width="19.109375" customWidth="1"/>
    <col min="14572" max="14572" width="29.5546875" customWidth="1"/>
    <col min="14573" max="14574" width="17.5546875" customWidth="1"/>
    <col min="14575" max="14575" width="18.6640625" customWidth="1"/>
    <col min="14576" max="14576" width="16.33203125" customWidth="1"/>
    <col min="14577" max="14577" width="20.33203125" customWidth="1"/>
    <col min="14578" max="14579" width="16.44140625" customWidth="1"/>
    <col min="14580" max="14580" width="15.109375" customWidth="1"/>
    <col min="14581" max="14823" width="9.109375"/>
    <col min="14824" max="14824" width="14.5546875" customWidth="1"/>
    <col min="14825" max="14825" width="45.5546875" customWidth="1"/>
    <col min="14826" max="14826" width="34.33203125" customWidth="1"/>
    <col min="14827" max="14827" width="19.109375" customWidth="1"/>
    <col min="14828" max="14828" width="29.5546875" customWidth="1"/>
    <col min="14829" max="14830" width="17.5546875" customWidth="1"/>
    <col min="14831" max="14831" width="18.6640625" customWidth="1"/>
    <col min="14832" max="14832" width="16.33203125" customWidth="1"/>
    <col min="14833" max="14833" width="20.33203125" customWidth="1"/>
    <col min="14834" max="14835" width="16.44140625" customWidth="1"/>
    <col min="14836" max="14836" width="15.109375" customWidth="1"/>
    <col min="14837" max="15079" width="9.109375"/>
    <col min="15080" max="15080" width="14.5546875" customWidth="1"/>
    <col min="15081" max="15081" width="45.5546875" customWidth="1"/>
    <col min="15082" max="15082" width="34.33203125" customWidth="1"/>
    <col min="15083" max="15083" width="19.109375" customWidth="1"/>
    <col min="15084" max="15084" width="29.5546875" customWidth="1"/>
    <col min="15085" max="15086" width="17.5546875" customWidth="1"/>
    <col min="15087" max="15087" width="18.6640625" customWidth="1"/>
    <col min="15088" max="15088" width="16.33203125" customWidth="1"/>
    <col min="15089" max="15089" width="20.33203125" customWidth="1"/>
    <col min="15090" max="15091" width="16.44140625" customWidth="1"/>
    <col min="15092" max="15092" width="15.109375" customWidth="1"/>
    <col min="15093" max="15335" width="9.109375"/>
    <col min="15336" max="15336" width="14.5546875" customWidth="1"/>
    <col min="15337" max="15337" width="45.5546875" customWidth="1"/>
    <col min="15338" max="15338" width="34.33203125" customWidth="1"/>
    <col min="15339" max="15339" width="19.109375" customWidth="1"/>
    <col min="15340" max="15340" width="29.5546875" customWidth="1"/>
    <col min="15341" max="15342" width="17.5546875" customWidth="1"/>
    <col min="15343" max="15343" width="18.6640625" customWidth="1"/>
    <col min="15344" max="15344" width="16.33203125" customWidth="1"/>
    <col min="15345" max="15345" width="20.33203125" customWidth="1"/>
    <col min="15346" max="15347" width="16.44140625" customWidth="1"/>
    <col min="15348" max="15348" width="15.109375" customWidth="1"/>
    <col min="15349" max="15591" width="9.109375"/>
    <col min="15592" max="15592" width="14.5546875" customWidth="1"/>
    <col min="15593" max="15593" width="45.5546875" customWidth="1"/>
    <col min="15594" max="15594" width="34.33203125" customWidth="1"/>
    <col min="15595" max="15595" width="19.109375" customWidth="1"/>
    <col min="15596" max="15596" width="29.5546875" customWidth="1"/>
    <col min="15597" max="15598" width="17.5546875" customWidth="1"/>
    <col min="15599" max="15599" width="18.6640625" customWidth="1"/>
    <col min="15600" max="15600" width="16.33203125" customWidth="1"/>
    <col min="15601" max="15601" width="20.33203125" customWidth="1"/>
    <col min="15602" max="15603" width="16.44140625" customWidth="1"/>
    <col min="15604" max="15604" width="15.109375" customWidth="1"/>
    <col min="15605" max="15847" width="9.109375"/>
    <col min="15848" max="15848" width="14.5546875" customWidth="1"/>
    <col min="15849" max="15849" width="45.5546875" customWidth="1"/>
    <col min="15850" max="15850" width="34.33203125" customWidth="1"/>
    <col min="15851" max="15851" width="19.109375" customWidth="1"/>
    <col min="15852" max="15852" width="29.5546875" customWidth="1"/>
    <col min="15853" max="15854" width="17.5546875" customWidth="1"/>
    <col min="15855" max="15855" width="18.6640625" customWidth="1"/>
    <col min="15856" max="15856" width="16.33203125" customWidth="1"/>
    <col min="15857" max="15857" width="20.33203125" customWidth="1"/>
    <col min="15858" max="15859" width="16.44140625" customWidth="1"/>
    <col min="15860" max="15860" width="15.109375" customWidth="1"/>
    <col min="15861" max="16103" width="9.109375"/>
    <col min="16104" max="16104" width="14.5546875" customWidth="1"/>
    <col min="16105" max="16105" width="45.5546875" customWidth="1"/>
    <col min="16106" max="16106" width="34.33203125" customWidth="1"/>
    <col min="16107" max="16107" width="19.109375" customWidth="1"/>
    <col min="16108" max="16108" width="29.5546875" customWidth="1"/>
    <col min="16109" max="16110" width="17.5546875" customWidth="1"/>
    <col min="16111" max="16111" width="18.6640625" customWidth="1"/>
    <col min="16112" max="16112" width="16.33203125" customWidth="1"/>
    <col min="16113" max="16113" width="20.33203125" customWidth="1"/>
    <col min="16114" max="16115" width="16.44140625" customWidth="1"/>
    <col min="16116" max="16116" width="15.109375" customWidth="1"/>
    <col min="16117" max="16357" width="9.109375"/>
    <col min="16358" max="16384" width="8.6640625" customWidth="1"/>
  </cols>
  <sheetData>
    <row r="1" spans="1:15" x14ac:dyDescent="0.3">
      <c r="A1" s="265" t="s">
        <v>17</v>
      </c>
      <c r="B1" s="265"/>
      <c r="C1" s="265"/>
      <c r="D1" s="265"/>
      <c r="E1" s="265"/>
      <c r="F1" s="265"/>
      <c r="G1" s="265"/>
      <c r="H1" s="265"/>
      <c r="I1" s="265"/>
    </row>
    <row r="2" spans="1:15" x14ac:dyDescent="0.3">
      <c r="A2" s="266" t="s">
        <v>18</v>
      </c>
      <c r="B2" s="266"/>
      <c r="C2" s="266"/>
      <c r="D2" s="266"/>
      <c r="E2" s="266"/>
      <c r="F2" s="266"/>
      <c r="G2" s="266"/>
      <c r="H2" s="266"/>
      <c r="I2" s="266"/>
    </row>
    <row r="4" spans="1:15" ht="55.5" customHeight="1" x14ac:dyDescent="0.3">
      <c r="A4" s="1" t="s">
        <v>109</v>
      </c>
      <c r="B4" s="1" t="s">
        <v>61</v>
      </c>
      <c r="C4" s="1" t="s">
        <v>1</v>
      </c>
      <c r="D4" s="1" t="s">
        <v>458</v>
      </c>
      <c r="E4" s="1" t="s">
        <v>113</v>
      </c>
      <c r="F4" s="1" t="s">
        <v>139</v>
      </c>
      <c r="G4" s="1" t="s">
        <v>140</v>
      </c>
      <c r="H4" s="1" t="s">
        <v>135</v>
      </c>
      <c r="I4" s="72" t="s">
        <v>145</v>
      </c>
      <c r="J4" s="71" t="s">
        <v>157</v>
      </c>
      <c r="K4" s="48" t="s">
        <v>79</v>
      </c>
      <c r="L4" s="48" t="s">
        <v>158</v>
      </c>
      <c r="M4" s="48" t="s">
        <v>161</v>
      </c>
      <c r="N4" s="48" t="s">
        <v>159</v>
      </c>
      <c r="O4" s="48" t="s">
        <v>160</v>
      </c>
    </row>
    <row r="5" spans="1:15" x14ac:dyDescent="0.3">
      <c r="A5" s="1">
        <v>2026</v>
      </c>
      <c r="B5" s="1" t="s">
        <v>577</v>
      </c>
      <c r="C5" s="18">
        <v>46190</v>
      </c>
      <c r="D5" s="1" t="s">
        <v>322</v>
      </c>
      <c r="E5" s="9">
        <f>VLOOKUP(TBLBAHANMASUK[[#This Row],[NAMA BAHAN]],TBLREKAPBAHAN[[NAMA BAHAN]:[MODAL SATUAN]],2,FALSE)</f>
        <v>18000</v>
      </c>
      <c r="F5" s="9">
        <f>VLOOKUP(TBLBAHANMASUK[[#This Row],[NAMA BAHAN]],TBLREKAPBAHAN[[NAMA BAHAN]:[MODAL SATUAN]],3,FALSE)</f>
        <v>1000</v>
      </c>
      <c r="G5" s="9">
        <f>VLOOKUP(TBLBAHANMASUK[[#This Row],[NAMA BAHAN]],TBLREKAPBAHAN[[NAMA BAHAN]:[MODAL SATUAN]],4,FALSE)</f>
        <v>18</v>
      </c>
      <c r="H5" s="9">
        <v>1000</v>
      </c>
      <c r="I5" s="73">
        <f>TBLBAHANMASUK[[#This Row],[MODAL SATUAN]]*TBLBAHANMASUK[[#This Row],[MASUK]]</f>
        <v>18000</v>
      </c>
      <c r="J5" s="9">
        <v>17500</v>
      </c>
      <c r="K5" s="9">
        <f>TBLBAHANMASUK[[#This Row],[ISI]]</f>
        <v>1000</v>
      </c>
      <c r="L5" s="9">
        <f>TBLBAHANMASUK[[#This Row],[HARGA ASLI]]/TBLBAHANMASUK[[#This Row],[QTY]]</f>
        <v>17.5</v>
      </c>
      <c r="M5" s="9">
        <f>TBLBAHANMASUK[[#This Row],[MASUK]]</f>
        <v>1000</v>
      </c>
      <c r="N5" s="9">
        <f>TBLBAHANMASUK[[#This Row],[MODAL ASLI]]*TBLBAHANMASUK[[#This Row],[QTY MASUK]]</f>
        <v>17500</v>
      </c>
      <c r="O5" s="9">
        <f>TBLBAHANMASUK[[#This Row],[NILAI MASUK]]-TBLBAHANMASUK[[#This Row],[NILAI MASUK ASLI]]</f>
        <v>500</v>
      </c>
    </row>
    <row r="6" spans="1:15" x14ac:dyDescent="0.3">
      <c r="A6" s="1">
        <v>2026</v>
      </c>
      <c r="B6" s="1" t="s">
        <v>577</v>
      </c>
      <c r="C6" s="18">
        <v>46190</v>
      </c>
      <c r="D6" s="1" t="s">
        <v>326</v>
      </c>
      <c r="E6" s="9">
        <f>VLOOKUP(TBLBAHANMASUK[[#This Row],[NAMA BAHAN]],TBLREKAPBAHAN[[NAMA BAHAN]:[MODAL SATUAN]],2,FALSE)</f>
        <v>7000</v>
      </c>
      <c r="F6" s="9">
        <f>VLOOKUP(TBLBAHANMASUK[[#This Row],[NAMA BAHAN]],TBLREKAPBAHAN[[NAMA BAHAN]:[MODAL SATUAN]],3,FALSE)</f>
        <v>24</v>
      </c>
      <c r="G6" s="9">
        <f>VLOOKUP(TBLBAHANMASUK[[#This Row],[NAMA BAHAN]],TBLREKAPBAHAN[[NAMA BAHAN]:[MODAL SATUAN]],4,FALSE)</f>
        <v>291.66666666666669</v>
      </c>
      <c r="H6" s="9">
        <v>24</v>
      </c>
      <c r="I6" s="73">
        <f>TBLBAHANMASUK[[#This Row],[MODAL SATUAN]]*TBLBAHANMASUK[[#This Row],[MASUK]]</f>
        <v>7000</v>
      </c>
      <c r="J6" s="9">
        <v>6900</v>
      </c>
      <c r="K6" s="9">
        <f>TBLBAHANMASUK[[#This Row],[ISI]]</f>
        <v>24</v>
      </c>
      <c r="L6" s="9">
        <f>TBLBAHANMASUK[[#This Row],[HARGA ASLI]]/TBLBAHANMASUK[[#This Row],[QTY]]</f>
        <v>287.5</v>
      </c>
      <c r="M6" s="9">
        <f>TBLBAHANMASUK[[#This Row],[MASUK]]</f>
        <v>24</v>
      </c>
      <c r="N6" s="9">
        <f>TBLBAHANMASUK[[#This Row],[MODAL ASLI]]*TBLBAHANMASUK[[#This Row],[QTY MASUK]]</f>
        <v>6900</v>
      </c>
      <c r="O6" s="9">
        <f>TBLBAHANMASUK[[#This Row],[NILAI MASUK]]-TBLBAHANMASUK[[#This Row],[NILAI MASUK ASLI]]</f>
        <v>100</v>
      </c>
    </row>
    <row r="7" spans="1:15" x14ac:dyDescent="0.3">
      <c r="A7" s="1">
        <v>2026</v>
      </c>
      <c r="B7" s="1" t="s">
        <v>577</v>
      </c>
      <c r="C7" s="18">
        <v>46190</v>
      </c>
      <c r="D7" s="1" t="s">
        <v>325</v>
      </c>
      <c r="E7" s="9">
        <f>VLOOKUP(TBLBAHANMASUK[[#This Row],[NAMA BAHAN]],TBLREKAPBAHAN[[NAMA BAHAN]:[MODAL SATUAN]],2,FALSE)</f>
        <v>12000</v>
      </c>
      <c r="F7" s="9">
        <f>VLOOKUP(TBLBAHANMASUK[[#This Row],[NAMA BAHAN]],TBLREKAPBAHAN[[NAMA BAHAN]:[MODAL SATUAN]],3,FALSE)</f>
        <v>250</v>
      </c>
      <c r="G7" s="9">
        <f>VLOOKUP(TBLBAHANMASUK[[#This Row],[NAMA BAHAN]],TBLREKAPBAHAN[[NAMA BAHAN]:[MODAL SATUAN]],4,FALSE)</f>
        <v>48</v>
      </c>
      <c r="H7" s="9">
        <v>500</v>
      </c>
      <c r="I7" s="73">
        <f>TBLBAHANMASUK[[#This Row],[MODAL SATUAN]]*TBLBAHANMASUK[[#This Row],[MASUK]]</f>
        <v>24000</v>
      </c>
      <c r="J7" s="9">
        <v>9800</v>
      </c>
      <c r="K7" s="9">
        <f>TBLBAHANMASUK[[#This Row],[ISI]]</f>
        <v>250</v>
      </c>
      <c r="L7" s="9">
        <f>TBLBAHANMASUK[[#This Row],[HARGA ASLI]]/TBLBAHANMASUK[[#This Row],[QTY]]</f>
        <v>39.200000000000003</v>
      </c>
      <c r="M7" s="9">
        <f>TBLBAHANMASUK[[#This Row],[MASUK]]</f>
        <v>500</v>
      </c>
      <c r="N7" s="9">
        <f>TBLBAHANMASUK[[#This Row],[MODAL ASLI]]*TBLBAHANMASUK[[#This Row],[QTY MASUK]]</f>
        <v>19600</v>
      </c>
      <c r="O7" s="9">
        <f>TBLBAHANMASUK[[#This Row],[NILAI MASUK]]-TBLBAHANMASUK[[#This Row],[NILAI MASUK ASLI]]</f>
        <v>4400</v>
      </c>
    </row>
    <row r="8" spans="1:15" x14ac:dyDescent="0.3">
      <c r="A8" s="1">
        <v>2026</v>
      </c>
      <c r="B8" s="1" t="s">
        <v>577</v>
      </c>
      <c r="C8" s="18">
        <v>46190</v>
      </c>
      <c r="D8" s="1" t="s">
        <v>323</v>
      </c>
      <c r="E8" s="9">
        <f>VLOOKUP(TBLBAHANMASUK[[#This Row],[NAMA BAHAN]],TBLREKAPBAHAN[[NAMA BAHAN]:[MODAL SATUAN]],2,FALSE)</f>
        <v>12000</v>
      </c>
      <c r="F8" s="9">
        <f>VLOOKUP(TBLBAHANMASUK[[#This Row],[NAMA BAHAN]],TBLREKAPBAHAN[[NAMA BAHAN]:[MODAL SATUAN]],3,FALSE)</f>
        <v>250</v>
      </c>
      <c r="G8" s="9">
        <f>VLOOKUP(TBLBAHANMASUK[[#This Row],[NAMA BAHAN]],TBLREKAPBAHAN[[NAMA BAHAN]:[MODAL SATUAN]],4,FALSE)</f>
        <v>48</v>
      </c>
      <c r="H8" s="9">
        <v>500</v>
      </c>
      <c r="I8" s="73">
        <f>TBLBAHANMASUK[[#This Row],[MODAL SATUAN]]*TBLBAHANMASUK[[#This Row],[MASUK]]</f>
        <v>24000</v>
      </c>
      <c r="J8" s="9">
        <v>10950</v>
      </c>
      <c r="K8" s="9">
        <f>TBLBAHANMASUK[[#This Row],[ISI]]</f>
        <v>250</v>
      </c>
      <c r="L8" s="9">
        <f>TBLBAHANMASUK[[#This Row],[HARGA ASLI]]/TBLBAHANMASUK[[#This Row],[QTY]]</f>
        <v>43.8</v>
      </c>
      <c r="M8" s="9">
        <f>TBLBAHANMASUK[[#This Row],[MASUK]]</f>
        <v>500</v>
      </c>
      <c r="N8" s="9">
        <f>TBLBAHANMASUK[[#This Row],[MODAL ASLI]]*TBLBAHANMASUK[[#This Row],[QTY MASUK]]</f>
        <v>21900</v>
      </c>
      <c r="O8" s="9">
        <f>TBLBAHANMASUK[[#This Row],[NILAI MASUK]]-TBLBAHANMASUK[[#This Row],[NILAI MASUK ASLI]]</f>
        <v>2100</v>
      </c>
    </row>
    <row r="9" spans="1:15" x14ac:dyDescent="0.3">
      <c r="A9" s="1">
        <v>2026</v>
      </c>
      <c r="B9" s="1" t="s">
        <v>577</v>
      </c>
      <c r="C9" s="18">
        <v>46190</v>
      </c>
      <c r="D9" s="1" t="s">
        <v>324</v>
      </c>
      <c r="E9" s="9">
        <f>VLOOKUP(TBLBAHANMASUK[[#This Row],[NAMA BAHAN]],TBLREKAPBAHAN[[NAMA BAHAN]:[MODAL SATUAN]],2,FALSE)</f>
        <v>50000</v>
      </c>
      <c r="F9" s="9">
        <f>VLOOKUP(TBLBAHANMASUK[[#This Row],[NAMA BAHAN]],TBLREKAPBAHAN[[NAMA BAHAN]:[MODAL SATUAN]],3,FALSE)</f>
        <v>1000</v>
      </c>
      <c r="G9" s="9">
        <f>VLOOKUP(TBLBAHANMASUK[[#This Row],[NAMA BAHAN]],TBLREKAPBAHAN[[NAMA BAHAN]:[MODAL SATUAN]],4,FALSE)</f>
        <v>50</v>
      </c>
      <c r="H9" s="9">
        <v>1000</v>
      </c>
      <c r="I9" s="73">
        <f>TBLBAHANMASUK[[#This Row],[MODAL SATUAN]]*TBLBAHANMASUK[[#This Row],[MASUK]]</f>
        <v>50000</v>
      </c>
      <c r="J9" s="9">
        <v>32000</v>
      </c>
      <c r="K9" s="9">
        <f>TBLBAHANMASUK[[#This Row],[ISI]]</f>
        <v>1000</v>
      </c>
      <c r="L9" s="9">
        <f>TBLBAHANMASUK[[#This Row],[HARGA ASLI]]/TBLBAHANMASUK[[#This Row],[QTY]]</f>
        <v>32</v>
      </c>
      <c r="M9" s="9">
        <f>TBLBAHANMASUK[[#This Row],[MASUK]]</f>
        <v>1000</v>
      </c>
      <c r="N9" s="9">
        <f>TBLBAHANMASUK[[#This Row],[MODAL ASLI]]*TBLBAHANMASUK[[#This Row],[QTY MASUK]]</f>
        <v>32000</v>
      </c>
      <c r="O9" s="9">
        <f>TBLBAHANMASUK[[#This Row],[NILAI MASUK]]-TBLBAHANMASUK[[#This Row],[NILAI MASUK ASLI]]</f>
        <v>18000</v>
      </c>
    </row>
    <row r="10" spans="1:15" x14ac:dyDescent="0.3">
      <c r="A10" s="1">
        <v>2026</v>
      </c>
      <c r="B10" s="1" t="s">
        <v>577</v>
      </c>
      <c r="C10" s="18">
        <v>46190</v>
      </c>
      <c r="D10" s="1" t="s">
        <v>579</v>
      </c>
      <c r="E10" s="9">
        <f>VLOOKUP(TBLBAHANMASUK[[#This Row],[NAMA BAHAN]],TBLREKAPBAHAN[[NAMA BAHAN]:[MODAL SATUAN]],2,FALSE)</f>
        <v>27000</v>
      </c>
      <c r="F10" s="9">
        <f>VLOOKUP(TBLBAHANMASUK[[#This Row],[NAMA BAHAN]],TBLREKAPBAHAN[[NAMA BAHAN]:[MODAL SATUAN]],3,FALSE)</f>
        <v>20</v>
      </c>
      <c r="G10" s="9">
        <f>VLOOKUP(TBLBAHANMASUK[[#This Row],[NAMA BAHAN]],TBLREKAPBAHAN[[NAMA BAHAN]:[MODAL SATUAN]],4,FALSE)</f>
        <v>1350</v>
      </c>
      <c r="H10" s="9">
        <v>20</v>
      </c>
      <c r="I10" s="73">
        <f>TBLBAHANMASUK[[#This Row],[MODAL SATUAN]]*TBLBAHANMASUK[[#This Row],[MASUK]]</f>
        <v>27000</v>
      </c>
      <c r="J10" s="9">
        <v>26000</v>
      </c>
      <c r="K10" s="9">
        <f>TBLBAHANMASUK[[#This Row],[ISI]]</f>
        <v>20</v>
      </c>
      <c r="L10" s="9">
        <f>TBLBAHANMASUK[[#This Row],[HARGA ASLI]]/TBLBAHANMASUK[[#This Row],[QTY]]</f>
        <v>1300</v>
      </c>
      <c r="M10" s="9">
        <f>TBLBAHANMASUK[[#This Row],[MASUK]]</f>
        <v>20</v>
      </c>
      <c r="N10" s="9">
        <f>TBLBAHANMASUK[[#This Row],[MODAL ASLI]]*TBLBAHANMASUK[[#This Row],[QTY MASUK]]</f>
        <v>26000</v>
      </c>
      <c r="O10" s="9">
        <f>TBLBAHANMASUK[[#This Row],[NILAI MASUK]]-TBLBAHANMASUK[[#This Row],[NILAI MASUK ASLI]]</f>
        <v>1000</v>
      </c>
    </row>
    <row r="11" spans="1:15" x14ac:dyDescent="0.3">
      <c r="A11" s="1">
        <v>2026</v>
      </c>
      <c r="B11" s="1" t="s">
        <v>577</v>
      </c>
      <c r="C11" s="18">
        <v>46190</v>
      </c>
      <c r="D11" s="1" t="s">
        <v>332</v>
      </c>
      <c r="E11" s="9">
        <f>VLOOKUP(TBLBAHANMASUK[[#This Row],[NAMA BAHAN]],TBLREKAPBAHAN[[NAMA BAHAN]:[MODAL SATUAN]],2,FALSE)</f>
        <v>29000</v>
      </c>
      <c r="F11" s="9">
        <f>VLOOKUP(TBLBAHANMASUK[[#This Row],[NAMA BAHAN]],TBLREKAPBAHAN[[NAMA BAHAN]:[MODAL SATUAN]],3,FALSE)</f>
        <v>20</v>
      </c>
      <c r="G11" s="9">
        <f>VLOOKUP(TBLBAHANMASUK[[#This Row],[NAMA BAHAN]],TBLREKAPBAHAN[[NAMA BAHAN]:[MODAL SATUAN]],4,FALSE)</f>
        <v>1450</v>
      </c>
      <c r="H11" s="9">
        <v>20</v>
      </c>
      <c r="I11" s="73">
        <f>TBLBAHANMASUK[[#This Row],[MODAL SATUAN]]*TBLBAHANMASUK[[#This Row],[MASUK]]</f>
        <v>29000</v>
      </c>
      <c r="J11" s="9">
        <v>28500</v>
      </c>
      <c r="K11" s="9">
        <f>TBLBAHANMASUK[[#This Row],[ISI]]</f>
        <v>20</v>
      </c>
      <c r="L11" s="9">
        <f>TBLBAHANMASUK[[#This Row],[HARGA ASLI]]/TBLBAHANMASUK[[#This Row],[QTY]]</f>
        <v>1425</v>
      </c>
      <c r="M11" s="9">
        <f>TBLBAHANMASUK[[#This Row],[MASUK]]</f>
        <v>20</v>
      </c>
      <c r="N11" s="9">
        <f>TBLBAHANMASUK[[#This Row],[MODAL ASLI]]*TBLBAHANMASUK[[#This Row],[QTY MASUK]]</f>
        <v>28500</v>
      </c>
      <c r="O11" s="9">
        <f>TBLBAHANMASUK[[#This Row],[NILAI MASUK]]-TBLBAHANMASUK[[#This Row],[NILAI MASUK ASLI]]</f>
        <v>500</v>
      </c>
    </row>
    <row r="12" spans="1:15" x14ac:dyDescent="0.3">
      <c r="A12" s="1">
        <v>2026</v>
      </c>
      <c r="B12" s="1" t="s">
        <v>577</v>
      </c>
      <c r="C12" s="18">
        <v>46190</v>
      </c>
      <c r="D12" s="1" t="s">
        <v>151</v>
      </c>
      <c r="E12" s="9">
        <f>VLOOKUP(TBLBAHANMASUK[[#This Row],[NAMA BAHAN]],TBLREKAPBAHAN[[NAMA BAHAN]:[MODAL SATUAN]],2,FALSE)</f>
        <v>20000</v>
      </c>
      <c r="F12" s="9">
        <f>VLOOKUP(TBLBAHANMASUK[[#This Row],[NAMA BAHAN]],TBLREKAPBAHAN[[NAMA BAHAN]:[MODAL SATUAN]],3,FALSE)</f>
        <v>10</v>
      </c>
      <c r="G12" s="9">
        <f>VLOOKUP(TBLBAHANMASUK[[#This Row],[NAMA BAHAN]],TBLREKAPBAHAN[[NAMA BAHAN]:[MODAL SATUAN]],4,FALSE)</f>
        <v>2000</v>
      </c>
      <c r="H12" s="152">
        <v>10</v>
      </c>
      <c r="I12" s="73">
        <f>TBLBAHANMASUK[[#This Row],[MODAL SATUAN]]*TBLBAHANMASUK[[#This Row],[MASUK]]</f>
        <v>20000</v>
      </c>
      <c r="J12" s="9">
        <v>18500</v>
      </c>
      <c r="K12" s="9">
        <f>TBLBAHANMASUK[[#This Row],[ISI]]</f>
        <v>10</v>
      </c>
      <c r="L12" s="9">
        <f>TBLBAHANMASUK[[#This Row],[HARGA ASLI]]/TBLBAHANMASUK[[#This Row],[QTY]]</f>
        <v>1850</v>
      </c>
      <c r="M12" s="9">
        <f>TBLBAHANMASUK[[#This Row],[MASUK]]</f>
        <v>10</v>
      </c>
      <c r="N12" s="9">
        <f>TBLBAHANMASUK[[#This Row],[MODAL ASLI]]*TBLBAHANMASUK[[#This Row],[QTY MASUK]]</f>
        <v>18500</v>
      </c>
      <c r="O12" s="9">
        <f>TBLBAHANMASUK[[#This Row],[NILAI MASUK]]-TBLBAHANMASUK[[#This Row],[NILAI MASUK ASLI]]</f>
        <v>1500</v>
      </c>
    </row>
    <row r="13" spans="1:15" x14ac:dyDescent="0.3">
      <c r="A13" s="1">
        <v>2026</v>
      </c>
      <c r="B13" s="1" t="s">
        <v>577</v>
      </c>
      <c r="C13" s="18">
        <v>46190</v>
      </c>
      <c r="D13" s="1" t="s">
        <v>333</v>
      </c>
      <c r="E13" s="9">
        <f>VLOOKUP(TBLBAHANMASUK[[#This Row],[NAMA BAHAN]],TBLREKAPBAHAN[[NAMA BAHAN]:[MODAL SATUAN]],2,FALSE)</f>
        <v>15000</v>
      </c>
      <c r="F13" s="9">
        <f>VLOOKUP(TBLBAHANMASUK[[#This Row],[NAMA BAHAN]],TBLREKAPBAHAN[[NAMA BAHAN]:[MODAL SATUAN]],3,FALSE)</f>
        <v>6</v>
      </c>
      <c r="G13" s="9">
        <f>VLOOKUP(TBLBAHANMASUK[[#This Row],[NAMA BAHAN]],TBLREKAPBAHAN[[NAMA BAHAN]:[MODAL SATUAN]],4,FALSE)</f>
        <v>2500</v>
      </c>
      <c r="H13" s="152">
        <v>6</v>
      </c>
      <c r="I13" s="73">
        <f>TBLBAHANMASUK[[#This Row],[MODAL SATUAN]]*TBLBAHANMASUK[[#This Row],[MASUK]]</f>
        <v>15000</v>
      </c>
      <c r="J13" s="9">
        <v>14500</v>
      </c>
      <c r="K13" s="9">
        <f>TBLBAHANMASUK[[#This Row],[ISI]]</f>
        <v>6</v>
      </c>
      <c r="L13" s="9">
        <f>TBLBAHANMASUK[[#This Row],[HARGA ASLI]]/TBLBAHANMASUK[[#This Row],[QTY]]</f>
        <v>2416.6666666666665</v>
      </c>
      <c r="M13" s="9">
        <f>TBLBAHANMASUK[[#This Row],[MASUK]]</f>
        <v>6</v>
      </c>
      <c r="N13" s="9">
        <f>TBLBAHANMASUK[[#This Row],[MODAL ASLI]]*TBLBAHANMASUK[[#This Row],[QTY MASUK]]</f>
        <v>14500</v>
      </c>
      <c r="O13" s="9">
        <f>TBLBAHANMASUK[[#This Row],[NILAI MASUK]]-TBLBAHANMASUK[[#This Row],[NILAI MASUK ASLI]]</f>
        <v>500</v>
      </c>
    </row>
    <row r="14" spans="1:15" x14ac:dyDescent="0.3">
      <c r="A14" s="1">
        <v>2026</v>
      </c>
      <c r="B14" s="1" t="s">
        <v>577</v>
      </c>
      <c r="C14" s="18">
        <v>46190</v>
      </c>
      <c r="D14" s="1" t="s">
        <v>459</v>
      </c>
      <c r="E14" s="9">
        <f>VLOOKUP(TBLBAHANMASUK[[#This Row],[NAMA BAHAN]],TBLREKAPBAHAN[[NAMA BAHAN]:[MODAL SATUAN]],2,FALSE)</f>
        <v>85000</v>
      </c>
      <c r="F14" s="9">
        <f>VLOOKUP(TBLBAHANMASUK[[#This Row],[NAMA BAHAN]],TBLREKAPBAHAN[[NAMA BAHAN]:[MODAL SATUAN]],3,FALSE)</f>
        <v>1000</v>
      </c>
      <c r="G14" s="9">
        <f>VLOOKUP(TBLBAHANMASUK[[#This Row],[NAMA BAHAN]],TBLREKAPBAHAN[[NAMA BAHAN]:[MODAL SATUAN]],4,FALSE)</f>
        <v>85</v>
      </c>
      <c r="H14" s="152">
        <v>1000</v>
      </c>
      <c r="I14" s="73">
        <f>TBLBAHANMASUK[[#This Row],[MODAL SATUAN]]*TBLBAHANMASUK[[#This Row],[MASUK]]</f>
        <v>85000</v>
      </c>
      <c r="J14" s="9">
        <v>79900</v>
      </c>
      <c r="K14" s="9">
        <f>TBLBAHANMASUK[[#This Row],[ISI]]</f>
        <v>1000</v>
      </c>
      <c r="L14" s="9">
        <f>TBLBAHANMASUK[[#This Row],[HARGA ASLI]]/TBLBAHANMASUK[[#This Row],[QTY]]</f>
        <v>79.900000000000006</v>
      </c>
      <c r="M14" s="9">
        <f>TBLBAHANMASUK[[#This Row],[MASUK]]</f>
        <v>1000</v>
      </c>
      <c r="N14" s="9">
        <f>TBLBAHANMASUK[[#This Row],[MODAL ASLI]]*TBLBAHANMASUK[[#This Row],[QTY MASUK]]</f>
        <v>79900</v>
      </c>
      <c r="O14" s="9">
        <f>TBLBAHANMASUK[[#This Row],[NILAI MASUK]]-TBLBAHANMASUK[[#This Row],[NILAI MASUK ASLI]]</f>
        <v>5100</v>
      </c>
    </row>
    <row r="15" spans="1:15" x14ac:dyDescent="0.3">
      <c r="A15" s="1">
        <v>2026</v>
      </c>
      <c r="B15" s="1" t="s">
        <v>577</v>
      </c>
      <c r="C15" s="18">
        <v>46190</v>
      </c>
      <c r="D15" s="1" t="s">
        <v>336</v>
      </c>
      <c r="E15" s="9">
        <f>VLOOKUP(TBLBAHANMASUK[[#This Row],[NAMA BAHAN]],TBLREKAPBAHAN[[NAMA BAHAN]:[MODAL SATUAN]],2,FALSE)</f>
        <v>60000</v>
      </c>
      <c r="F15" s="9">
        <f>VLOOKUP(TBLBAHANMASUK[[#This Row],[NAMA BAHAN]],TBLREKAPBAHAN[[NAMA BAHAN]:[MODAL SATUAN]],3,FALSE)</f>
        <v>50</v>
      </c>
      <c r="G15" s="9">
        <f>VLOOKUP(TBLBAHANMASUK[[#This Row],[NAMA BAHAN]],TBLREKAPBAHAN[[NAMA BAHAN]:[MODAL SATUAN]],4,FALSE)</f>
        <v>1200</v>
      </c>
      <c r="H15" s="152">
        <v>50</v>
      </c>
      <c r="I15" s="73">
        <f>TBLBAHANMASUK[[#This Row],[MODAL SATUAN]]*TBLBAHANMASUK[[#This Row],[MASUK]]</f>
        <v>60000</v>
      </c>
      <c r="J15" s="9">
        <v>50000</v>
      </c>
      <c r="K15" s="9">
        <f>TBLBAHANMASUK[[#This Row],[ISI]]</f>
        <v>50</v>
      </c>
      <c r="L15" s="9">
        <f>TBLBAHANMASUK[[#This Row],[HARGA ASLI]]/TBLBAHANMASUK[[#This Row],[QTY]]</f>
        <v>1000</v>
      </c>
      <c r="M15" s="9">
        <f>TBLBAHANMASUK[[#This Row],[MASUK]]</f>
        <v>50</v>
      </c>
      <c r="N15" s="9">
        <f>TBLBAHANMASUK[[#This Row],[MODAL ASLI]]*TBLBAHANMASUK[[#This Row],[QTY MASUK]]</f>
        <v>50000</v>
      </c>
      <c r="O15" s="9">
        <f>TBLBAHANMASUK[[#This Row],[NILAI MASUK]]-TBLBAHANMASUK[[#This Row],[NILAI MASUK ASLI]]</f>
        <v>10000</v>
      </c>
    </row>
    <row r="16" spans="1:15" x14ac:dyDescent="0.3">
      <c r="A16" s="1">
        <v>2026</v>
      </c>
      <c r="B16" s="1" t="s">
        <v>577</v>
      </c>
      <c r="C16" s="18">
        <v>46190</v>
      </c>
      <c r="D16" s="1" t="s">
        <v>580</v>
      </c>
      <c r="E16" s="9">
        <f>VLOOKUP(TBLBAHANMASUK[[#This Row],[NAMA BAHAN]],TBLREKAPBAHAN[[NAMA BAHAN]:[MODAL SATUAN]],2,FALSE)</f>
        <v>90000</v>
      </c>
      <c r="F16" s="9">
        <f>VLOOKUP(TBLBAHANMASUK[[#This Row],[NAMA BAHAN]],TBLREKAPBAHAN[[NAMA BAHAN]:[MODAL SATUAN]],3,FALSE)</f>
        <v>500</v>
      </c>
      <c r="G16" s="9">
        <f>VLOOKUP(TBLBAHANMASUK[[#This Row],[NAMA BAHAN]],TBLREKAPBAHAN[[NAMA BAHAN]:[MODAL SATUAN]],4,FALSE)</f>
        <v>180</v>
      </c>
      <c r="H16" s="152">
        <v>500</v>
      </c>
      <c r="I16" s="73">
        <f>TBLBAHANMASUK[[#This Row],[MODAL SATUAN]]*TBLBAHANMASUK[[#This Row],[MASUK]]</f>
        <v>90000</v>
      </c>
      <c r="J16" s="9">
        <v>88000</v>
      </c>
      <c r="K16" s="9">
        <f>TBLBAHANMASUK[[#This Row],[ISI]]</f>
        <v>500</v>
      </c>
      <c r="L16" s="9">
        <f>TBLBAHANMASUK[[#This Row],[HARGA ASLI]]/TBLBAHANMASUK[[#This Row],[QTY]]</f>
        <v>176</v>
      </c>
      <c r="M16" s="9">
        <f>TBLBAHANMASUK[[#This Row],[MASUK]]</f>
        <v>500</v>
      </c>
      <c r="N16" s="9">
        <f>TBLBAHANMASUK[[#This Row],[MODAL ASLI]]*TBLBAHANMASUK[[#This Row],[QTY MASUK]]</f>
        <v>88000</v>
      </c>
      <c r="O16" s="9">
        <f>TBLBAHANMASUK[[#This Row],[NILAI MASUK]]-TBLBAHANMASUK[[#This Row],[NILAI MASUK ASLI]]</f>
        <v>2000</v>
      </c>
    </row>
    <row r="17" spans="1:15" x14ac:dyDescent="0.3">
      <c r="A17" s="1">
        <v>2026</v>
      </c>
      <c r="B17" s="1" t="s">
        <v>577</v>
      </c>
      <c r="C17" s="18">
        <v>46190</v>
      </c>
      <c r="D17" s="1" t="s">
        <v>330</v>
      </c>
      <c r="E17" s="9">
        <f>VLOOKUP(TBLBAHANMASUK[[#This Row],[NAMA BAHAN]],TBLREKAPBAHAN[[NAMA BAHAN]:[MODAL SATUAN]],2,FALSE)</f>
        <v>35000</v>
      </c>
      <c r="F17" s="9">
        <f>VLOOKUP(TBLBAHANMASUK[[#This Row],[NAMA BAHAN]],TBLREKAPBAHAN[[NAMA BAHAN]:[MODAL SATUAN]],3,FALSE)</f>
        <v>38</v>
      </c>
      <c r="G17" s="9">
        <f>VLOOKUP(TBLBAHANMASUK[[#This Row],[NAMA BAHAN]],TBLREKAPBAHAN[[NAMA BAHAN]:[MODAL SATUAN]],4,FALSE)</f>
        <v>921.0526315789474</v>
      </c>
      <c r="H17" s="152">
        <v>38</v>
      </c>
      <c r="I17" s="73">
        <f>TBLBAHANMASUK[[#This Row],[MODAL SATUAN]]*TBLBAHANMASUK[[#This Row],[MASUK]]</f>
        <v>35000</v>
      </c>
      <c r="J17" s="9">
        <v>32000</v>
      </c>
      <c r="K17" s="9">
        <f>TBLBAHANMASUK[[#This Row],[ISI]]</f>
        <v>38</v>
      </c>
      <c r="L17" s="9">
        <f>TBLBAHANMASUK[[#This Row],[HARGA ASLI]]/TBLBAHANMASUK[[#This Row],[QTY]]</f>
        <v>842.10526315789468</v>
      </c>
      <c r="M17" s="9">
        <f>TBLBAHANMASUK[[#This Row],[MASUK]]</f>
        <v>38</v>
      </c>
      <c r="N17" s="9">
        <f>TBLBAHANMASUK[[#This Row],[MODAL ASLI]]*TBLBAHANMASUK[[#This Row],[QTY MASUK]]</f>
        <v>31999.999999999996</v>
      </c>
      <c r="O17" s="9">
        <f>TBLBAHANMASUK[[#This Row],[NILAI MASUK]]-TBLBAHANMASUK[[#This Row],[NILAI MASUK ASLI]]</f>
        <v>3000.0000000000036</v>
      </c>
    </row>
    <row r="18" spans="1:15" x14ac:dyDescent="0.3">
      <c r="A18" s="1">
        <v>2026</v>
      </c>
      <c r="B18" s="1" t="s">
        <v>577</v>
      </c>
      <c r="C18" s="18">
        <v>46190</v>
      </c>
      <c r="D18" s="1" t="s">
        <v>337</v>
      </c>
      <c r="E18" s="9">
        <f>VLOOKUP(TBLBAHANMASUK[[#This Row],[NAMA BAHAN]],TBLREKAPBAHAN[[NAMA BAHAN]:[MODAL SATUAN]],2,FALSE)</f>
        <v>35000</v>
      </c>
      <c r="F18" s="9">
        <f>VLOOKUP(TBLBAHANMASUK[[#This Row],[NAMA BAHAN]],TBLREKAPBAHAN[[NAMA BAHAN]:[MODAL SATUAN]],3,FALSE)</f>
        <v>1000</v>
      </c>
      <c r="G18" s="9">
        <f>VLOOKUP(TBLBAHANMASUK[[#This Row],[NAMA BAHAN]],TBLREKAPBAHAN[[NAMA BAHAN]:[MODAL SATUAN]],4,FALSE)</f>
        <v>35</v>
      </c>
      <c r="H18" s="152">
        <v>1500</v>
      </c>
      <c r="I18" s="73">
        <f>TBLBAHANMASUK[[#This Row],[MODAL SATUAN]]*TBLBAHANMASUK[[#This Row],[MASUK]]</f>
        <v>52500</v>
      </c>
      <c r="J18" s="9">
        <v>34000</v>
      </c>
      <c r="K18" s="9">
        <f>TBLBAHANMASUK[[#This Row],[ISI]]</f>
        <v>1000</v>
      </c>
      <c r="L18" s="9">
        <f>TBLBAHANMASUK[[#This Row],[HARGA ASLI]]/TBLBAHANMASUK[[#This Row],[QTY]]</f>
        <v>34</v>
      </c>
      <c r="M18" s="9">
        <f>TBLBAHANMASUK[[#This Row],[MASUK]]</f>
        <v>1500</v>
      </c>
      <c r="N18" s="9">
        <f>TBLBAHANMASUK[[#This Row],[MODAL ASLI]]*TBLBAHANMASUK[[#This Row],[QTY MASUK]]</f>
        <v>51000</v>
      </c>
      <c r="O18" s="9">
        <f>TBLBAHANMASUK[[#This Row],[NILAI MASUK]]-TBLBAHANMASUK[[#This Row],[NILAI MASUK ASLI]]</f>
        <v>1500</v>
      </c>
    </row>
    <row r="19" spans="1:15" x14ac:dyDescent="0.3">
      <c r="A19" s="1">
        <v>2026</v>
      </c>
      <c r="B19" s="1" t="s">
        <v>577</v>
      </c>
      <c r="C19" s="18">
        <v>46190</v>
      </c>
      <c r="D19" s="1" t="s">
        <v>344</v>
      </c>
      <c r="E19" s="9">
        <f>VLOOKUP(TBLBAHANMASUK[[#This Row],[NAMA BAHAN]],TBLREKAPBAHAN[[NAMA BAHAN]:[MODAL SATUAN]],2,FALSE)</f>
        <v>30000</v>
      </c>
      <c r="F19" s="9">
        <f>VLOOKUP(TBLBAHANMASUK[[#This Row],[NAMA BAHAN]],TBLREKAPBAHAN[[NAMA BAHAN]:[MODAL SATUAN]],3,FALSE)</f>
        <v>30</v>
      </c>
      <c r="G19" s="9">
        <f>VLOOKUP(TBLBAHANMASUK[[#This Row],[NAMA BAHAN]],TBLREKAPBAHAN[[NAMA BAHAN]:[MODAL SATUAN]],4,FALSE)</f>
        <v>1000</v>
      </c>
      <c r="H19" s="152">
        <v>30</v>
      </c>
      <c r="I19" s="73">
        <f>TBLBAHANMASUK[[#This Row],[MODAL SATUAN]]*TBLBAHANMASUK[[#This Row],[MASUK]]</f>
        <v>30000</v>
      </c>
      <c r="J19" s="9">
        <v>30000</v>
      </c>
      <c r="K19" s="9">
        <f>TBLBAHANMASUK[[#This Row],[ISI]]</f>
        <v>30</v>
      </c>
      <c r="L19" s="9">
        <f>TBLBAHANMASUK[[#This Row],[HARGA ASLI]]/TBLBAHANMASUK[[#This Row],[QTY]]</f>
        <v>1000</v>
      </c>
      <c r="M19" s="9">
        <f>TBLBAHANMASUK[[#This Row],[MASUK]]</f>
        <v>30</v>
      </c>
      <c r="N19" s="9">
        <f>TBLBAHANMASUK[[#This Row],[MODAL ASLI]]*TBLBAHANMASUK[[#This Row],[QTY MASUK]]</f>
        <v>30000</v>
      </c>
      <c r="O19" s="9">
        <f>TBLBAHANMASUK[[#This Row],[NILAI MASUK]]-TBLBAHANMASUK[[#This Row],[NILAI MASUK ASLI]]</f>
        <v>0</v>
      </c>
    </row>
    <row r="20" spans="1:15" x14ac:dyDescent="0.3">
      <c r="A20" s="1">
        <v>2026</v>
      </c>
      <c r="B20" s="1" t="s">
        <v>577</v>
      </c>
      <c r="C20" s="18">
        <v>46190</v>
      </c>
      <c r="D20" s="1" t="s">
        <v>354</v>
      </c>
      <c r="E20" s="9">
        <f>VLOOKUP(TBLBAHANMASUK[[#This Row],[NAMA BAHAN]],TBLREKAPBAHAN[[NAMA BAHAN]:[MODAL SATUAN]],2,FALSE)</f>
        <v>15000</v>
      </c>
      <c r="F20" s="9">
        <f>VLOOKUP(TBLBAHANMASUK[[#This Row],[NAMA BAHAN]],TBLREKAPBAHAN[[NAMA BAHAN]:[MODAL SATUAN]],3,FALSE)</f>
        <v>250</v>
      </c>
      <c r="G20" s="9">
        <f>VLOOKUP(TBLBAHANMASUK[[#This Row],[NAMA BAHAN]],TBLREKAPBAHAN[[NAMA BAHAN]:[MODAL SATUAN]],4,FALSE)</f>
        <v>60</v>
      </c>
      <c r="H20" s="152">
        <v>250</v>
      </c>
      <c r="I20" s="73">
        <f>TBLBAHANMASUK[[#This Row],[MODAL SATUAN]]*TBLBAHANMASUK[[#This Row],[MASUK]]</f>
        <v>15000</v>
      </c>
      <c r="J20" s="9">
        <v>13500</v>
      </c>
      <c r="K20" s="9">
        <f>TBLBAHANMASUK[[#This Row],[ISI]]</f>
        <v>250</v>
      </c>
      <c r="L20" s="9">
        <f>TBLBAHANMASUK[[#This Row],[HARGA ASLI]]/TBLBAHANMASUK[[#This Row],[QTY]]</f>
        <v>54</v>
      </c>
      <c r="M20" s="9">
        <f>TBLBAHANMASUK[[#This Row],[MASUK]]</f>
        <v>250</v>
      </c>
      <c r="N20" s="9">
        <f>TBLBAHANMASUK[[#This Row],[MODAL ASLI]]*TBLBAHANMASUK[[#This Row],[QTY MASUK]]</f>
        <v>13500</v>
      </c>
      <c r="O20" s="9">
        <f>TBLBAHANMASUK[[#This Row],[NILAI MASUK]]-TBLBAHANMASUK[[#This Row],[NILAI MASUK ASLI]]</f>
        <v>1500</v>
      </c>
    </row>
    <row r="21" spans="1:15" x14ac:dyDescent="0.3">
      <c r="A21" s="1">
        <v>2026</v>
      </c>
      <c r="B21" s="1" t="s">
        <v>577</v>
      </c>
      <c r="C21" s="18">
        <v>46190</v>
      </c>
      <c r="D21" s="1" t="s">
        <v>338</v>
      </c>
      <c r="E21" s="9">
        <f>VLOOKUP(TBLBAHANMASUK[[#This Row],[NAMA BAHAN]],TBLREKAPBAHAN[[NAMA BAHAN]:[MODAL SATUAN]],2,FALSE)</f>
        <v>18000</v>
      </c>
      <c r="F21" s="9">
        <f>VLOOKUP(TBLBAHANMASUK[[#This Row],[NAMA BAHAN]],TBLREKAPBAHAN[[NAMA BAHAN]:[MODAL SATUAN]],3,FALSE)</f>
        <v>1000</v>
      </c>
      <c r="G21" s="9">
        <f>VLOOKUP(TBLBAHANMASUK[[#This Row],[NAMA BAHAN]],TBLREKAPBAHAN[[NAMA BAHAN]:[MODAL SATUAN]],4,FALSE)</f>
        <v>18</v>
      </c>
      <c r="H21" s="152">
        <v>1000</v>
      </c>
      <c r="I21" s="73">
        <f>TBLBAHANMASUK[[#This Row],[MODAL SATUAN]]*TBLBAHANMASUK[[#This Row],[MASUK]]</f>
        <v>18000</v>
      </c>
      <c r="J21" s="9">
        <v>17500</v>
      </c>
      <c r="K21" s="9">
        <f>TBLBAHANMASUK[[#This Row],[ISI]]</f>
        <v>1000</v>
      </c>
      <c r="L21" s="9">
        <f>TBLBAHANMASUK[[#This Row],[HARGA ASLI]]/TBLBAHANMASUK[[#This Row],[QTY]]</f>
        <v>17.5</v>
      </c>
      <c r="M21" s="9">
        <f>TBLBAHANMASUK[[#This Row],[MASUK]]</f>
        <v>1000</v>
      </c>
      <c r="N21" s="9">
        <f>TBLBAHANMASUK[[#This Row],[MODAL ASLI]]*TBLBAHANMASUK[[#This Row],[QTY MASUK]]</f>
        <v>17500</v>
      </c>
      <c r="O21" s="9">
        <f>TBLBAHANMASUK[[#This Row],[NILAI MASUK]]-TBLBAHANMASUK[[#This Row],[NILAI MASUK ASLI]]</f>
        <v>500</v>
      </c>
    </row>
    <row r="22" spans="1:15" x14ac:dyDescent="0.3">
      <c r="A22" s="1">
        <v>2026</v>
      </c>
      <c r="B22" s="1" t="s">
        <v>577</v>
      </c>
      <c r="C22" s="18">
        <v>46190</v>
      </c>
      <c r="D22" s="1" t="s">
        <v>339</v>
      </c>
      <c r="E22" s="9">
        <f>VLOOKUP(TBLBAHANMASUK[[#This Row],[NAMA BAHAN]],TBLREKAPBAHAN[[NAMA BAHAN]:[MODAL SATUAN]],2,FALSE)</f>
        <v>4000</v>
      </c>
      <c r="F22" s="9">
        <f>VLOOKUP(TBLBAHANMASUK[[#This Row],[NAMA BAHAN]],TBLREKAPBAHAN[[NAMA BAHAN]:[MODAL SATUAN]],3,FALSE)</f>
        <v>250</v>
      </c>
      <c r="G22" s="9">
        <f>VLOOKUP(TBLBAHANMASUK[[#This Row],[NAMA BAHAN]],TBLREKAPBAHAN[[NAMA BAHAN]:[MODAL SATUAN]],4,FALSE)</f>
        <v>16</v>
      </c>
      <c r="H22" s="152">
        <v>250</v>
      </c>
      <c r="I22" s="73">
        <f>TBLBAHANMASUK[[#This Row],[MODAL SATUAN]]*TBLBAHANMASUK[[#This Row],[MASUK]]</f>
        <v>4000</v>
      </c>
      <c r="J22" s="9">
        <v>3500</v>
      </c>
      <c r="K22" s="9">
        <f>TBLBAHANMASUK[[#This Row],[ISI]]</f>
        <v>250</v>
      </c>
      <c r="L22" s="9">
        <f>TBLBAHANMASUK[[#This Row],[HARGA ASLI]]/TBLBAHANMASUK[[#This Row],[QTY]]</f>
        <v>14</v>
      </c>
      <c r="M22" s="9">
        <f>TBLBAHANMASUK[[#This Row],[MASUK]]</f>
        <v>250</v>
      </c>
      <c r="N22" s="9">
        <f>TBLBAHANMASUK[[#This Row],[MODAL ASLI]]*TBLBAHANMASUK[[#This Row],[QTY MASUK]]</f>
        <v>3500</v>
      </c>
      <c r="O22" s="9">
        <f>TBLBAHANMASUK[[#This Row],[NILAI MASUK]]-TBLBAHANMASUK[[#This Row],[NILAI MASUK ASLI]]</f>
        <v>500</v>
      </c>
    </row>
    <row r="23" spans="1:15" x14ac:dyDescent="0.3">
      <c r="A23" s="1">
        <v>2026</v>
      </c>
      <c r="B23" s="1" t="s">
        <v>577</v>
      </c>
      <c r="C23" s="18">
        <v>46190</v>
      </c>
      <c r="D23" s="1" t="s">
        <v>340</v>
      </c>
      <c r="E23" s="9">
        <f>VLOOKUP(TBLBAHANMASUK[[#This Row],[NAMA BAHAN]],TBLREKAPBAHAN[[NAMA BAHAN]:[MODAL SATUAN]],2,FALSE)</f>
        <v>7000</v>
      </c>
      <c r="F23" s="9">
        <f>VLOOKUP(TBLBAHANMASUK[[#This Row],[NAMA BAHAN]],TBLREKAPBAHAN[[NAMA BAHAN]:[MODAL SATUAN]],3,FALSE)</f>
        <v>11</v>
      </c>
      <c r="G23" s="9">
        <f>VLOOKUP(TBLBAHANMASUK[[#This Row],[NAMA BAHAN]],TBLREKAPBAHAN[[NAMA BAHAN]:[MODAL SATUAN]],4,FALSE)</f>
        <v>636.36363636363637</v>
      </c>
      <c r="H23" s="152">
        <v>44</v>
      </c>
      <c r="I23" s="73">
        <f>TBLBAHANMASUK[[#This Row],[MODAL SATUAN]]*TBLBAHANMASUK[[#This Row],[MASUK]]</f>
        <v>28000</v>
      </c>
      <c r="J23" s="9">
        <v>5000</v>
      </c>
      <c r="K23" s="9">
        <f>TBLBAHANMASUK[[#This Row],[ISI]]</f>
        <v>11</v>
      </c>
      <c r="L23" s="9">
        <f>TBLBAHANMASUK[[#This Row],[HARGA ASLI]]/TBLBAHANMASUK[[#This Row],[QTY]]</f>
        <v>454.54545454545456</v>
      </c>
      <c r="M23" s="9">
        <f>TBLBAHANMASUK[[#This Row],[MASUK]]</f>
        <v>44</v>
      </c>
      <c r="N23" s="9">
        <f>TBLBAHANMASUK[[#This Row],[MODAL ASLI]]*TBLBAHANMASUK[[#This Row],[QTY MASUK]]</f>
        <v>20000</v>
      </c>
      <c r="O23" s="9">
        <f>TBLBAHANMASUK[[#This Row],[NILAI MASUK]]-TBLBAHANMASUK[[#This Row],[NILAI MASUK ASLI]]</f>
        <v>8000</v>
      </c>
    </row>
    <row r="24" spans="1:15" x14ac:dyDescent="0.3">
      <c r="A24" s="1">
        <v>2026</v>
      </c>
      <c r="B24" s="1" t="s">
        <v>577</v>
      </c>
      <c r="C24" s="18">
        <v>46190</v>
      </c>
      <c r="D24" s="1" t="s">
        <v>341</v>
      </c>
      <c r="E24" s="9">
        <f>VLOOKUP(TBLBAHANMASUK[[#This Row],[NAMA BAHAN]],TBLREKAPBAHAN[[NAMA BAHAN]:[MODAL SATUAN]],2,FALSE)</f>
        <v>18000</v>
      </c>
      <c r="F24" s="9">
        <f>VLOOKUP(TBLBAHANMASUK[[#This Row],[NAMA BAHAN]],TBLREKAPBAHAN[[NAMA BAHAN]:[MODAL SATUAN]],3,FALSE)</f>
        <v>250</v>
      </c>
      <c r="G24" s="9">
        <f>VLOOKUP(TBLBAHANMASUK[[#This Row],[NAMA BAHAN]],TBLREKAPBAHAN[[NAMA BAHAN]:[MODAL SATUAN]],4,FALSE)</f>
        <v>72</v>
      </c>
      <c r="H24" s="152">
        <v>500</v>
      </c>
      <c r="I24" s="73">
        <f>TBLBAHANMASUK[[#This Row],[MODAL SATUAN]]*TBLBAHANMASUK[[#This Row],[MASUK]]</f>
        <v>36000</v>
      </c>
      <c r="J24" s="9">
        <v>13000</v>
      </c>
      <c r="K24" s="9">
        <f>TBLBAHANMASUK[[#This Row],[ISI]]</f>
        <v>250</v>
      </c>
      <c r="L24" s="9">
        <f>TBLBAHANMASUK[[#This Row],[HARGA ASLI]]/TBLBAHANMASUK[[#This Row],[QTY]]</f>
        <v>52</v>
      </c>
      <c r="M24" s="9">
        <f>TBLBAHANMASUK[[#This Row],[MASUK]]</f>
        <v>500</v>
      </c>
      <c r="N24" s="9">
        <f>TBLBAHANMASUK[[#This Row],[MODAL ASLI]]*TBLBAHANMASUK[[#This Row],[QTY MASUK]]</f>
        <v>26000</v>
      </c>
      <c r="O24" s="9">
        <f>TBLBAHANMASUK[[#This Row],[NILAI MASUK]]-TBLBAHANMASUK[[#This Row],[NILAI MASUK ASLI]]</f>
        <v>10000</v>
      </c>
    </row>
    <row r="25" spans="1:15" x14ac:dyDescent="0.3">
      <c r="A25" s="1">
        <v>2026</v>
      </c>
      <c r="B25" s="1" t="s">
        <v>577</v>
      </c>
      <c r="C25" s="18">
        <v>46190</v>
      </c>
      <c r="D25" s="1" t="s">
        <v>342</v>
      </c>
      <c r="E25" s="9">
        <f>VLOOKUP(TBLBAHANMASUK[[#This Row],[NAMA BAHAN]],TBLREKAPBAHAN[[NAMA BAHAN]:[MODAL SATUAN]],2,FALSE)</f>
        <v>14000</v>
      </c>
      <c r="F25" s="9">
        <f>VLOOKUP(TBLBAHANMASUK[[#This Row],[NAMA BAHAN]],TBLREKAPBAHAN[[NAMA BAHAN]:[MODAL SATUAN]],3,FALSE)</f>
        <v>1000</v>
      </c>
      <c r="G25" s="9">
        <f>VLOOKUP(TBLBAHANMASUK[[#This Row],[NAMA BAHAN]],TBLREKAPBAHAN[[NAMA BAHAN]:[MODAL SATUAN]],4,FALSE)</f>
        <v>14</v>
      </c>
      <c r="H25" s="152">
        <v>1000</v>
      </c>
      <c r="I25" s="73">
        <f>TBLBAHANMASUK[[#This Row],[MODAL SATUAN]]*TBLBAHANMASUK[[#This Row],[MASUK]]</f>
        <v>14000</v>
      </c>
      <c r="J25" s="9">
        <v>11500</v>
      </c>
      <c r="K25" s="9">
        <f>TBLBAHANMASUK[[#This Row],[ISI]]</f>
        <v>1000</v>
      </c>
      <c r="L25" s="9">
        <f>TBLBAHANMASUK[[#This Row],[HARGA ASLI]]/TBLBAHANMASUK[[#This Row],[QTY]]</f>
        <v>11.5</v>
      </c>
      <c r="M25" s="9">
        <f>TBLBAHANMASUK[[#This Row],[MASUK]]</f>
        <v>1000</v>
      </c>
      <c r="N25" s="9">
        <f>TBLBAHANMASUK[[#This Row],[MODAL ASLI]]*TBLBAHANMASUK[[#This Row],[QTY MASUK]]</f>
        <v>11500</v>
      </c>
      <c r="O25" s="9">
        <f>TBLBAHANMASUK[[#This Row],[NILAI MASUK]]-TBLBAHANMASUK[[#This Row],[NILAI MASUK ASLI]]</f>
        <v>2500</v>
      </c>
    </row>
    <row r="26" spans="1:15" x14ac:dyDescent="0.3">
      <c r="A26" s="1">
        <v>2026</v>
      </c>
      <c r="B26" s="1" t="s">
        <v>577</v>
      </c>
      <c r="C26" s="18">
        <v>46190</v>
      </c>
      <c r="D26" s="1" t="s">
        <v>363</v>
      </c>
      <c r="E26" s="9">
        <f>VLOOKUP(TBLBAHANMASUK[[#This Row],[NAMA BAHAN]],TBLREKAPBAHAN[[NAMA BAHAN]:[MODAL SATUAN]],2,FALSE)</f>
        <v>15000</v>
      </c>
      <c r="F26" s="9">
        <f>VLOOKUP(TBLBAHANMASUK[[#This Row],[NAMA BAHAN]],TBLREKAPBAHAN[[NAMA BAHAN]:[MODAL SATUAN]],3,FALSE)</f>
        <v>80</v>
      </c>
      <c r="G26" s="9">
        <f>VLOOKUP(TBLBAHANMASUK[[#This Row],[NAMA BAHAN]],TBLREKAPBAHAN[[NAMA BAHAN]:[MODAL SATUAN]],4,FALSE)</f>
        <v>187.5</v>
      </c>
      <c r="H26" s="152">
        <v>80</v>
      </c>
      <c r="I26" s="73">
        <f>TBLBAHANMASUK[[#This Row],[MODAL SATUAN]]*TBLBAHANMASUK[[#This Row],[MASUK]]</f>
        <v>15000</v>
      </c>
      <c r="J26" s="9">
        <v>11500</v>
      </c>
      <c r="K26" s="9">
        <f>TBLBAHANMASUK[[#This Row],[ISI]]</f>
        <v>80</v>
      </c>
      <c r="L26" s="9">
        <f>TBLBAHANMASUK[[#This Row],[HARGA ASLI]]/TBLBAHANMASUK[[#This Row],[QTY]]</f>
        <v>143.75</v>
      </c>
      <c r="M26" s="9">
        <f>TBLBAHANMASUK[[#This Row],[MASUK]]</f>
        <v>80</v>
      </c>
      <c r="N26" s="9">
        <f>TBLBAHANMASUK[[#This Row],[MODAL ASLI]]*TBLBAHANMASUK[[#This Row],[QTY MASUK]]</f>
        <v>11500</v>
      </c>
      <c r="O26" s="9">
        <f>TBLBAHANMASUK[[#This Row],[NILAI MASUK]]-TBLBAHANMASUK[[#This Row],[NILAI MASUK ASLI]]</f>
        <v>3500</v>
      </c>
    </row>
    <row r="27" spans="1:15" x14ac:dyDescent="0.3">
      <c r="A27" s="1">
        <v>2026</v>
      </c>
      <c r="B27" s="1" t="s">
        <v>577</v>
      </c>
      <c r="C27" s="18">
        <v>46190</v>
      </c>
      <c r="D27" s="1" t="s">
        <v>348</v>
      </c>
      <c r="E27" s="9">
        <f>VLOOKUP(TBLBAHANMASUK[[#This Row],[NAMA BAHAN]],TBLREKAPBAHAN[[NAMA BAHAN]:[MODAL SATUAN]],2,FALSE)</f>
        <v>23000</v>
      </c>
      <c r="F27" s="9">
        <f>VLOOKUP(TBLBAHANMASUK[[#This Row],[NAMA BAHAN]],TBLREKAPBAHAN[[NAMA BAHAN]:[MODAL SATUAN]],3,FALSE)</f>
        <v>3000</v>
      </c>
      <c r="G27" s="9">
        <f>VLOOKUP(TBLBAHANMASUK[[#This Row],[NAMA BAHAN]],TBLREKAPBAHAN[[NAMA BAHAN]:[MODAL SATUAN]],4,FALSE)</f>
        <v>7.666666666666667</v>
      </c>
      <c r="H27" s="152">
        <v>3000</v>
      </c>
      <c r="I27" s="73">
        <f>TBLBAHANMASUK[[#This Row],[MODAL SATUAN]]*TBLBAHANMASUK[[#This Row],[MASUK]]</f>
        <v>23000</v>
      </c>
      <c r="J27" s="9">
        <v>23000</v>
      </c>
      <c r="K27" s="9">
        <f>TBLBAHANMASUK[[#This Row],[ISI]]</f>
        <v>3000</v>
      </c>
      <c r="L27" s="9">
        <f>TBLBAHANMASUK[[#This Row],[HARGA ASLI]]/TBLBAHANMASUK[[#This Row],[QTY]]</f>
        <v>7.666666666666667</v>
      </c>
      <c r="M27" s="9">
        <f>TBLBAHANMASUK[[#This Row],[MASUK]]</f>
        <v>3000</v>
      </c>
      <c r="N27" s="9">
        <f>TBLBAHANMASUK[[#This Row],[MODAL ASLI]]*TBLBAHANMASUK[[#This Row],[QTY MASUK]]</f>
        <v>23000</v>
      </c>
      <c r="O27" s="9">
        <f>TBLBAHANMASUK[[#This Row],[NILAI MASUK]]-TBLBAHANMASUK[[#This Row],[NILAI MASUK ASLI]]</f>
        <v>0</v>
      </c>
    </row>
    <row r="28" spans="1:15" x14ac:dyDescent="0.3">
      <c r="A28" s="1">
        <v>2026</v>
      </c>
      <c r="B28" s="1" t="s">
        <v>577</v>
      </c>
      <c r="C28" s="18">
        <v>46190</v>
      </c>
      <c r="D28" s="1" t="s">
        <v>434</v>
      </c>
      <c r="E28" s="9">
        <f>VLOOKUP(TBLBAHANMASUK[[#This Row],[NAMA BAHAN]],TBLREKAPBAHAN[[NAMA BAHAN]:[MODAL SATUAN]],2,FALSE)</f>
        <v>10000</v>
      </c>
      <c r="F28" s="9">
        <f>VLOOKUP(TBLBAHANMASUK[[#This Row],[NAMA BAHAN]],TBLREKAPBAHAN[[NAMA BAHAN]:[MODAL SATUAN]],3,FALSE)</f>
        <v>100</v>
      </c>
      <c r="G28" s="9">
        <f>VLOOKUP(TBLBAHANMASUK[[#This Row],[NAMA BAHAN]],TBLREKAPBAHAN[[NAMA BAHAN]:[MODAL SATUAN]],4,FALSE)</f>
        <v>100</v>
      </c>
      <c r="H28" s="152">
        <v>100</v>
      </c>
      <c r="I28" s="73">
        <f>TBLBAHANMASUK[[#This Row],[MODAL SATUAN]]*TBLBAHANMASUK[[#This Row],[MASUK]]</f>
        <v>10000</v>
      </c>
      <c r="J28" s="9">
        <v>9000</v>
      </c>
      <c r="K28" s="9">
        <f>TBLBAHANMASUK[[#This Row],[ISI]]</f>
        <v>100</v>
      </c>
      <c r="L28" s="9">
        <f>TBLBAHANMASUK[[#This Row],[HARGA ASLI]]/TBLBAHANMASUK[[#This Row],[QTY]]</f>
        <v>90</v>
      </c>
      <c r="M28" s="9">
        <f>TBLBAHANMASUK[[#This Row],[MASUK]]</f>
        <v>100</v>
      </c>
      <c r="N28" s="9">
        <f>TBLBAHANMASUK[[#This Row],[MODAL ASLI]]*TBLBAHANMASUK[[#This Row],[QTY MASUK]]</f>
        <v>9000</v>
      </c>
      <c r="O28" s="9">
        <f>TBLBAHANMASUK[[#This Row],[NILAI MASUK]]-TBLBAHANMASUK[[#This Row],[NILAI MASUK ASLI]]</f>
        <v>1000</v>
      </c>
    </row>
    <row r="29" spans="1:15" x14ac:dyDescent="0.3">
      <c r="A29" s="1">
        <v>2026</v>
      </c>
      <c r="B29" s="1" t="s">
        <v>577</v>
      </c>
      <c r="C29" s="18">
        <v>46190</v>
      </c>
      <c r="D29" s="1" t="s">
        <v>328</v>
      </c>
      <c r="E29" s="9">
        <f>VLOOKUP(TBLBAHANMASUK[[#This Row],[NAMA BAHAN]],TBLREKAPBAHAN[[NAMA BAHAN]:[MODAL SATUAN]],2,FALSE)</f>
        <v>16000</v>
      </c>
      <c r="F29" s="9">
        <f>VLOOKUP(TBLBAHANMASUK[[#This Row],[NAMA BAHAN]],TBLREKAPBAHAN[[NAMA BAHAN]:[MODAL SATUAN]],3,FALSE)</f>
        <v>12</v>
      </c>
      <c r="G29" s="9">
        <f>VLOOKUP(TBLBAHANMASUK[[#This Row],[NAMA BAHAN]],TBLREKAPBAHAN[[NAMA BAHAN]:[MODAL SATUAN]],4,FALSE)</f>
        <v>1333.3333333333333</v>
      </c>
      <c r="H29" s="152">
        <v>10</v>
      </c>
      <c r="I29" s="73">
        <f>TBLBAHANMASUK[[#This Row],[MODAL SATUAN]]*TBLBAHANMASUK[[#This Row],[MASUK]]</f>
        <v>13333.333333333332</v>
      </c>
      <c r="J29" s="9">
        <v>11000</v>
      </c>
      <c r="K29" s="9">
        <f>TBLBAHANMASUK[[#This Row],[ISI]]</f>
        <v>12</v>
      </c>
      <c r="L29" s="9">
        <f>TBLBAHANMASUK[[#This Row],[HARGA ASLI]]/TBLBAHANMASUK[[#This Row],[QTY]]</f>
        <v>916.66666666666663</v>
      </c>
      <c r="M29" s="9">
        <f>TBLBAHANMASUK[[#This Row],[MASUK]]</f>
        <v>10</v>
      </c>
      <c r="N29" s="9">
        <f>TBLBAHANMASUK[[#This Row],[MODAL ASLI]]*TBLBAHANMASUK[[#This Row],[QTY MASUK]]</f>
        <v>9166.6666666666661</v>
      </c>
      <c r="O29" s="9">
        <f>TBLBAHANMASUK[[#This Row],[NILAI MASUK]]-TBLBAHANMASUK[[#This Row],[NILAI MASUK ASLI]]</f>
        <v>4166.6666666666661</v>
      </c>
    </row>
    <row r="30" spans="1:15" x14ac:dyDescent="0.3">
      <c r="A30" s="1">
        <v>2026</v>
      </c>
      <c r="B30" s="1" t="s">
        <v>577</v>
      </c>
      <c r="C30" s="18">
        <v>46190</v>
      </c>
      <c r="D30" s="1" t="s">
        <v>581</v>
      </c>
      <c r="E30" s="9">
        <f>VLOOKUP(TBLBAHANMASUK[[#This Row],[NAMA BAHAN]],TBLREKAPBAHAN[[NAMA BAHAN]:[MODAL SATUAN]],2,FALSE)</f>
        <v>5500</v>
      </c>
      <c r="F30" s="9">
        <f>VLOOKUP(TBLBAHANMASUK[[#This Row],[NAMA BAHAN]],TBLREKAPBAHAN[[NAMA BAHAN]:[MODAL SATUAN]],3,FALSE)</f>
        <v>100</v>
      </c>
      <c r="G30" s="9">
        <f>VLOOKUP(TBLBAHANMASUK[[#This Row],[NAMA BAHAN]],TBLREKAPBAHAN[[NAMA BAHAN]:[MODAL SATUAN]],4,FALSE)</f>
        <v>55</v>
      </c>
      <c r="H30" s="9">
        <v>100</v>
      </c>
      <c r="I30" s="73">
        <f>TBLBAHANMASUK[[#This Row],[MODAL SATUAN]]*TBLBAHANMASUK[[#This Row],[MASUK]]</f>
        <v>5500</v>
      </c>
      <c r="J30" s="9">
        <v>4700</v>
      </c>
      <c r="K30" s="9">
        <f>TBLBAHANMASUK[[#This Row],[ISI]]</f>
        <v>100</v>
      </c>
      <c r="L30" s="9">
        <f>TBLBAHANMASUK[[#This Row],[HARGA ASLI]]/TBLBAHANMASUK[[#This Row],[QTY]]</f>
        <v>47</v>
      </c>
      <c r="M30" s="9">
        <f>TBLBAHANMASUK[[#This Row],[MASUK]]</f>
        <v>100</v>
      </c>
      <c r="N30" s="9">
        <f>TBLBAHANMASUK[[#This Row],[MODAL ASLI]]*TBLBAHANMASUK[[#This Row],[QTY MASUK]]</f>
        <v>4700</v>
      </c>
      <c r="O30" s="9">
        <f>TBLBAHANMASUK[[#This Row],[NILAI MASUK]]-TBLBAHANMASUK[[#This Row],[NILAI MASUK ASLI]]</f>
        <v>800</v>
      </c>
    </row>
    <row r="31" spans="1:15" x14ac:dyDescent="0.3">
      <c r="A31" s="1">
        <v>2026</v>
      </c>
      <c r="B31" s="1" t="s">
        <v>577</v>
      </c>
      <c r="C31" s="18">
        <v>46190</v>
      </c>
      <c r="D31" s="1" t="s">
        <v>327</v>
      </c>
      <c r="E31" s="9">
        <f>VLOOKUP(TBLBAHANMASUK[[#This Row],[NAMA BAHAN]],TBLREKAPBAHAN[[NAMA BAHAN]:[MODAL SATUAN]],2,FALSE)</f>
        <v>8000</v>
      </c>
      <c r="F31" s="9">
        <f>VLOOKUP(TBLBAHANMASUK[[#This Row],[NAMA BAHAN]],TBLREKAPBAHAN[[NAMA BAHAN]:[MODAL SATUAN]],3,FALSE)</f>
        <v>24</v>
      </c>
      <c r="G31" s="9">
        <f>VLOOKUP(TBLBAHANMASUK[[#This Row],[NAMA BAHAN]],TBLREKAPBAHAN[[NAMA BAHAN]:[MODAL SATUAN]],4,FALSE)</f>
        <v>333.33333333333331</v>
      </c>
      <c r="H31" s="9">
        <v>24</v>
      </c>
      <c r="I31" s="73">
        <f>TBLBAHANMASUK[[#This Row],[MODAL SATUAN]]*TBLBAHANMASUK[[#This Row],[MASUK]]</f>
        <v>8000</v>
      </c>
      <c r="J31" s="9">
        <v>7750</v>
      </c>
      <c r="K31" s="9">
        <f>TBLBAHANMASUK[[#This Row],[ISI]]</f>
        <v>24</v>
      </c>
      <c r="L31" s="9">
        <f>TBLBAHANMASUK[[#This Row],[HARGA ASLI]]/TBLBAHANMASUK[[#This Row],[QTY]]</f>
        <v>322.91666666666669</v>
      </c>
      <c r="M31" s="9">
        <f>TBLBAHANMASUK[[#This Row],[MASUK]]</f>
        <v>24</v>
      </c>
      <c r="N31" s="9">
        <f>TBLBAHANMASUK[[#This Row],[MODAL ASLI]]*TBLBAHANMASUK[[#This Row],[QTY MASUK]]</f>
        <v>7750</v>
      </c>
      <c r="O31" s="9">
        <f>TBLBAHANMASUK[[#This Row],[NILAI MASUK]]-TBLBAHANMASUK[[#This Row],[NILAI MASUK ASLI]]</f>
        <v>250</v>
      </c>
    </row>
    <row r="32" spans="1:15" x14ac:dyDescent="0.3">
      <c r="A32" s="1">
        <v>2026</v>
      </c>
      <c r="B32" s="1" t="s">
        <v>577</v>
      </c>
      <c r="C32" s="18">
        <v>46190</v>
      </c>
      <c r="D32" s="1" t="s">
        <v>331</v>
      </c>
      <c r="E32" s="9">
        <f>VLOOKUP(TBLBAHANMASUK[[#This Row],[NAMA BAHAN]],TBLREKAPBAHAN[[NAMA BAHAN]:[MODAL SATUAN]],2,FALSE)</f>
        <v>45000</v>
      </c>
      <c r="F32" s="9">
        <f>VLOOKUP(TBLBAHANMASUK[[#This Row],[NAMA BAHAN]],TBLREKAPBAHAN[[NAMA BAHAN]:[MODAL SATUAN]],3,FALSE)</f>
        <v>400</v>
      </c>
      <c r="G32" s="9">
        <f>VLOOKUP(TBLBAHANMASUK[[#This Row],[NAMA BAHAN]],TBLREKAPBAHAN[[NAMA BAHAN]:[MODAL SATUAN]],4,FALSE)</f>
        <v>112.5</v>
      </c>
      <c r="H32" s="9">
        <v>800</v>
      </c>
      <c r="I32" s="73">
        <f>TBLBAHANMASUK[[#This Row],[MODAL SATUAN]]*TBLBAHANMASUK[[#This Row],[MASUK]]</f>
        <v>90000</v>
      </c>
      <c r="J32" s="9">
        <v>25000</v>
      </c>
      <c r="K32" s="9">
        <f>TBLBAHANMASUK[[#This Row],[ISI]]</f>
        <v>400</v>
      </c>
      <c r="L32" s="9">
        <f>TBLBAHANMASUK[[#This Row],[HARGA ASLI]]/TBLBAHANMASUK[[#This Row],[QTY]]</f>
        <v>62.5</v>
      </c>
      <c r="M32" s="9">
        <f>TBLBAHANMASUK[[#This Row],[MASUK]]</f>
        <v>800</v>
      </c>
      <c r="N32" s="9">
        <f>TBLBAHANMASUK[[#This Row],[MODAL ASLI]]*TBLBAHANMASUK[[#This Row],[QTY MASUK]]</f>
        <v>50000</v>
      </c>
      <c r="O32" s="9">
        <f>TBLBAHANMASUK[[#This Row],[NILAI MASUK]]-TBLBAHANMASUK[[#This Row],[NILAI MASUK ASLI]]</f>
        <v>40000</v>
      </c>
    </row>
    <row r="33" spans="1:15" x14ac:dyDescent="0.3">
      <c r="A33" s="1">
        <v>2026</v>
      </c>
      <c r="B33" s="1" t="s">
        <v>590</v>
      </c>
      <c r="C33" s="18">
        <v>46207</v>
      </c>
      <c r="D33" s="1" t="s">
        <v>336</v>
      </c>
      <c r="E33" s="9">
        <f>VLOOKUP(TBLBAHANMASUK[[#This Row],[NAMA BAHAN]],TBLREKAPBAHAN[[NAMA BAHAN]:[MODAL SATUAN]],2,FALSE)</f>
        <v>60000</v>
      </c>
      <c r="F33" s="9">
        <f>VLOOKUP(TBLBAHANMASUK[[#This Row],[NAMA BAHAN]],TBLREKAPBAHAN[[NAMA BAHAN]:[MODAL SATUAN]],3,FALSE)</f>
        <v>50</v>
      </c>
      <c r="G33" s="9">
        <f>VLOOKUP(TBLBAHANMASUK[[#This Row],[NAMA BAHAN]],TBLREKAPBAHAN[[NAMA BAHAN]:[MODAL SATUAN]],4,FALSE)</f>
        <v>1200</v>
      </c>
      <c r="H33" s="9">
        <v>20</v>
      </c>
      <c r="I33" s="73">
        <f>TBLBAHANMASUK[[#This Row],[MODAL SATUAN]]*TBLBAHANMASUK[[#This Row],[MASUK]]</f>
        <v>24000</v>
      </c>
      <c r="J33" s="9">
        <v>45000</v>
      </c>
      <c r="K33" s="9">
        <f>TBLBAHANMASUK[[#This Row],[ISI]]</f>
        <v>50</v>
      </c>
      <c r="L33" s="9">
        <f>TBLBAHANMASUK[[#This Row],[HARGA ASLI]]/TBLBAHANMASUK[[#This Row],[QTY]]</f>
        <v>900</v>
      </c>
      <c r="M33" s="9">
        <f>TBLBAHANMASUK[[#This Row],[MASUK]]</f>
        <v>20</v>
      </c>
      <c r="N33" s="9">
        <f>TBLBAHANMASUK[[#This Row],[MODAL ASLI]]*TBLBAHANMASUK[[#This Row],[QTY MASUK]]</f>
        <v>18000</v>
      </c>
      <c r="O33" s="9">
        <f>TBLBAHANMASUK[[#This Row],[NILAI MASUK]]-TBLBAHANMASUK[[#This Row],[NILAI MASUK ASLI]]</f>
        <v>6000</v>
      </c>
    </row>
    <row r="34" spans="1:15" x14ac:dyDescent="0.3">
      <c r="A34" s="1">
        <v>2026</v>
      </c>
      <c r="B34" s="1" t="s">
        <v>590</v>
      </c>
      <c r="C34" s="18">
        <v>46207</v>
      </c>
      <c r="D34" s="1" t="s">
        <v>331</v>
      </c>
      <c r="E34" s="9">
        <f>VLOOKUP(TBLBAHANMASUK[[#This Row],[NAMA BAHAN]],TBLREKAPBAHAN[[NAMA BAHAN]:[MODAL SATUAN]],2,FALSE)</f>
        <v>45000</v>
      </c>
      <c r="F34" s="9">
        <f>VLOOKUP(TBLBAHANMASUK[[#This Row],[NAMA BAHAN]],TBLREKAPBAHAN[[NAMA BAHAN]:[MODAL SATUAN]],3,FALSE)</f>
        <v>400</v>
      </c>
      <c r="G34" s="9">
        <f>VLOOKUP(TBLBAHANMASUK[[#This Row],[NAMA BAHAN]],TBLREKAPBAHAN[[NAMA BAHAN]:[MODAL SATUAN]],4,FALSE)</f>
        <v>112.5</v>
      </c>
      <c r="H34" s="9">
        <v>1200</v>
      </c>
      <c r="I34" s="73">
        <f>TBLBAHANMASUK[[#This Row],[MODAL SATUAN]]*TBLBAHANMASUK[[#This Row],[MASUK]]</f>
        <v>135000</v>
      </c>
      <c r="J34" s="9">
        <v>30000</v>
      </c>
      <c r="K34" s="9">
        <f>TBLBAHANMASUK[[#This Row],[ISI]]</f>
        <v>400</v>
      </c>
      <c r="L34" s="9">
        <f>TBLBAHANMASUK[[#This Row],[HARGA ASLI]]/TBLBAHANMASUK[[#This Row],[QTY]]</f>
        <v>75</v>
      </c>
      <c r="M34" s="9">
        <f>TBLBAHANMASUK[[#This Row],[MASUK]]</f>
        <v>1200</v>
      </c>
      <c r="N34" s="9">
        <f>TBLBAHANMASUK[[#This Row],[MODAL ASLI]]*TBLBAHANMASUK[[#This Row],[QTY MASUK]]</f>
        <v>90000</v>
      </c>
      <c r="O34" s="9">
        <f>TBLBAHANMASUK[[#This Row],[NILAI MASUK]]-TBLBAHANMASUK[[#This Row],[NILAI MASUK ASLI]]</f>
        <v>45000</v>
      </c>
    </row>
    <row r="35" spans="1:15" x14ac:dyDescent="0.3">
      <c r="A35" s="1">
        <v>2026</v>
      </c>
      <c r="B35" s="1" t="s">
        <v>590</v>
      </c>
      <c r="C35" s="18">
        <v>46207</v>
      </c>
      <c r="D35" s="1" t="s">
        <v>327</v>
      </c>
      <c r="E35" s="9">
        <f>VLOOKUP(TBLBAHANMASUK[[#This Row],[NAMA BAHAN]],TBLREKAPBAHAN[[NAMA BAHAN]:[MODAL SATUAN]],2,FALSE)</f>
        <v>8000</v>
      </c>
      <c r="F35" s="9">
        <f>VLOOKUP(TBLBAHANMASUK[[#This Row],[NAMA BAHAN]],TBLREKAPBAHAN[[NAMA BAHAN]:[MODAL SATUAN]],3,FALSE)</f>
        <v>24</v>
      </c>
      <c r="G35" s="9">
        <f>VLOOKUP(TBLBAHANMASUK[[#This Row],[NAMA BAHAN]],TBLREKAPBAHAN[[NAMA BAHAN]:[MODAL SATUAN]],4,FALSE)</f>
        <v>333.33333333333331</v>
      </c>
      <c r="H35" s="9">
        <v>48</v>
      </c>
      <c r="I35" s="73">
        <f>TBLBAHANMASUK[[#This Row],[MODAL SATUAN]]*TBLBAHANMASUK[[#This Row],[MASUK]]</f>
        <v>16000</v>
      </c>
      <c r="J35" s="9">
        <v>7000</v>
      </c>
      <c r="K35" s="9">
        <f>TBLBAHANMASUK[[#This Row],[ISI]]</f>
        <v>24</v>
      </c>
      <c r="L35" s="9">
        <f>TBLBAHANMASUK[[#This Row],[HARGA ASLI]]/TBLBAHANMASUK[[#This Row],[QTY]]</f>
        <v>291.66666666666669</v>
      </c>
      <c r="M35" s="9">
        <f>TBLBAHANMASUK[[#This Row],[MASUK]]</f>
        <v>48</v>
      </c>
      <c r="N35" s="9">
        <f>TBLBAHANMASUK[[#This Row],[MODAL ASLI]]*TBLBAHANMASUK[[#This Row],[QTY MASUK]]</f>
        <v>14000</v>
      </c>
      <c r="O35" s="9">
        <f>TBLBAHANMASUK[[#This Row],[NILAI MASUK]]-TBLBAHANMASUK[[#This Row],[NILAI MASUK ASLI]]</f>
        <v>2000</v>
      </c>
    </row>
    <row r="36" spans="1:15" x14ac:dyDescent="0.3">
      <c r="A36" s="1">
        <v>2026</v>
      </c>
      <c r="B36" s="1" t="s">
        <v>590</v>
      </c>
      <c r="C36" s="18">
        <v>46207</v>
      </c>
      <c r="D36" s="1" t="s">
        <v>330</v>
      </c>
      <c r="E36" s="9">
        <f>VLOOKUP(TBLBAHANMASUK[[#This Row],[NAMA BAHAN]],TBLREKAPBAHAN[[NAMA BAHAN]:[MODAL SATUAN]],2,FALSE)</f>
        <v>35000</v>
      </c>
      <c r="F36" s="9">
        <f>VLOOKUP(TBLBAHANMASUK[[#This Row],[NAMA BAHAN]],TBLREKAPBAHAN[[NAMA BAHAN]:[MODAL SATUAN]],3,FALSE)</f>
        <v>38</v>
      </c>
      <c r="G36" s="9">
        <f>VLOOKUP(TBLBAHANMASUK[[#This Row],[NAMA BAHAN]],TBLREKAPBAHAN[[NAMA BAHAN]:[MODAL SATUAN]],4,FALSE)</f>
        <v>921.0526315789474</v>
      </c>
      <c r="H36" s="9">
        <v>38</v>
      </c>
      <c r="I36" s="73">
        <f>TBLBAHANMASUK[[#This Row],[MODAL SATUAN]]*TBLBAHANMASUK[[#This Row],[MASUK]]</f>
        <v>35000</v>
      </c>
      <c r="J36" s="9">
        <v>32000</v>
      </c>
      <c r="K36" s="9">
        <f>TBLBAHANMASUK[[#This Row],[ISI]]</f>
        <v>38</v>
      </c>
      <c r="L36" s="9">
        <f>TBLBAHANMASUK[[#This Row],[HARGA ASLI]]/TBLBAHANMASUK[[#This Row],[QTY]]</f>
        <v>842.10526315789468</v>
      </c>
      <c r="M36" s="9">
        <f>TBLBAHANMASUK[[#This Row],[MASUK]]</f>
        <v>38</v>
      </c>
      <c r="N36" s="9">
        <f>TBLBAHANMASUK[[#This Row],[MODAL ASLI]]*TBLBAHANMASUK[[#This Row],[QTY MASUK]]</f>
        <v>31999.999999999996</v>
      </c>
      <c r="O36" s="9">
        <f>TBLBAHANMASUK[[#This Row],[NILAI MASUK]]-TBLBAHANMASUK[[#This Row],[NILAI MASUK ASLI]]</f>
        <v>3000.0000000000036</v>
      </c>
    </row>
    <row r="37" spans="1:15" x14ac:dyDescent="0.3">
      <c r="A37" s="1">
        <v>2026</v>
      </c>
      <c r="B37" s="1" t="s">
        <v>590</v>
      </c>
      <c r="C37" s="18">
        <v>46207</v>
      </c>
      <c r="D37" s="1" t="s">
        <v>345</v>
      </c>
      <c r="E37" s="9">
        <f>VLOOKUP(TBLBAHANMASUK[[#This Row],[NAMA BAHAN]],TBLREKAPBAHAN[[NAMA BAHAN]:[MODAL SATUAN]],2,FALSE)</f>
        <v>5000</v>
      </c>
      <c r="F37" s="9">
        <f>VLOOKUP(TBLBAHANMASUK[[#This Row],[NAMA BAHAN]],TBLREKAPBAHAN[[NAMA BAHAN]:[MODAL SATUAN]],3,FALSE)</f>
        <v>8</v>
      </c>
      <c r="G37" s="9">
        <f>VLOOKUP(TBLBAHANMASUK[[#This Row],[NAMA BAHAN]],TBLREKAPBAHAN[[NAMA BAHAN]:[MODAL SATUAN]],4,FALSE)</f>
        <v>625</v>
      </c>
      <c r="H37" s="9">
        <v>24</v>
      </c>
      <c r="I37" s="73">
        <f>TBLBAHANMASUK[[#This Row],[MODAL SATUAN]]*TBLBAHANMASUK[[#This Row],[MASUK]]</f>
        <v>15000</v>
      </c>
      <c r="J37" s="9">
        <v>2500</v>
      </c>
      <c r="K37" s="9">
        <f>TBLBAHANMASUK[[#This Row],[ISI]]</f>
        <v>8</v>
      </c>
      <c r="L37" s="9">
        <f>TBLBAHANMASUK[[#This Row],[HARGA ASLI]]/TBLBAHANMASUK[[#This Row],[QTY]]</f>
        <v>312.5</v>
      </c>
      <c r="M37" s="9">
        <f>TBLBAHANMASUK[[#This Row],[MASUK]]</f>
        <v>24</v>
      </c>
      <c r="N37" s="9">
        <f>TBLBAHANMASUK[[#This Row],[MODAL ASLI]]*TBLBAHANMASUK[[#This Row],[QTY MASUK]]</f>
        <v>7500</v>
      </c>
      <c r="O37" s="9">
        <f>TBLBAHANMASUK[[#This Row],[NILAI MASUK]]-TBLBAHANMASUK[[#This Row],[NILAI MASUK ASLI]]</f>
        <v>7500</v>
      </c>
    </row>
    <row r="38" spans="1:15" x14ac:dyDescent="0.3">
      <c r="A38" s="1">
        <v>2026</v>
      </c>
      <c r="B38" s="1" t="s">
        <v>590</v>
      </c>
      <c r="C38" s="18">
        <v>46208</v>
      </c>
      <c r="D38" s="1" t="s">
        <v>579</v>
      </c>
      <c r="E38" s="9">
        <f>VLOOKUP(TBLBAHANMASUK[[#This Row],[NAMA BAHAN]],TBLREKAPBAHAN[[NAMA BAHAN]:[MODAL SATUAN]],2,FALSE)</f>
        <v>27000</v>
      </c>
      <c r="F38" s="9">
        <f>VLOOKUP(TBLBAHANMASUK[[#This Row],[NAMA BAHAN]],TBLREKAPBAHAN[[NAMA BAHAN]:[MODAL SATUAN]],3,FALSE)</f>
        <v>20</v>
      </c>
      <c r="G38" s="9">
        <f>VLOOKUP(TBLBAHANMASUK[[#This Row],[NAMA BAHAN]],TBLREKAPBAHAN[[NAMA BAHAN]:[MODAL SATUAN]],4,FALSE)</f>
        <v>1350</v>
      </c>
      <c r="H38" s="9">
        <v>40</v>
      </c>
      <c r="I38" s="73">
        <f>TBLBAHANMASUK[[#This Row],[MODAL SATUAN]]*TBLBAHANMASUK[[#This Row],[MASUK]]</f>
        <v>54000</v>
      </c>
      <c r="J38" s="9">
        <v>26000</v>
      </c>
      <c r="K38" s="9">
        <f>TBLBAHANMASUK[[#This Row],[ISI]]</f>
        <v>20</v>
      </c>
      <c r="L38" s="9">
        <f>TBLBAHANMASUK[[#This Row],[HARGA ASLI]]/TBLBAHANMASUK[[#This Row],[QTY]]</f>
        <v>1300</v>
      </c>
      <c r="M38" s="9">
        <f>TBLBAHANMASUK[[#This Row],[MASUK]]</f>
        <v>40</v>
      </c>
      <c r="N38" s="9">
        <f>TBLBAHANMASUK[[#This Row],[MODAL ASLI]]*TBLBAHANMASUK[[#This Row],[QTY MASUK]]</f>
        <v>52000</v>
      </c>
      <c r="O38" s="9">
        <f>TBLBAHANMASUK[[#This Row],[NILAI MASUK]]-TBLBAHANMASUK[[#This Row],[NILAI MASUK ASLI]]</f>
        <v>2000</v>
      </c>
    </row>
    <row r="39" spans="1:15" x14ac:dyDescent="0.3">
      <c r="A39" s="1">
        <v>2026</v>
      </c>
      <c r="B39" s="1" t="s">
        <v>590</v>
      </c>
      <c r="C39" s="18">
        <v>46208</v>
      </c>
      <c r="D39" s="1" t="s">
        <v>332</v>
      </c>
      <c r="E39" s="9">
        <f>VLOOKUP(TBLBAHANMASUK[[#This Row],[NAMA BAHAN]],TBLREKAPBAHAN[[NAMA BAHAN]:[MODAL SATUAN]],2,FALSE)</f>
        <v>29000</v>
      </c>
      <c r="F39" s="9">
        <f>VLOOKUP(TBLBAHANMASUK[[#This Row],[NAMA BAHAN]],TBLREKAPBAHAN[[NAMA BAHAN]:[MODAL SATUAN]],3,FALSE)</f>
        <v>20</v>
      </c>
      <c r="G39" s="9">
        <f>VLOOKUP(TBLBAHANMASUK[[#This Row],[NAMA BAHAN]],TBLREKAPBAHAN[[NAMA BAHAN]:[MODAL SATUAN]],4,FALSE)</f>
        <v>1450</v>
      </c>
      <c r="H39" s="9">
        <v>40</v>
      </c>
      <c r="I39" s="73">
        <f>TBLBAHANMASUK[[#This Row],[MODAL SATUAN]]*TBLBAHANMASUK[[#This Row],[MASUK]]</f>
        <v>58000</v>
      </c>
      <c r="J39" s="9">
        <v>28500</v>
      </c>
      <c r="K39" s="9">
        <f>TBLBAHANMASUK[[#This Row],[ISI]]</f>
        <v>20</v>
      </c>
      <c r="L39" s="9">
        <f>TBLBAHANMASUK[[#This Row],[HARGA ASLI]]/TBLBAHANMASUK[[#This Row],[QTY]]</f>
        <v>1425</v>
      </c>
      <c r="M39" s="9">
        <f>TBLBAHANMASUK[[#This Row],[MASUK]]</f>
        <v>40</v>
      </c>
      <c r="N39" s="9">
        <f>TBLBAHANMASUK[[#This Row],[MODAL ASLI]]*TBLBAHANMASUK[[#This Row],[QTY MASUK]]</f>
        <v>57000</v>
      </c>
      <c r="O39" s="9">
        <f>TBLBAHANMASUK[[#This Row],[NILAI MASUK]]-TBLBAHANMASUK[[#This Row],[NILAI MASUK ASLI]]</f>
        <v>1000</v>
      </c>
    </row>
    <row r="40" spans="1:15" x14ac:dyDescent="0.3">
      <c r="A40" s="1">
        <v>2026</v>
      </c>
      <c r="B40" s="1" t="s">
        <v>590</v>
      </c>
      <c r="C40" s="18">
        <v>46208</v>
      </c>
      <c r="D40" s="1" t="s">
        <v>164</v>
      </c>
      <c r="E40" s="9">
        <f>VLOOKUP(TBLBAHANMASUK[[#This Row],[NAMA BAHAN]],TBLREKAPBAHAN[[NAMA BAHAN]:[MODAL SATUAN]],2,FALSE)</f>
        <v>15000</v>
      </c>
      <c r="F40" s="9">
        <f>VLOOKUP(TBLBAHANMASUK[[#This Row],[NAMA BAHAN]],TBLREKAPBAHAN[[NAMA BAHAN]:[MODAL SATUAN]],3,FALSE)</f>
        <v>6</v>
      </c>
      <c r="G40" s="9">
        <f>VLOOKUP(TBLBAHANMASUK[[#This Row],[NAMA BAHAN]],TBLREKAPBAHAN[[NAMA BAHAN]:[MODAL SATUAN]],4,FALSE)</f>
        <v>2500</v>
      </c>
      <c r="H40" s="9">
        <v>6</v>
      </c>
      <c r="I40" s="73">
        <f>TBLBAHANMASUK[[#This Row],[MODAL SATUAN]]*TBLBAHANMASUK[[#This Row],[MASUK]]</f>
        <v>15000</v>
      </c>
      <c r="J40" s="9">
        <v>14500</v>
      </c>
      <c r="K40" s="9">
        <f>TBLBAHANMASUK[[#This Row],[ISI]]</f>
        <v>6</v>
      </c>
      <c r="L40" s="9">
        <f>TBLBAHANMASUK[[#This Row],[HARGA ASLI]]/TBLBAHANMASUK[[#This Row],[QTY]]</f>
        <v>2416.6666666666665</v>
      </c>
      <c r="M40" s="9">
        <f>TBLBAHANMASUK[[#This Row],[MASUK]]</f>
        <v>6</v>
      </c>
      <c r="N40" s="9">
        <f>TBLBAHANMASUK[[#This Row],[MODAL ASLI]]*TBLBAHANMASUK[[#This Row],[QTY MASUK]]</f>
        <v>14500</v>
      </c>
      <c r="O40" s="9">
        <f>TBLBAHANMASUK[[#This Row],[NILAI MASUK]]-TBLBAHANMASUK[[#This Row],[NILAI MASUK ASLI]]</f>
        <v>500</v>
      </c>
    </row>
    <row r="41" spans="1:15" x14ac:dyDescent="0.3">
      <c r="A41" s="1">
        <v>2026</v>
      </c>
      <c r="B41" s="1" t="s">
        <v>590</v>
      </c>
      <c r="C41" s="18">
        <v>46208</v>
      </c>
      <c r="D41" s="1" t="s">
        <v>325</v>
      </c>
      <c r="E41" s="9">
        <f>VLOOKUP(TBLBAHANMASUK[[#This Row],[NAMA BAHAN]],TBLREKAPBAHAN[[NAMA BAHAN]:[MODAL SATUAN]],2,FALSE)</f>
        <v>12000</v>
      </c>
      <c r="F41" s="9">
        <f>VLOOKUP(TBLBAHANMASUK[[#This Row],[NAMA BAHAN]],TBLREKAPBAHAN[[NAMA BAHAN]:[MODAL SATUAN]],3,FALSE)</f>
        <v>250</v>
      </c>
      <c r="G41" s="9">
        <f>VLOOKUP(TBLBAHANMASUK[[#This Row],[NAMA BAHAN]],TBLREKAPBAHAN[[NAMA BAHAN]:[MODAL SATUAN]],4,FALSE)</f>
        <v>48</v>
      </c>
      <c r="H41" s="9">
        <v>250</v>
      </c>
      <c r="I41" s="73">
        <f>TBLBAHANMASUK[[#This Row],[MODAL SATUAN]]*TBLBAHANMASUK[[#This Row],[MASUK]]</f>
        <v>12000</v>
      </c>
      <c r="J41" s="9">
        <v>9500</v>
      </c>
      <c r="K41" s="9">
        <f>TBLBAHANMASUK[[#This Row],[ISI]]</f>
        <v>250</v>
      </c>
      <c r="L41" s="9">
        <f>TBLBAHANMASUK[[#This Row],[HARGA ASLI]]/TBLBAHANMASUK[[#This Row],[QTY]]</f>
        <v>38</v>
      </c>
      <c r="M41" s="9">
        <f>TBLBAHANMASUK[[#This Row],[MASUK]]</f>
        <v>250</v>
      </c>
      <c r="N41" s="9">
        <f>TBLBAHANMASUK[[#This Row],[MODAL ASLI]]*TBLBAHANMASUK[[#This Row],[QTY MASUK]]</f>
        <v>9500</v>
      </c>
      <c r="O41" s="9">
        <f>TBLBAHANMASUK[[#This Row],[NILAI MASUK]]-TBLBAHANMASUK[[#This Row],[NILAI MASUK ASLI]]</f>
        <v>2500</v>
      </c>
    </row>
    <row r="42" spans="1:15" x14ac:dyDescent="0.3">
      <c r="A42" s="1">
        <v>2026</v>
      </c>
      <c r="B42" s="1" t="s">
        <v>590</v>
      </c>
      <c r="C42" s="18">
        <v>46208</v>
      </c>
      <c r="D42" s="1" t="s">
        <v>343</v>
      </c>
      <c r="E42" s="9">
        <f>VLOOKUP(TBLBAHANMASUK[[#This Row],[NAMA BAHAN]],TBLREKAPBAHAN[[NAMA BAHAN]:[MODAL SATUAN]],2,FALSE)</f>
        <v>14000</v>
      </c>
      <c r="F42" s="9">
        <f>VLOOKUP(TBLBAHANMASUK[[#This Row],[NAMA BAHAN]],TBLREKAPBAHAN[[NAMA BAHAN]:[MODAL SATUAN]],3,FALSE)</f>
        <v>1000</v>
      </c>
      <c r="G42" s="9">
        <f>VLOOKUP(TBLBAHANMASUK[[#This Row],[NAMA BAHAN]],TBLREKAPBAHAN[[NAMA BAHAN]:[MODAL SATUAN]],4,FALSE)</f>
        <v>14</v>
      </c>
      <c r="H42" s="9">
        <v>1000</v>
      </c>
      <c r="I42" s="73">
        <f>TBLBAHANMASUK[[#This Row],[MODAL SATUAN]]*TBLBAHANMASUK[[#This Row],[MASUK]]</f>
        <v>14000</v>
      </c>
      <c r="J42" s="9">
        <v>11500</v>
      </c>
      <c r="K42" s="9">
        <f>TBLBAHANMASUK[[#This Row],[ISI]]</f>
        <v>1000</v>
      </c>
      <c r="L42" s="9">
        <f>TBLBAHANMASUK[[#This Row],[HARGA ASLI]]/TBLBAHANMASUK[[#This Row],[QTY]]</f>
        <v>11.5</v>
      </c>
      <c r="M42" s="9">
        <f>TBLBAHANMASUK[[#This Row],[MASUK]]</f>
        <v>1000</v>
      </c>
      <c r="N42" s="9">
        <f>TBLBAHANMASUK[[#This Row],[MODAL ASLI]]*TBLBAHANMASUK[[#This Row],[QTY MASUK]]</f>
        <v>11500</v>
      </c>
      <c r="O42" s="9">
        <f>TBLBAHANMASUK[[#This Row],[NILAI MASUK]]-TBLBAHANMASUK[[#This Row],[NILAI MASUK ASLI]]</f>
        <v>2500</v>
      </c>
    </row>
    <row r="43" spans="1:15" x14ac:dyDescent="0.3">
      <c r="A43" s="1">
        <v>2026</v>
      </c>
      <c r="B43" s="1" t="s">
        <v>590</v>
      </c>
      <c r="C43" s="18">
        <v>46208</v>
      </c>
      <c r="D43" s="1" t="s">
        <v>336</v>
      </c>
      <c r="E43" s="9">
        <f>VLOOKUP(TBLBAHANMASUK[[#This Row],[NAMA BAHAN]],TBLREKAPBAHAN[[NAMA BAHAN]:[MODAL SATUAN]],2,FALSE)</f>
        <v>60000</v>
      </c>
      <c r="F43" s="9">
        <f>VLOOKUP(TBLBAHANMASUK[[#This Row],[NAMA BAHAN]],TBLREKAPBAHAN[[NAMA BAHAN]:[MODAL SATUAN]],3,FALSE)</f>
        <v>50</v>
      </c>
      <c r="G43" s="9">
        <f>VLOOKUP(TBLBAHANMASUK[[#This Row],[NAMA BAHAN]],TBLREKAPBAHAN[[NAMA BAHAN]:[MODAL SATUAN]],4,FALSE)</f>
        <v>1200</v>
      </c>
      <c r="H43" s="9">
        <v>15</v>
      </c>
      <c r="I43" s="73">
        <f>TBLBAHANMASUK[[#This Row],[MODAL SATUAN]]*TBLBAHANMASUK[[#This Row],[MASUK]]</f>
        <v>18000</v>
      </c>
      <c r="J43" s="9">
        <v>60000</v>
      </c>
      <c r="K43" s="9">
        <f>TBLBAHANMASUK[[#This Row],[ISI]]</f>
        <v>50</v>
      </c>
      <c r="L43" s="9">
        <f>TBLBAHANMASUK[[#This Row],[HARGA ASLI]]/TBLBAHANMASUK[[#This Row],[QTY]]</f>
        <v>1200</v>
      </c>
      <c r="M43" s="9">
        <f>TBLBAHANMASUK[[#This Row],[MASUK]]</f>
        <v>15</v>
      </c>
      <c r="N43" s="9">
        <f>TBLBAHANMASUK[[#This Row],[MODAL ASLI]]*TBLBAHANMASUK[[#This Row],[QTY MASUK]]</f>
        <v>18000</v>
      </c>
      <c r="O43" s="9">
        <f>TBLBAHANMASUK[[#This Row],[NILAI MASUK]]-TBLBAHANMASUK[[#This Row],[NILAI MASUK ASLI]]</f>
        <v>0</v>
      </c>
    </row>
    <row r="44" spans="1:15" x14ac:dyDescent="0.3">
      <c r="A44" s="1">
        <v>2026</v>
      </c>
      <c r="B44" s="1" t="s">
        <v>590</v>
      </c>
      <c r="C44" s="18">
        <v>46208</v>
      </c>
      <c r="D44" s="1" t="s">
        <v>351</v>
      </c>
      <c r="E44" s="9">
        <f>VLOOKUP(TBLBAHANMASUK[[#This Row],[NAMA BAHAN]],TBLREKAPBAHAN[[NAMA BAHAN]:[MODAL SATUAN]],2,FALSE)</f>
        <v>11400</v>
      </c>
      <c r="F44" s="9">
        <f>VLOOKUP(TBLBAHANMASUK[[#This Row],[NAMA BAHAN]],TBLREKAPBAHAN[[NAMA BAHAN]:[MODAL SATUAN]],3,FALSE)</f>
        <v>100</v>
      </c>
      <c r="G44" s="9">
        <f>VLOOKUP(TBLBAHANMASUK[[#This Row],[NAMA BAHAN]],TBLREKAPBAHAN[[NAMA BAHAN]:[MODAL SATUAN]],4,FALSE)</f>
        <v>114</v>
      </c>
      <c r="H44" s="9">
        <v>300</v>
      </c>
      <c r="I44" s="73">
        <f>TBLBAHANMASUK[[#This Row],[MODAL SATUAN]]*TBLBAHANMASUK[[#This Row],[MASUK]]</f>
        <v>34200</v>
      </c>
      <c r="J44" s="9">
        <v>8500</v>
      </c>
      <c r="K44" s="9">
        <f>TBLBAHANMASUK[[#This Row],[ISI]]</f>
        <v>100</v>
      </c>
      <c r="L44" s="9">
        <f>TBLBAHANMASUK[[#This Row],[HARGA ASLI]]/TBLBAHANMASUK[[#This Row],[QTY]]</f>
        <v>85</v>
      </c>
      <c r="M44" s="9">
        <f>TBLBAHANMASUK[[#This Row],[MASUK]]</f>
        <v>300</v>
      </c>
      <c r="N44" s="9">
        <f>TBLBAHANMASUK[[#This Row],[MODAL ASLI]]*TBLBAHANMASUK[[#This Row],[QTY MASUK]]</f>
        <v>25500</v>
      </c>
      <c r="O44" s="9">
        <f>TBLBAHANMASUK[[#This Row],[NILAI MASUK]]-TBLBAHANMASUK[[#This Row],[NILAI MASUK ASLI]]</f>
        <v>8700</v>
      </c>
    </row>
    <row r="45" spans="1:15" x14ac:dyDescent="0.3">
      <c r="A45" s="1">
        <v>2026</v>
      </c>
      <c r="B45" s="1" t="s">
        <v>590</v>
      </c>
      <c r="C45" s="18">
        <v>46212</v>
      </c>
      <c r="D45" s="1" t="s">
        <v>579</v>
      </c>
      <c r="E45" s="9">
        <f>VLOOKUP(TBLBAHANMASUK[[#This Row],[NAMA BAHAN]],TBLREKAPBAHAN[[NAMA BAHAN]:[MODAL SATUAN]],2,FALSE)</f>
        <v>27000</v>
      </c>
      <c r="F45" s="9">
        <f>VLOOKUP(TBLBAHANMASUK[[#This Row],[NAMA BAHAN]],TBLREKAPBAHAN[[NAMA BAHAN]:[MODAL SATUAN]],3,FALSE)</f>
        <v>20</v>
      </c>
      <c r="G45" s="9">
        <f>VLOOKUP(TBLBAHANMASUK[[#This Row],[NAMA BAHAN]],TBLREKAPBAHAN[[NAMA BAHAN]:[MODAL SATUAN]],4,FALSE)</f>
        <v>1350</v>
      </c>
      <c r="H45" s="9">
        <v>60</v>
      </c>
      <c r="I45" s="73">
        <f>TBLBAHANMASUK[[#This Row],[MODAL SATUAN]]*TBLBAHANMASUK[[#This Row],[MASUK]]</f>
        <v>81000</v>
      </c>
      <c r="J45" s="9">
        <v>27000</v>
      </c>
      <c r="K45" s="9">
        <f>TBLBAHANMASUK[[#This Row],[ISI]]</f>
        <v>20</v>
      </c>
      <c r="L45" s="9">
        <f>TBLBAHANMASUK[[#This Row],[HARGA ASLI]]/TBLBAHANMASUK[[#This Row],[QTY]]</f>
        <v>1350</v>
      </c>
      <c r="M45" s="9">
        <f>TBLBAHANMASUK[[#This Row],[MASUK]]</f>
        <v>60</v>
      </c>
      <c r="N45" s="9">
        <f>TBLBAHANMASUK[[#This Row],[MODAL ASLI]]*TBLBAHANMASUK[[#This Row],[QTY MASUK]]</f>
        <v>81000</v>
      </c>
      <c r="O45" s="9">
        <f>TBLBAHANMASUK[[#This Row],[NILAI MASUK]]-TBLBAHANMASUK[[#This Row],[NILAI MASUK ASLI]]</f>
        <v>0</v>
      </c>
    </row>
    <row r="46" spans="1:15" x14ac:dyDescent="0.3">
      <c r="A46" s="1">
        <v>2026</v>
      </c>
      <c r="B46" s="1" t="s">
        <v>590</v>
      </c>
      <c r="C46" s="18">
        <v>46212</v>
      </c>
      <c r="D46" s="1" t="s">
        <v>322</v>
      </c>
      <c r="E46" s="9">
        <f>VLOOKUP(TBLBAHANMASUK[[#This Row],[NAMA BAHAN]],TBLREKAPBAHAN[[NAMA BAHAN]:[MODAL SATUAN]],2,FALSE)</f>
        <v>18000</v>
      </c>
      <c r="F46" s="9">
        <f>VLOOKUP(TBLBAHANMASUK[[#This Row],[NAMA BAHAN]],TBLREKAPBAHAN[[NAMA BAHAN]:[MODAL SATUAN]],3,FALSE)</f>
        <v>1000</v>
      </c>
      <c r="G46" s="9">
        <f>VLOOKUP(TBLBAHANMASUK[[#This Row],[NAMA BAHAN]],TBLREKAPBAHAN[[NAMA BAHAN]:[MODAL SATUAN]],4,FALSE)</f>
        <v>18</v>
      </c>
      <c r="H46" s="9">
        <v>1000</v>
      </c>
      <c r="I46" s="73">
        <f>TBLBAHANMASUK[[#This Row],[MODAL SATUAN]]*TBLBAHANMASUK[[#This Row],[MASUK]]</f>
        <v>18000</v>
      </c>
      <c r="J46" s="9">
        <v>17500</v>
      </c>
      <c r="K46" s="9">
        <f>TBLBAHANMASUK[[#This Row],[ISI]]</f>
        <v>1000</v>
      </c>
      <c r="L46" s="9">
        <f>TBLBAHANMASUK[[#This Row],[HARGA ASLI]]/TBLBAHANMASUK[[#This Row],[QTY]]</f>
        <v>17.5</v>
      </c>
      <c r="M46" s="9">
        <f>TBLBAHANMASUK[[#This Row],[MASUK]]</f>
        <v>1000</v>
      </c>
      <c r="N46" s="9">
        <f>TBLBAHANMASUK[[#This Row],[MODAL ASLI]]*TBLBAHANMASUK[[#This Row],[QTY MASUK]]</f>
        <v>17500</v>
      </c>
      <c r="O46" s="9">
        <f>TBLBAHANMASUK[[#This Row],[NILAI MASUK]]-TBLBAHANMASUK[[#This Row],[NILAI MASUK ASLI]]</f>
        <v>500</v>
      </c>
    </row>
    <row r="47" spans="1:15" x14ac:dyDescent="0.3">
      <c r="A47" s="1">
        <v>2026</v>
      </c>
      <c r="B47" s="1" t="s">
        <v>590</v>
      </c>
      <c r="C47" s="18">
        <v>46212</v>
      </c>
      <c r="D47" s="1" t="s">
        <v>321</v>
      </c>
      <c r="E47" s="9">
        <f>VLOOKUP(TBLBAHANMASUK[[#This Row],[NAMA BAHAN]],TBLREKAPBAHAN[[NAMA BAHAN]:[MODAL SATUAN]],2,FALSE)</f>
        <v>20000</v>
      </c>
      <c r="F47" s="9">
        <f>VLOOKUP(TBLBAHANMASUK[[#This Row],[NAMA BAHAN]],TBLREKAPBAHAN[[NAMA BAHAN]:[MODAL SATUAN]],3,FALSE)</f>
        <v>1000</v>
      </c>
      <c r="G47" s="9">
        <f>VLOOKUP(TBLBAHANMASUK[[#This Row],[NAMA BAHAN]],TBLREKAPBAHAN[[NAMA BAHAN]:[MODAL SATUAN]],4,FALSE)</f>
        <v>20</v>
      </c>
      <c r="H47" s="9">
        <v>1000</v>
      </c>
      <c r="I47" s="73">
        <f>TBLBAHANMASUK[[#This Row],[MODAL SATUAN]]*TBLBAHANMASUK[[#This Row],[MASUK]]</f>
        <v>20000</v>
      </c>
      <c r="J47" s="9">
        <v>18500</v>
      </c>
      <c r="K47" s="9">
        <f>TBLBAHANMASUK[[#This Row],[ISI]]</f>
        <v>1000</v>
      </c>
      <c r="L47" s="9">
        <f>TBLBAHANMASUK[[#This Row],[HARGA ASLI]]/TBLBAHANMASUK[[#This Row],[QTY]]</f>
        <v>18.5</v>
      </c>
      <c r="M47" s="9">
        <f>TBLBAHANMASUK[[#This Row],[MASUK]]</f>
        <v>1000</v>
      </c>
      <c r="N47" s="9">
        <f>TBLBAHANMASUK[[#This Row],[MODAL ASLI]]*TBLBAHANMASUK[[#This Row],[QTY MASUK]]</f>
        <v>18500</v>
      </c>
      <c r="O47" s="9">
        <f>TBLBAHANMASUK[[#This Row],[NILAI MASUK]]-TBLBAHANMASUK[[#This Row],[NILAI MASUK ASLI]]</f>
        <v>1500</v>
      </c>
    </row>
    <row r="48" spans="1:15" x14ac:dyDescent="0.3">
      <c r="A48" s="1">
        <v>2026</v>
      </c>
      <c r="B48" s="1" t="s">
        <v>590</v>
      </c>
      <c r="C48" s="18">
        <v>46212</v>
      </c>
      <c r="D48" s="1" t="s">
        <v>323</v>
      </c>
      <c r="E48" s="9">
        <f>VLOOKUP(TBLBAHANMASUK[[#This Row],[NAMA BAHAN]],TBLREKAPBAHAN[[NAMA BAHAN]:[MODAL SATUAN]],2,FALSE)</f>
        <v>12000</v>
      </c>
      <c r="F48" s="9">
        <f>VLOOKUP(TBLBAHANMASUK[[#This Row],[NAMA BAHAN]],TBLREKAPBAHAN[[NAMA BAHAN]:[MODAL SATUAN]],3,FALSE)</f>
        <v>250</v>
      </c>
      <c r="G48" s="9">
        <f>VLOOKUP(TBLBAHANMASUK[[#This Row],[NAMA BAHAN]],TBLREKAPBAHAN[[NAMA BAHAN]:[MODAL SATUAN]],4,FALSE)</f>
        <v>48</v>
      </c>
      <c r="H48" s="9">
        <v>250</v>
      </c>
      <c r="I48" s="73">
        <f>TBLBAHANMASUK[[#This Row],[MODAL SATUAN]]*TBLBAHANMASUK[[#This Row],[MASUK]]</f>
        <v>12000</v>
      </c>
      <c r="J48" s="9">
        <v>11500</v>
      </c>
      <c r="K48" s="9">
        <f>TBLBAHANMASUK[[#This Row],[ISI]]</f>
        <v>250</v>
      </c>
      <c r="L48" s="9">
        <f>TBLBAHANMASUK[[#This Row],[HARGA ASLI]]/TBLBAHANMASUK[[#This Row],[QTY]]</f>
        <v>46</v>
      </c>
      <c r="M48" s="9">
        <f>TBLBAHANMASUK[[#This Row],[MASUK]]</f>
        <v>250</v>
      </c>
      <c r="N48" s="9">
        <f>TBLBAHANMASUK[[#This Row],[MODAL ASLI]]*TBLBAHANMASUK[[#This Row],[QTY MASUK]]</f>
        <v>11500</v>
      </c>
      <c r="O48" s="9">
        <f>TBLBAHANMASUK[[#This Row],[NILAI MASUK]]-TBLBAHANMASUK[[#This Row],[NILAI MASUK ASLI]]</f>
        <v>500</v>
      </c>
    </row>
    <row r="49" spans="1:15" x14ac:dyDescent="0.3">
      <c r="A49" s="1">
        <v>2026</v>
      </c>
      <c r="B49" s="1" t="s">
        <v>590</v>
      </c>
      <c r="C49" s="18">
        <v>46212</v>
      </c>
      <c r="D49" s="1" t="s">
        <v>324</v>
      </c>
      <c r="E49" s="9">
        <f>VLOOKUP(TBLBAHANMASUK[[#This Row],[NAMA BAHAN]],TBLREKAPBAHAN[[NAMA BAHAN]:[MODAL SATUAN]],2,FALSE)</f>
        <v>50000</v>
      </c>
      <c r="F49" s="9">
        <f>VLOOKUP(TBLBAHANMASUK[[#This Row],[NAMA BAHAN]],TBLREKAPBAHAN[[NAMA BAHAN]:[MODAL SATUAN]],3,FALSE)</f>
        <v>1000</v>
      </c>
      <c r="G49" s="9">
        <f>VLOOKUP(TBLBAHANMASUK[[#This Row],[NAMA BAHAN]],TBLREKAPBAHAN[[NAMA BAHAN]:[MODAL SATUAN]],4,FALSE)</f>
        <v>50</v>
      </c>
      <c r="H49" s="9">
        <v>1000</v>
      </c>
      <c r="I49" s="73">
        <f>TBLBAHANMASUK[[#This Row],[MODAL SATUAN]]*TBLBAHANMASUK[[#This Row],[MASUK]]</f>
        <v>50000</v>
      </c>
      <c r="J49" s="9">
        <v>31500</v>
      </c>
      <c r="K49" s="9">
        <f>TBLBAHANMASUK[[#This Row],[ISI]]</f>
        <v>1000</v>
      </c>
      <c r="L49" s="9">
        <f>TBLBAHANMASUK[[#This Row],[HARGA ASLI]]/TBLBAHANMASUK[[#This Row],[QTY]]</f>
        <v>31.5</v>
      </c>
      <c r="M49" s="9">
        <f>TBLBAHANMASUK[[#This Row],[MASUK]]</f>
        <v>1000</v>
      </c>
      <c r="N49" s="9">
        <f>TBLBAHANMASUK[[#This Row],[MODAL ASLI]]*TBLBAHANMASUK[[#This Row],[QTY MASUK]]</f>
        <v>31500</v>
      </c>
      <c r="O49" s="9">
        <f>TBLBAHANMASUK[[#This Row],[NILAI MASUK]]-TBLBAHANMASUK[[#This Row],[NILAI MASUK ASLI]]</f>
        <v>18500</v>
      </c>
    </row>
    <row r="50" spans="1:15" x14ac:dyDescent="0.3">
      <c r="A50" s="1">
        <v>2026</v>
      </c>
      <c r="B50" s="1" t="s">
        <v>590</v>
      </c>
      <c r="C50" s="18">
        <v>46212</v>
      </c>
      <c r="D50" s="1" t="s">
        <v>325</v>
      </c>
      <c r="E50" s="9">
        <f>VLOOKUP(TBLBAHANMASUK[[#This Row],[NAMA BAHAN]],TBLREKAPBAHAN[[NAMA BAHAN]:[MODAL SATUAN]],2,FALSE)</f>
        <v>12000</v>
      </c>
      <c r="F50" s="9">
        <f>VLOOKUP(TBLBAHANMASUK[[#This Row],[NAMA BAHAN]],TBLREKAPBAHAN[[NAMA BAHAN]:[MODAL SATUAN]],3,FALSE)</f>
        <v>250</v>
      </c>
      <c r="G50" s="9">
        <f>VLOOKUP(TBLBAHANMASUK[[#This Row],[NAMA BAHAN]],TBLREKAPBAHAN[[NAMA BAHAN]:[MODAL SATUAN]],4,FALSE)</f>
        <v>48</v>
      </c>
      <c r="H50" s="9">
        <v>750</v>
      </c>
      <c r="I50" s="73">
        <f>TBLBAHANMASUK[[#This Row],[MODAL SATUAN]]*TBLBAHANMASUK[[#This Row],[MASUK]]</f>
        <v>36000</v>
      </c>
      <c r="J50" s="9">
        <v>11000</v>
      </c>
      <c r="K50" s="9">
        <f>TBLBAHANMASUK[[#This Row],[ISI]]</f>
        <v>250</v>
      </c>
      <c r="L50" s="9">
        <f>TBLBAHANMASUK[[#This Row],[HARGA ASLI]]/TBLBAHANMASUK[[#This Row],[QTY]]</f>
        <v>44</v>
      </c>
      <c r="M50" s="9">
        <f>TBLBAHANMASUK[[#This Row],[MASUK]]</f>
        <v>750</v>
      </c>
      <c r="N50" s="9">
        <f>TBLBAHANMASUK[[#This Row],[MODAL ASLI]]*TBLBAHANMASUK[[#This Row],[QTY MASUK]]</f>
        <v>33000</v>
      </c>
      <c r="O50" s="9">
        <f>TBLBAHANMASUK[[#This Row],[NILAI MASUK]]-TBLBAHANMASUK[[#This Row],[NILAI MASUK ASLI]]</f>
        <v>3000</v>
      </c>
    </row>
    <row r="51" spans="1:15" x14ac:dyDescent="0.3">
      <c r="A51" s="1">
        <v>2026</v>
      </c>
      <c r="B51" s="1" t="s">
        <v>590</v>
      </c>
      <c r="C51" s="18">
        <v>46212</v>
      </c>
      <c r="D51" s="1" t="s">
        <v>328</v>
      </c>
      <c r="E51" s="9">
        <f>VLOOKUP(TBLBAHANMASUK[[#This Row],[NAMA BAHAN]],TBLREKAPBAHAN[[NAMA BAHAN]:[MODAL SATUAN]],2,FALSE)</f>
        <v>16000</v>
      </c>
      <c r="F51" s="9">
        <f>VLOOKUP(TBLBAHANMASUK[[#This Row],[NAMA BAHAN]],TBLREKAPBAHAN[[NAMA BAHAN]:[MODAL SATUAN]],3,FALSE)</f>
        <v>12</v>
      </c>
      <c r="G51" s="9">
        <f>VLOOKUP(TBLBAHANMASUK[[#This Row],[NAMA BAHAN]],TBLREKAPBAHAN[[NAMA BAHAN]:[MODAL SATUAN]],4,FALSE)</f>
        <v>1333.3333333333333</v>
      </c>
      <c r="H51" s="9">
        <v>12</v>
      </c>
      <c r="I51" s="73">
        <f>TBLBAHANMASUK[[#This Row],[MODAL SATUAN]]*TBLBAHANMASUK[[#This Row],[MASUK]]</f>
        <v>16000</v>
      </c>
      <c r="J51" s="9">
        <v>11000</v>
      </c>
      <c r="K51" s="9">
        <f>TBLBAHANMASUK[[#This Row],[ISI]]</f>
        <v>12</v>
      </c>
      <c r="L51" s="9">
        <f>TBLBAHANMASUK[[#This Row],[HARGA ASLI]]/TBLBAHANMASUK[[#This Row],[QTY]]</f>
        <v>916.66666666666663</v>
      </c>
      <c r="M51" s="9">
        <f>TBLBAHANMASUK[[#This Row],[MASUK]]</f>
        <v>12</v>
      </c>
      <c r="N51" s="9">
        <f>TBLBAHANMASUK[[#This Row],[MODAL ASLI]]*TBLBAHANMASUK[[#This Row],[QTY MASUK]]</f>
        <v>11000</v>
      </c>
      <c r="O51" s="9">
        <f>TBLBAHANMASUK[[#This Row],[NILAI MASUK]]-TBLBAHANMASUK[[#This Row],[NILAI MASUK ASLI]]</f>
        <v>5000</v>
      </c>
    </row>
    <row r="52" spans="1:15" x14ac:dyDescent="0.3">
      <c r="A52" s="1">
        <v>2026</v>
      </c>
      <c r="B52" s="1" t="s">
        <v>590</v>
      </c>
      <c r="C52" s="18">
        <v>46212</v>
      </c>
      <c r="D52" s="1" t="s">
        <v>330</v>
      </c>
      <c r="E52" s="9">
        <f>VLOOKUP(TBLBAHANMASUK[[#This Row],[NAMA BAHAN]],TBLREKAPBAHAN[[NAMA BAHAN]:[MODAL SATUAN]],2,FALSE)</f>
        <v>35000</v>
      </c>
      <c r="F52" s="9">
        <f>VLOOKUP(TBLBAHANMASUK[[#This Row],[NAMA BAHAN]],TBLREKAPBAHAN[[NAMA BAHAN]:[MODAL SATUAN]],3,FALSE)</f>
        <v>38</v>
      </c>
      <c r="G52" s="9">
        <f>VLOOKUP(TBLBAHANMASUK[[#This Row],[NAMA BAHAN]],TBLREKAPBAHAN[[NAMA BAHAN]:[MODAL SATUAN]],4,FALSE)</f>
        <v>921.0526315789474</v>
      </c>
      <c r="H52" s="9">
        <v>40</v>
      </c>
      <c r="I52" s="73">
        <f>TBLBAHANMASUK[[#This Row],[MODAL SATUAN]]*TBLBAHANMASUK[[#This Row],[MASUK]]</f>
        <v>36842.105263157893</v>
      </c>
      <c r="J52" s="9">
        <v>35000</v>
      </c>
      <c r="K52" s="9">
        <f>TBLBAHANMASUK[[#This Row],[ISI]]</f>
        <v>38</v>
      </c>
      <c r="L52" s="9">
        <f>TBLBAHANMASUK[[#This Row],[HARGA ASLI]]/TBLBAHANMASUK[[#This Row],[QTY]]</f>
        <v>921.0526315789474</v>
      </c>
      <c r="M52" s="9">
        <f>TBLBAHANMASUK[[#This Row],[MASUK]]</f>
        <v>40</v>
      </c>
      <c r="N52" s="9">
        <f>TBLBAHANMASUK[[#This Row],[MODAL ASLI]]*TBLBAHANMASUK[[#This Row],[QTY MASUK]]</f>
        <v>36842.105263157893</v>
      </c>
      <c r="O52" s="9">
        <f>TBLBAHANMASUK[[#This Row],[NILAI MASUK]]-TBLBAHANMASUK[[#This Row],[NILAI MASUK ASLI]]</f>
        <v>0</v>
      </c>
    </row>
    <row r="53" spans="1:15" x14ac:dyDescent="0.3">
      <c r="A53" s="1">
        <v>2026</v>
      </c>
      <c r="B53" s="1" t="s">
        <v>590</v>
      </c>
      <c r="C53" s="18">
        <v>46212</v>
      </c>
      <c r="D53" s="1" t="s">
        <v>337</v>
      </c>
      <c r="E53" s="9">
        <f>VLOOKUP(TBLBAHANMASUK[[#This Row],[NAMA BAHAN]],TBLREKAPBAHAN[[NAMA BAHAN]:[MODAL SATUAN]],2,FALSE)</f>
        <v>35000</v>
      </c>
      <c r="F53" s="9">
        <f>VLOOKUP(TBLBAHANMASUK[[#This Row],[NAMA BAHAN]],TBLREKAPBAHAN[[NAMA BAHAN]:[MODAL SATUAN]],3,FALSE)</f>
        <v>1000</v>
      </c>
      <c r="G53" s="9">
        <f>VLOOKUP(TBLBAHANMASUK[[#This Row],[NAMA BAHAN]],TBLREKAPBAHAN[[NAMA BAHAN]:[MODAL SATUAN]],4,FALSE)</f>
        <v>35</v>
      </c>
      <c r="H53" s="9">
        <v>1000</v>
      </c>
      <c r="I53" s="73">
        <f>TBLBAHANMASUK[[#This Row],[MODAL SATUAN]]*TBLBAHANMASUK[[#This Row],[MASUK]]</f>
        <v>35000</v>
      </c>
      <c r="J53" s="9">
        <v>34000</v>
      </c>
      <c r="K53" s="9">
        <f>TBLBAHANMASUK[[#This Row],[ISI]]</f>
        <v>1000</v>
      </c>
      <c r="L53" s="9">
        <f>TBLBAHANMASUK[[#This Row],[HARGA ASLI]]/TBLBAHANMASUK[[#This Row],[QTY]]</f>
        <v>34</v>
      </c>
      <c r="M53" s="9">
        <f>TBLBAHANMASUK[[#This Row],[MASUK]]</f>
        <v>1000</v>
      </c>
      <c r="N53" s="9">
        <f>TBLBAHANMASUK[[#This Row],[MODAL ASLI]]*TBLBAHANMASUK[[#This Row],[QTY MASUK]]</f>
        <v>34000</v>
      </c>
      <c r="O53" s="9">
        <f>TBLBAHANMASUK[[#This Row],[NILAI MASUK]]-TBLBAHANMASUK[[#This Row],[NILAI MASUK ASLI]]</f>
        <v>1000</v>
      </c>
    </row>
    <row r="54" spans="1:15" x14ac:dyDescent="0.3">
      <c r="A54" s="1">
        <v>2026</v>
      </c>
      <c r="B54" s="1" t="s">
        <v>590</v>
      </c>
      <c r="C54" s="18">
        <v>46212</v>
      </c>
      <c r="D54" s="1" t="s">
        <v>356</v>
      </c>
      <c r="E54" s="9">
        <f>VLOOKUP(TBLBAHANMASUK[[#This Row],[NAMA BAHAN]],TBLREKAPBAHAN[[NAMA BAHAN]:[MODAL SATUAN]],2,FALSE)</f>
        <v>2500</v>
      </c>
      <c r="F54" s="9">
        <f>VLOOKUP(TBLBAHANMASUK[[#This Row],[NAMA BAHAN]],TBLREKAPBAHAN[[NAMA BAHAN]:[MODAL SATUAN]],3,FALSE)</f>
        <v>1</v>
      </c>
      <c r="G54" s="9">
        <f>VLOOKUP(TBLBAHANMASUK[[#This Row],[NAMA BAHAN]],TBLREKAPBAHAN[[NAMA BAHAN]:[MODAL SATUAN]],4,FALSE)</f>
        <v>2500</v>
      </c>
      <c r="H54" s="9">
        <v>10</v>
      </c>
      <c r="I54" s="73">
        <f>TBLBAHANMASUK[[#This Row],[MODAL SATUAN]]*TBLBAHANMASUK[[#This Row],[MASUK]]</f>
        <v>25000</v>
      </c>
      <c r="J54" s="9">
        <v>1500</v>
      </c>
      <c r="K54" s="9">
        <f>TBLBAHANMASUK[[#This Row],[ISI]]</f>
        <v>1</v>
      </c>
      <c r="L54" s="9">
        <f>TBLBAHANMASUK[[#This Row],[HARGA ASLI]]/TBLBAHANMASUK[[#This Row],[QTY]]</f>
        <v>1500</v>
      </c>
      <c r="M54" s="9">
        <f>TBLBAHANMASUK[[#This Row],[MASUK]]</f>
        <v>10</v>
      </c>
      <c r="N54" s="9">
        <f>TBLBAHANMASUK[[#This Row],[MODAL ASLI]]*TBLBAHANMASUK[[#This Row],[QTY MASUK]]</f>
        <v>15000</v>
      </c>
      <c r="O54" s="9">
        <f>TBLBAHANMASUK[[#This Row],[NILAI MASUK]]-TBLBAHANMASUK[[#This Row],[NILAI MASUK ASLI]]</f>
        <v>10000</v>
      </c>
    </row>
    <row r="55" spans="1:15" x14ac:dyDescent="0.3">
      <c r="A55" s="1">
        <v>2026</v>
      </c>
      <c r="B55" s="1" t="s">
        <v>590</v>
      </c>
      <c r="C55" s="18">
        <v>46213</v>
      </c>
      <c r="D55" s="1" t="s">
        <v>346</v>
      </c>
      <c r="E55" s="9">
        <f>VLOOKUP(TBLBAHANMASUK[[#This Row],[NAMA BAHAN]],TBLREKAPBAHAN[[NAMA BAHAN]:[MODAL SATUAN]],2,FALSE)</f>
        <v>25000</v>
      </c>
      <c r="F55" s="9">
        <f>VLOOKUP(TBLBAHANMASUK[[#This Row],[NAMA BAHAN]],TBLREKAPBAHAN[[NAMA BAHAN]:[MODAL SATUAN]],3,FALSE)</f>
        <v>100</v>
      </c>
      <c r="G55" s="9">
        <f>VLOOKUP(TBLBAHANMASUK[[#This Row],[NAMA BAHAN]],TBLREKAPBAHAN[[NAMA BAHAN]:[MODAL SATUAN]],4,FALSE)</f>
        <v>250</v>
      </c>
      <c r="H55" s="9">
        <v>100</v>
      </c>
      <c r="I55" s="73">
        <f>TBLBAHANMASUK[[#This Row],[MODAL SATUAN]]*TBLBAHANMASUK[[#This Row],[MASUK]]</f>
        <v>25000</v>
      </c>
      <c r="J55" s="9">
        <v>25000</v>
      </c>
      <c r="K55" s="9">
        <f>TBLBAHANMASUK[[#This Row],[ISI]]</f>
        <v>100</v>
      </c>
      <c r="L55" s="9">
        <f>TBLBAHANMASUK[[#This Row],[HARGA ASLI]]/TBLBAHANMASUK[[#This Row],[QTY]]</f>
        <v>250</v>
      </c>
      <c r="M55" s="9">
        <f>TBLBAHANMASUK[[#This Row],[MASUK]]</f>
        <v>100</v>
      </c>
      <c r="N55" s="9">
        <f>TBLBAHANMASUK[[#This Row],[MODAL ASLI]]*TBLBAHANMASUK[[#This Row],[QTY MASUK]]</f>
        <v>25000</v>
      </c>
      <c r="O55" s="9">
        <f>TBLBAHANMASUK[[#This Row],[NILAI MASUK]]-TBLBAHANMASUK[[#This Row],[NILAI MASUK ASLI]]</f>
        <v>0</v>
      </c>
    </row>
    <row r="56" spans="1:15" x14ac:dyDescent="0.3">
      <c r="A56" s="1">
        <v>2026</v>
      </c>
      <c r="B56" s="1" t="s">
        <v>590</v>
      </c>
      <c r="C56" s="18">
        <v>46215</v>
      </c>
      <c r="D56" s="1" t="s">
        <v>352</v>
      </c>
      <c r="E56" s="9">
        <f>VLOOKUP(TBLBAHANMASUK[[#This Row],[NAMA BAHAN]],TBLREKAPBAHAN[[NAMA BAHAN]:[MODAL SATUAN]],2,FALSE)</f>
        <v>25000</v>
      </c>
      <c r="F56" s="9">
        <f>VLOOKUP(TBLBAHANMASUK[[#This Row],[NAMA BAHAN]],TBLREKAPBAHAN[[NAMA BAHAN]:[MODAL SATUAN]],3,FALSE)</f>
        <v>100</v>
      </c>
      <c r="G56" s="9">
        <f>VLOOKUP(TBLBAHANMASUK[[#This Row],[NAMA BAHAN]],TBLREKAPBAHAN[[NAMA BAHAN]:[MODAL SATUAN]],4,FALSE)</f>
        <v>250</v>
      </c>
      <c r="H56" s="9">
        <v>200</v>
      </c>
      <c r="I56" s="73">
        <f>TBLBAHANMASUK[[#This Row],[MODAL SATUAN]]*TBLBAHANMASUK[[#This Row],[MASUK]]</f>
        <v>50000</v>
      </c>
      <c r="J56" s="9">
        <v>25000</v>
      </c>
      <c r="K56" s="9">
        <f>TBLBAHANMASUK[[#This Row],[ISI]]</f>
        <v>100</v>
      </c>
      <c r="L56" s="9">
        <f>TBLBAHANMASUK[[#This Row],[HARGA ASLI]]/TBLBAHANMASUK[[#This Row],[QTY]]</f>
        <v>250</v>
      </c>
      <c r="M56" s="9">
        <f>TBLBAHANMASUK[[#This Row],[MASUK]]</f>
        <v>200</v>
      </c>
      <c r="N56" s="9">
        <f>TBLBAHANMASUK[[#This Row],[MODAL ASLI]]*TBLBAHANMASUK[[#This Row],[QTY MASUK]]</f>
        <v>50000</v>
      </c>
      <c r="O56" s="9">
        <f>TBLBAHANMASUK[[#This Row],[NILAI MASUK]]-TBLBAHANMASUK[[#This Row],[NILAI MASUK ASLI]]</f>
        <v>0</v>
      </c>
    </row>
    <row r="57" spans="1:15" x14ac:dyDescent="0.3">
      <c r="A57" s="1">
        <v>2026</v>
      </c>
      <c r="B57" s="1" t="s">
        <v>590</v>
      </c>
      <c r="C57" s="18">
        <v>46215</v>
      </c>
      <c r="D57" s="1" t="s">
        <v>336</v>
      </c>
      <c r="E57" s="9">
        <f>VLOOKUP(TBLBAHANMASUK[[#This Row],[NAMA BAHAN]],TBLREKAPBAHAN[[NAMA BAHAN]:[MODAL SATUAN]],2,FALSE)</f>
        <v>60000</v>
      </c>
      <c r="F57" s="9">
        <f>VLOOKUP(TBLBAHANMASUK[[#This Row],[NAMA BAHAN]],TBLREKAPBAHAN[[NAMA BAHAN]:[MODAL SATUAN]],3,FALSE)</f>
        <v>50</v>
      </c>
      <c r="G57" s="9">
        <f>VLOOKUP(TBLBAHANMASUK[[#This Row],[NAMA BAHAN]],TBLREKAPBAHAN[[NAMA BAHAN]:[MODAL SATUAN]],4,FALSE)</f>
        <v>1200</v>
      </c>
      <c r="H57" s="9">
        <v>50</v>
      </c>
      <c r="I57" s="73">
        <f>TBLBAHANMASUK[[#This Row],[MODAL SATUAN]]*TBLBAHANMASUK[[#This Row],[MASUK]]</f>
        <v>60000</v>
      </c>
      <c r="J57" s="9">
        <v>60000</v>
      </c>
      <c r="K57" s="9">
        <f>TBLBAHANMASUK[[#This Row],[ISI]]</f>
        <v>50</v>
      </c>
      <c r="L57" s="9">
        <f>TBLBAHANMASUK[[#This Row],[HARGA ASLI]]/TBLBAHANMASUK[[#This Row],[QTY]]</f>
        <v>1200</v>
      </c>
      <c r="M57" s="9">
        <f>TBLBAHANMASUK[[#This Row],[MASUK]]</f>
        <v>50</v>
      </c>
      <c r="N57" s="9">
        <f>TBLBAHANMASUK[[#This Row],[MODAL ASLI]]*TBLBAHANMASUK[[#This Row],[QTY MASUK]]</f>
        <v>60000</v>
      </c>
      <c r="O57" s="9">
        <f>TBLBAHANMASUK[[#This Row],[NILAI MASUK]]-TBLBAHANMASUK[[#This Row],[NILAI MASUK ASLI]]</f>
        <v>0</v>
      </c>
    </row>
    <row r="58" spans="1:15" x14ac:dyDescent="0.3">
      <c r="A58" s="1">
        <v>2026</v>
      </c>
      <c r="B58" s="1" t="s">
        <v>590</v>
      </c>
      <c r="C58" s="18">
        <v>46217</v>
      </c>
      <c r="D58" s="1" t="s">
        <v>330</v>
      </c>
      <c r="E58" s="9">
        <f>VLOOKUP(TBLBAHANMASUK[[#This Row],[NAMA BAHAN]],TBLREKAPBAHAN[[NAMA BAHAN]:[MODAL SATUAN]],2,FALSE)</f>
        <v>35000</v>
      </c>
      <c r="F58" s="9">
        <f>VLOOKUP(TBLBAHANMASUK[[#This Row],[NAMA BAHAN]],TBLREKAPBAHAN[[NAMA BAHAN]:[MODAL SATUAN]],3,FALSE)</f>
        <v>38</v>
      </c>
      <c r="G58" s="9">
        <f>VLOOKUP(TBLBAHANMASUK[[#This Row],[NAMA BAHAN]],TBLREKAPBAHAN[[NAMA BAHAN]:[MODAL SATUAN]],4,FALSE)</f>
        <v>921.0526315789474</v>
      </c>
      <c r="H58" s="9">
        <v>38</v>
      </c>
      <c r="I58" s="73">
        <f>TBLBAHANMASUK[[#This Row],[MODAL SATUAN]]*TBLBAHANMASUK[[#This Row],[MASUK]]</f>
        <v>35000</v>
      </c>
      <c r="J58" s="9">
        <v>35000</v>
      </c>
      <c r="K58" s="9">
        <f>TBLBAHANMASUK[[#This Row],[ISI]]</f>
        <v>38</v>
      </c>
      <c r="L58" s="9">
        <f>TBLBAHANMASUK[[#This Row],[HARGA ASLI]]/TBLBAHANMASUK[[#This Row],[QTY]]</f>
        <v>921.0526315789474</v>
      </c>
      <c r="M58" s="9">
        <f>TBLBAHANMASUK[[#This Row],[MASUK]]</f>
        <v>38</v>
      </c>
      <c r="N58" s="9">
        <f>TBLBAHANMASUK[[#This Row],[MODAL ASLI]]*TBLBAHANMASUK[[#This Row],[QTY MASUK]]</f>
        <v>35000</v>
      </c>
      <c r="O58" s="9">
        <f>TBLBAHANMASUK[[#This Row],[NILAI MASUK]]-TBLBAHANMASUK[[#This Row],[NILAI MASUK ASLI]]</f>
        <v>0</v>
      </c>
    </row>
    <row r="59" spans="1:15" x14ac:dyDescent="0.3">
      <c r="A59" s="1">
        <v>2026</v>
      </c>
      <c r="B59" s="1" t="s">
        <v>590</v>
      </c>
      <c r="C59" s="18">
        <v>46217</v>
      </c>
      <c r="D59" s="1" t="s">
        <v>331</v>
      </c>
      <c r="E59" s="9">
        <f>VLOOKUP(TBLBAHANMASUK[[#This Row],[NAMA BAHAN]],TBLREKAPBAHAN[[NAMA BAHAN]:[MODAL SATUAN]],2,FALSE)</f>
        <v>45000</v>
      </c>
      <c r="F59" s="9">
        <f>VLOOKUP(TBLBAHANMASUK[[#This Row],[NAMA BAHAN]],TBLREKAPBAHAN[[NAMA BAHAN]:[MODAL SATUAN]],3,FALSE)</f>
        <v>400</v>
      </c>
      <c r="G59" s="9">
        <f>VLOOKUP(TBLBAHANMASUK[[#This Row],[NAMA BAHAN]],TBLREKAPBAHAN[[NAMA BAHAN]:[MODAL SATUAN]],4,FALSE)</f>
        <v>112.5</v>
      </c>
      <c r="H59" s="9">
        <v>800</v>
      </c>
      <c r="I59" s="73">
        <f>TBLBAHANMASUK[[#This Row],[MODAL SATUAN]]*TBLBAHANMASUK[[#This Row],[MASUK]]</f>
        <v>90000</v>
      </c>
      <c r="J59" s="9">
        <v>45000</v>
      </c>
      <c r="K59" s="9">
        <f>TBLBAHANMASUK[[#This Row],[ISI]]</f>
        <v>400</v>
      </c>
      <c r="L59" s="9">
        <f>TBLBAHANMASUK[[#This Row],[HARGA ASLI]]/TBLBAHANMASUK[[#This Row],[QTY]]</f>
        <v>112.5</v>
      </c>
      <c r="M59" s="9">
        <f>TBLBAHANMASUK[[#This Row],[MASUK]]</f>
        <v>800</v>
      </c>
      <c r="N59" s="9">
        <f>TBLBAHANMASUK[[#This Row],[MODAL ASLI]]*TBLBAHANMASUK[[#This Row],[QTY MASUK]]</f>
        <v>90000</v>
      </c>
      <c r="O59" s="9">
        <f>TBLBAHANMASUK[[#This Row],[NILAI MASUK]]-TBLBAHANMASUK[[#This Row],[NILAI MASUK ASLI]]</f>
        <v>0</v>
      </c>
    </row>
    <row r="60" spans="1:15" x14ac:dyDescent="0.3">
      <c r="A60" s="1">
        <v>2026</v>
      </c>
      <c r="B60" s="1" t="s">
        <v>590</v>
      </c>
      <c r="C60" s="18">
        <v>46220</v>
      </c>
      <c r="D60" s="1" t="s">
        <v>322</v>
      </c>
      <c r="E60" s="9">
        <f>VLOOKUP(TBLBAHANMASUK[[#This Row],[NAMA BAHAN]],TBLREKAPBAHAN[[NAMA BAHAN]:[MODAL SATUAN]],2,FALSE)</f>
        <v>18000</v>
      </c>
      <c r="F60" s="9">
        <f>VLOOKUP(TBLBAHANMASUK[[#This Row],[NAMA BAHAN]],TBLREKAPBAHAN[[NAMA BAHAN]:[MODAL SATUAN]],3,FALSE)</f>
        <v>1000</v>
      </c>
      <c r="G60" s="9">
        <f>VLOOKUP(TBLBAHANMASUK[[#This Row],[NAMA BAHAN]],TBLREKAPBAHAN[[NAMA BAHAN]:[MODAL SATUAN]],4,FALSE)</f>
        <v>18</v>
      </c>
      <c r="H60" s="9">
        <v>1000</v>
      </c>
      <c r="I60" s="73">
        <f>TBLBAHANMASUK[[#This Row],[MODAL SATUAN]]*TBLBAHANMASUK[[#This Row],[MASUK]]</f>
        <v>18000</v>
      </c>
      <c r="J60" s="9">
        <v>18000</v>
      </c>
      <c r="K60" s="9">
        <f>TBLBAHANMASUK[[#This Row],[ISI]]</f>
        <v>1000</v>
      </c>
      <c r="L60" s="9">
        <f>TBLBAHANMASUK[[#This Row],[HARGA ASLI]]/TBLBAHANMASUK[[#This Row],[QTY]]</f>
        <v>18</v>
      </c>
      <c r="M60" s="9">
        <f>TBLBAHANMASUK[[#This Row],[MASUK]]</f>
        <v>1000</v>
      </c>
      <c r="N60" s="9">
        <f>TBLBAHANMASUK[[#This Row],[MODAL ASLI]]*TBLBAHANMASUK[[#This Row],[QTY MASUK]]</f>
        <v>18000</v>
      </c>
      <c r="O60" s="9">
        <f>TBLBAHANMASUK[[#This Row],[NILAI MASUK]]-TBLBAHANMASUK[[#This Row],[NILAI MASUK ASLI]]</f>
        <v>0</v>
      </c>
    </row>
    <row r="61" spans="1:15" x14ac:dyDescent="0.3">
      <c r="A61" s="1">
        <v>2026</v>
      </c>
      <c r="B61" s="1" t="s">
        <v>590</v>
      </c>
      <c r="C61" s="18">
        <v>46220</v>
      </c>
      <c r="D61" s="1" t="s">
        <v>321</v>
      </c>
      <c r="E61" s="9">
        <f>VLOOKUP(TBLBAHANMASUK[[#This Row],[NAMA BAHAN]],TBLREKAPBAHAN[[NAMA BAHAN]:[MODAL SATUAN]],2,FALSE)</f>
        <v>20000</v>
      </c>
      <c r="F61" s="9">
        <f>VLOOKUP(TBLBAHANMASUK[[#This Row],[NAMA BAHAN]],TBLREKAPBAHAN[[NAMA BAHAN]:[MODAL SATUAN]],3,FALSE)</f>
        <v>1000</v>
      </c>
      <c r="G61" s="9">
        <f>VLOOKUP(TBLBAHANMASUK[[#This Row],[NAMA BAHAN]],TBLREKAPBAHAN[[NAMA BAHAN]:[MODAL SATUAN]],4,FALSE)</f>
        <v>20</v>
      </c>
      <c r="H61" s="9">
        <v>1000</v>
      </c>
      <c r="I61" s="73">
        <f>TBLBAHANMASUK[[#This Row],[MODAL SATUAN]]*TBLBAHANMASUK[[#This Row],[MASUK]]</f>
        <v>20000</v>
      </c>
      <c r="J61" s="9">
        <v>20000</v>
      </c>
      <c r="K61" s="9">
        <f>TBLBAHANMASUK[[#This Row],[ISI]]</f>
        <v>1000</v>
      </c>
      <c r="L61" s="9">
        <f>TBLBAHANMASUK[[#This Row],[HARGA ASLI]]/TBLBAHANMASUK[[#This Row],[QTY]]</f>
        <v>20</v>
      </c>
      <c r="M61" s="9">
        <f>TBLBAHANMASUK[[#This Row],[MASUK]]</f>
        <v>1000</v>
      </c>
      <c r="N61" s="9">
        <f>TBLBAHANMASUK[[#This Row],[MODAL ASLI]]*TBLBAHANMASUK[[#This Row],[QTY MASUK]]</f>
        <v>20000</v>
      </c>
      <c r="O61" s="9">
        <f>TBLBAHANMASUK[[#This Row],[NILAI MASUK]]-TBLBAHANMASUK[[#This Row],[NILAI MASUK ASLI]]</f>
        <v>0</v>
      </c>
    </row>
    <row r="62" spans="1:15" x14ac:dyDescent="0.3">
      <c r="A62" s="1">
        <v>2026</v>
      </c>
      <c r="B62" s="1" t="s">
        <v>590</v>
      </c>
      <c r="C62" s="18">
        <v>46220</v>
      </c>
      <c r="D62" s="1" t="s">
        <v>323</v>
      </c>
      <c r="E62" s="9">
        <f>VLOOKUP(TBLBAHANMASUK[[#This Row],[NAMA BAHAN]],TBLREKAPBAHAN[[NAMA BAHAN]:[MODAL SATUAN]],2,FALSE)</f>
        <v>12000</v>
      </c>
      <c r="F62" s="9">
        <f>VLOOKUP(TBLBAHANMASUK[[#This Row],[NAMA BAHAN]],TBLREKAPBAHAN[[NAMA BAHAN]:[MODAL SATUAN]],3,FALSE)</f>
        <v>250</v>
      </c>
      <c r="G62" s="9">
        <f>VLOOKUP(TBLBAHANMASUK[[#This Row],[NAMA BAHAN]],TBLREKAPBAHAN[[NAMA BAHAN]:[MODAL SATUAN]],4,FALSE)</f>
        <v>48</v>
      </c>
      <c r="H62" s="9">
        <v>250</v>
      </c>
      <c r="I62" s="73">
        <f>TBLBAHANMASUK[[#This Row],[MODAL SATUAN]]*TBLBAHANMASUK[[#This Row],[MASUK]]</f>
        <v>12000</v>
      </c>
      <c r="J62" s="9">
        <v>12000</v>
      </c>
      <c r="K62" s="9">
        <f>TBLBAHANMASUK[[#This Row],[ISI]]</f>
        <v>250</v>
      </c>
      <c r="L62" s="9">
        <f>TBLBAHANMASUK[[#This Row],[HARGA ASLI]]/TBLBAHANMASUK[[#This Row],[QTY]]</f>
        <v>48</v>
      </c>
      <c r="M62" s="9">
        <f>TBLBAHANMASUK[[#This Row],[MASUK]]</f>
        <v>250</v>
      </c>
      <c r="N62" s="9">
        <f>TBLBAHANMASUK[[#This Row],[MODAL ASLI]]*TBLBAHANMASUK[[#This Row],[QTY MASUK]]</f>
        <v>12000</v>
      </c>
      <c r="O62" s="9">
        <f>TBLBAHANMASUK[[#This Row],[NILAI MASUK]]-TBLBAHANMASUK[[#This Row],[NILAI MASUK ASLI]]</f>
        <v>0</v>
      </c>
    </row>
    <row r="63" spans="1:15" x14ac:dyDescent="0.3">
      <c r="A63" s="1">
        <v>2026</v>
      </c>
      <c r="B63" s="1" t="s">
        <v>590</v>
      </c>
      <c r="C63" s="18">
        <v>46220</v>
      </c>
      <c r="D63" s="1" t="s">
        <v>325</v>
      </c>
      <c r="E63" s="9">
        <f>VLOOKUP(TBLBAHANMASUK[[#This Row],[NAMA BAHAN]],TBLREKAPBAHAN[[NAMA BAHAN]:[MODAL SATUAN]],2,FALSE)</f>
        <v>12000</v>
      </c>
      <c r="F63" s="9">
        <f>VLOOKUP(TBLBAHANMASUK[[#This Row],[NAMA BAHAN]],TBLREKAPBAHAN[[NAMA BAHAN]:[MODAL SATUAN]],3,FALSE)</f>
        <v>250</v>
      </c>
      <c r="G63" s="9">
        <f>VLOOKUP(TBLBAHANMASUK[[#This Row],[NAMA BAHAN]],TBLREKAPBAHAN[[NAMA BAHAN]:[MODAL SATUAN]],4,FALSE)</f>
        <v>48</v>
      </c>
      <c r="H63" s="9">
        <v>750</v>
      </c>
      <c r="I63" s="73">
        <f>TBLBAHANMASUK[[#This Row],[MODAL SATUAN]]*TBLBAHANMASUK[[#This Row],[MASUK]]</f>
        <v>36000</v>
      </c>
      <c r="J63" s="9">
        <v>10500</v>
      </c>
      <c r="K63" s="9">
        <f>TBLBAHANMASUK[[#This Row],[ISI]]</f>
        <v>250</v>
      </c>
      <c r="L63" s="9">
        <f>TBLBAHANMASUK[[#This Row],[HARGA ASLI]]/TBLBAHANMASUK[[#This Row],[QTY]]</f>
        <v>42</v>
      </c>
      <c r="M63" s="9">
        <f>TBLBAHANMASUK[[#This Row],[MASUK]]</f>
        <v>750</v>
      </c>
      <c r="N63" s="9">
        <f>TBLBAHANMASUK[[#This Row],[MODAL ASLI]]*TBLBAHANMASUK[[#This Row],[QTY MASUK]]</f>
        <v>31500</v>
      </c>
      <c r="O63" s="9">
        <f>TBLBAHANMASUK[[#This Row],[NILAI MASUK]]-TBLBAHANMASUK[[#This Row],[NILAI MASUK ASLI]]</f>
        <v>4500</v>
      </c>
    </row>
    <row r="64" spans="1:15" x14ac:dyDescent="0.3">
      <c r="A64" s="1">
        <v>2026</v>
      </c>
      <c r="B64" s="1" t="s">
        <v>590</v>
      </c>
      <c r="C64" s="18">
        <v>46220</v>
      </c>
      <c r="D64" s="1" t="s">
        <v>326</v>
      </c>
      <c r="E64" s="9">
        <f>VLOOKUP(TBLBAHANMASUK[[#This Row],[NAMA BAHAN]],TBLREKAPBAHAN[[NAMA BAHAN]:[MODAL SATUAN]],2,FALSE)</f>
        <v>7000</v>
      </c>
      <c r="F64" s="9">
        <f>VLOOKUP(TBLBAHANMASUK[[#This Row],[NAMA BAHAN]],TBLREKAPBAHAN[[NAMA BAHAN]:[MODAL SATUAN]],3,FALSE)</f>
        <v>24</v>
      </c>
      <c r="G64" s="9">
        <f>VLOOKUP(TBLBAHANMASUK[[#This Row],[NAMA BAHAN]],TBLREKAPBAHAN[[NAMA BAHAN]:[MODAL SATUAN]],4,FALSE)</f>
        <v>291.66666666666669</v>
      </c>
      <c r="H64" s="9">
        <v>24</v>
      </c>
      <c r="I64" s="73">
        <f>TBLBAHANMASUK[[#This Row],[MODAL SATUAN]]*TBLBAHANMASUK[[#This Row],[MASUK]]</f>
        <v>7000</v>
      </c>
      <c r="J64" s="9">
        <v>7000</v>
      </c>
      <c r="K64" s="9">
        <f>TBLBAHANMASUK[[#This Row],[ISI]]</f>
        <v>24</v>
      </c>
      <c r="L64" s="9">
        <f>TBLBAHANMASUK[[#This Row],[HARGA ASLI]]/TBLBAHANMASUK[[#This Row],[QTY]]</f>
        <v>291.66666666666669</v>
      </c>
      <c r="M64" s="9">
        <f>TBLBAHANMASUK[[#This Row],[MASUK]]</f>
        <v>24</v>
      </c>
      <c r="N64" s="9">
        <f>TBLBAHANMASUK[[#This Row],[MODAL ASLI]]*TBLBAHANMASUK[[#This Row],[QTY MASUK]]</f>
        <v>7000</v>
      </c>
      <c r="O64" s="9">
        <f>TBLBAHANMASUK[[#This Row],[NILAI MASUK]]-TBLBAHANMASUK[[#This Row],[NILAI MASUK ASLI]]</f>
        <v>0</v>
      </c>
    </row>
    <row r="65" spans="1:15" x14ac:dyDescent="0.3">
      <c r="A65" s="1">
        <v>2026</v>
      </c>
      <c r="B65" s="1" t="s">
        <v>590</v>
      </c>
      <c r="C65" s="18">
        <v>46220</v>
      </c>
      <c r="D65" s="1" t="s">
        <v>579</v>
      </c>
      <c r="E65" s="9">
        <f>VLOOKUP(TBLBAHANMASUK[[#This Row],[NAMA BAHAN]],TBLREKAPBAHAN[[NAMA BAHAN]:[MODAL SATUAN]],2,FALSE)</f>
        <v>27000</v>
      </c>
      <c r="F65" s="9">
        <f>VLOOKUP(TBLBAHANMASUK[[#This Row],[NAMA BAHAN]],TBLREKAPBAHAN[[NAMA BAHAN]:[MODAL SATUAN]],3,FALSE)</f>
        <v>20</v>
      </c>
      <c r="G65" s="9">
        <f>VLOOKUP(TBLBAHANMASUK[[#This Row],[NAMA BAHAN]],TBLREKAPBAHAN[[NAMA BAHAN]:[MODAL SATUAN]],4,FALSE)</f>
        <v>1350</v>
      </c>
      <c r="H65" s="9">
        <v>40</v>
      </c>
      <c r="I65" s="73">
        <f>TBLBAHANMASUK[[#This Row],[MODAL SATUAN]]*TBLBAHANMASUK[[#This Row],[MASUK]]</f>
        <v>54000</v>
      </c>
      <c r="J65" s="9">
        <v>27000</v>
      </c>
      <c r="K65" s="9">
        <f>TBLBAHANMASUK[[#This Row],[ISI]]</f>
        <v>20</v>
      </c>
      <c r="L65" s="9">
        <f>TBLBAHANMASUK[[#This Row],[HARGA ASLI]]/TBLBAHANMASUK[[#This Row],[QTY]]</f>
        <v>1350</v>
      </c>
      <c r="M65" s="9">
        <f>TBLBAHANMASUK[[#This Row],[MASUK]]</f>
        <v>40</v>
      </c>
      <c r="N65" s="9">
        <f>TBLBAHANMASUK[[#This Row],[MODAL ASLI]]*TBLBAHANMASUK[[#This Row],[QTY MASUK]]</f>
        <v>54000</v>
      </c>
      <c r="O65" s="9">
        <f>TBLBAHANMASUK[[#This Row],[NILAI MASUK]]-TBLBAHANMASUK[[#This Row],[NILAI MASUK ASLI]]</f>
        <v>0</v>
      </c>
    </row>
    <row r="66" spans="1:15" x14ac:dyDescent="0.3">
      <c r="A66" s="1">
        <v>2026</v>
      </c>
      <c r="B66" s="1" t="s">
        <v>590</v>
      </c>
      <c r="C66" s="18">
        <v>46220</v>
      </c>
      <c r="D66" s="1" t="s">
        <v>580</v>
      </c>
      <c r="E66" s="9">
        <f>VLOOKUP(TBLBAHANMASUK[[#This Row],[NAMA BAHAN]],TBLREKAPBAHAN[[NAMA BAHAN]:[MODAL SATUAN]],2,FALSE)</f>
        <v>90000</v>
      </c>
      <c r="F66" s="9">
        <f>VLOOKUP(TBLBAHANMASUK[[#This Row],[NAMA BAHAN]],TBLREKAPBAHAN[[NAMA BAHAN]:[MODAL SATUAN]],3,FALSE)</f>
        <v>500</v>
      </c>
      <c r="G66" s="9">
        <f>VLOOKUP(TBLBAHANMASUK[[#This Row],[NAMA BAHAN]],TBLREKAPBAHAN[[NAMA BAHAN]:[MODAL SATUAN]],4,FALSE)</f>
        <v>180</v>
      </c>
      <c r="H66" s="9">
        <v>500</v>
      </c>
      <c r="I66" s="73">
        <f>TBLBAHANMASUK[[#This Row],[MODAL SATUAN]]*TBLBAHANMASUK[[#This Row],[MASUK]]</f>
        <v>90000</v>
      </c>
      <c r="J66" s="9">
        <v>88000</v>
      </c>
      <c r="K66" s="9">
        <f>TBLBAHANMASUK[[#This Row],[ISI]]</f>
        <v>500</v>
      </c>
      <c r="L66" s="9">
        <f>TBLBAHANMASUK[[#This Row],[HARGA ASLI]]/TBLBAHANMASUK[[#This Row],[QTY]]</f>
        <v>176</v>
      </c>
      <c r="M66" s="9">
        <f>TBLBAHANMASUK[[#This Row],[MASUK]]</f>
        <v>500</v>
      </c>
      <c r="N66" s="9">
        <f>TBLBAHANMASUK[[#This Row],[MODAL ASLI]]*TBLBAHANMASUK[[#This Row],[QTY MASUK]]</f>
        <v>88000</v>
      </c>
      <c r="O66" s="9">
        <f>TBLBAHANMASUK[[#This Row],[NILAI MASUK]]-TBLBAHANMASUK[[#This Row],[NILAI MASUK ASLI]]</f>
        <v>2000</v>
      </c>
    </row>
    <row r="67" spans="1:15" x14ac:dyDescent="0.3">
      <c r="A67" s="1">
        <v>2026</v>
      </c>
      <c r="B67" s="1" t="s">
        <v>590</v>
      </c>
      <c r="C67" s="18">
        <v>46220</v>
      </c>
      <c r="D67" s="1" t="s">
        <v>342</v>
      </c>
      <c r="E67" s="9">
        <f>VLOOKUP(TBLBAHANMASUK[[#This Row],[NAMA BAHAN]],TBLREKAPBAHAN[[NAMA BAHAN]:[MODAL SATUAN]],2,FALSE)</f>
        <v>14000</v>
      </c>
      <c r="F67" s="9">
        <f>VLOOKUP(TBLBAHANMASUK[[#This Row],[NAMA BAHAN]],TBLREKAPBAHAN[[NAMA BAHAN]:[MODAL SATUAN]],3,FALSE)</f>
        <v>1000</v>
      </c>
      <c r="G67" s="9">
        <f>VLOOKUP(TBLBAHANMASUK[[#This Row],[NAMA BAHAN]],TBLREKAPBAHAN[[NAMA BAHAN]:[MODAL SATUAN]],4,FALSE)</f>
        <v>14</v>
      </c>
      <c r="H67" s="9">
        <v>1000</v>
      </c>
      <c r="I67" s="73">
        <f>TBLBAHANMASUK[[#This Row],[MODAL SATUAN]]*TBLBAHANMASUK[[#This Row],[MASUK]]</f>
        <v>14000</v>
      </c>
      <c r="J67" s="9">
        <v>12000</v>
      </c>
      <c r="K67" s="9">
        <f>TBLBAHANMASUK[[#This Row],[ISI]]</f>
        <v>1000</v>
      </c>
      <c r="L67" s="9">
        <f>TBLBAHANMASUK[[#This Row],[HARGA ASLI]]/TBLBAHANMASUK[[#This Row],[QTY]]</f>
        <v>12</v>
      </c>
      <c r="M67" s="9">
        <f>TBLBAHANMASUK[[#This Row],[MASUK]]</f>
        <v>1000</v>
      </c>
      <c r="N67" s="9">
        <f>TBLBAHANMASUK[[#This Row],[MODAL ASLI]]*TBLBAHANMASUK[[#This Row],[QTY MASUK]]</f>
        <v>12000</v>
      </c>
      <c r="O67" s="9">
        <f>TBLBAHANMASUK[[#This Row],[NILAI MASUK]]-TBLBAHANMASUK[[#This Row],[NILAI MASUK ASLI]]</f>
        <v>2000</v>
      </c>
    </row>
    <row r="68" spans="1:15" x14ac:dyDescent="0.3">
      <c r="A68" s="1">
        <v>2026</v>
      </c>
      <c r="B68" s="1" t="s">
        <v>590</v>
      </c>
      <c r="C68" s="18">
        <v>46223</v>
      </c>
      <c r="D68" s="1" t="s">
        <v>291</v>
      </c>
      <c r="E68" s="9">
        <f>VLOOKUP(TBLBAHANMASUK[[#This Row],[NAMA BAHAN]],TBLREKAPBAHAN[[NAMA BAHAN]:[MODAL SATUAN]],2,FALSE)</f>
        <v>2000</v>
      </c>
      <c r="F68" s="9">
        <f>VLOOKUP(TBLBAHANMASUK[[#This Row],[NAMA BAHAN]],TBLREKAPBAHAN[[NAMA BAHAN]:[MODAL SATUAN]],3,FALSE)</f>
        <v>10</v>
      </c>
      <c r="G68" s="9">
        <f>VLOOKUP(TBLBAHANMASUK[[#This Row],[NAMA BAHAN]],TBLREKAPBAHAN[[NAMA BAHAN]:[MODAL SATUAN]],4,FALSE)</f>
        <v>200</v>
      </c>
      <c r="H68" s="9">
        <v>20</v>
      </c>
      <c r="I68" s="73">
        <f>TBLBAHANMASUK[[#This Row],[MODAL SATUAN]]*TBLBAHANMASUK[[#This Row],[MASUK]]</f>
        <v>4000</v>
      </c>
      <c r="J68" s="9">
        <v>2000</v>
      </c>
      <c r="K68" s="9">
        <f>TBLBAHANMASUK[[#This Row],[ISI]]</f>
        <v>10</v>
      </c>
      <c r="L68" s="9">
        <f>TBLBAHANMASUK[[#This Row],[HARGA ASLI]]/TBLBAHANMASUK[[#This Row],[QTY]]</f>
        <v>200</v>
      </c>
      <c r="M68" s="9">
        <f>TBLBAHANMASUK[[#This Row],[MASUK]]</f>
        <v>20</v>
      </c>
      <c r="N68" s="9">
        <f>TBLBAHANMASUK[[#This Row],[MODAL ASLI]]*TBLBAHANMASUK[[#This Row],[QTY MASUK]]</f>
        <v>4000</v>
      </c>
      <c r="O68" s="9">
        <f>TBLBAHANMASUK[[#This Row],[NILAI MASUK]]-TBLBAHANMASUK[[#This Row],[NILAI MASUK ASLI]]</f>
        <v>0</v>
      </c>
    </row>
    <row r="69" spans="1:15" x14ac:dyDescent="0.3">
      <c r="A69" s="1">
        <v>2026</v>
      </c>
      <c r="B69" s="1" t="s">
        <v>590</v>
      </c>
      <c r="C69" s="18">
        <v>46223</v>
      </c>
      <c r="D69" s="1" t="s">
        <v>434</v>
      </c>
      <c r="E69" s="9">
        <f>VLOOKUP(TBLBAHANMASUK[[#This Row],[NAMA BAHAN]],TBLREKAPBAHAN[[NAMA BAHAN]:[MODAL SATUAN]],2,FALSE)</f>
        <v>10000</v>
      </c>
      <c r="F69" s="9">
        <f>VLOOKUP(TBLBAHANMASUK[[#This Row],[NAMA BAHAN]],TBLREKAPBAHAN[[NAMA BAHAN]:[MODAL SATUAN]],3,FALSE)</f>
        <v>100</v>
      </c>
      <c r="G69" s="9">
        <f>VLOOKUP(TBLBAHANMASUK[[#This Row],[NAMA BAHAN]],TBLREKAPBAHAN[[NAMA BAHAN]:[MODAL SATUAN]],4,FALSE)</f>
        <v>100</v>
      </c>
      <c r="H69" s="9">
        <v>100</v>
      </c>
      <c r="I69" s="73">
        <f>TBLBAHANMASUK[[#This Row],[MODAL SATUAN]]*TBLBAHANMASUK[[#This Row],[MASUK]]</f>
        <v>10000</v>
      </c>
      <c r="J69" s="9">
        <v>8000</v>
      </c>
      <c r="K69" s="9">
        <f>TBLBAHANMASUK[[#This Row],[ISI]]</f>
        <v>100</v>
      </c>
      <c r="L69" s="9">
        <f>TBLBAHANMASUK[[#This Row],[HARGA ASLI]]/TBLBAHANMASUK[[#This Row],[QTY]]</f>
        <v>80</v>
      </c>
      <c r="M69" s="9">
        <f>TBLBAHANMASUK[[#This Row],[MASUK]]</f>
        <v>100</v>
      </c>
      <c r="N69" s="9">
        <f>TBLBAHANMASUK[[#This Row],[MODAL ASLI]]*TBLBAHANMASUK[[#This Row],[QTY MASUK]]</f>
        <v>8000</v>
      </c>
      <c r="O69" s="9">
        <f>TBLBAHANMASUK[[#This Row],[NILAI MASUK]]-TBLBAHANMASUK[[#This Row],[NILAI MASUK ASLI]]</f>
        <v>2000</v>
      </c>
    </row>
    <row r="70" spans="1:15" x14ac:dyDescent="0.3">
      <c r="A70" s="1">
        <v>2026</v>
      </c>
      <c r="B70" s="1" t="s">
        <v>590</v>
      </c>
      <c r="C70" s="18">
        <v>46223</v>
      </c>
      <c r="D70" s="1" t="s">
        <v>289</v>
      </c>
      <c r="E70" s="9">
        <f>VLOOKUP(TBLBAHANMASUK[[#This Row],[NAMA BAHAN]],TBLREKAPBAHAN[[NAMA BAHAN]:[MODAL SATUAN]],2,FALSE)</f>
        <v>9000</v>
      </c>
      <c r="F70" s="9">
        <f>VLOOKUP(TBLBAHANMASUK[[#This Row],[NAMA BAHAN]],TBLREKAPBAHAN[[NAMA BAHAN]:[MODAL SATUAN]],3,FALSE)</f>
        <v>10</v>
      </c>
      <c r="G70" s="9">
        <f>VLOOKUP(TBLBAHANMASUK[[#This Row],[NAMA BAHAN]],TBLREKAPBAHAN[[NAMA BAHAN]:[MODAL SATUAN]],4,FALSE)</f>
        <v>900</v>
      </c>
      <c r="H70" s="9">
        <v>10</v>
      </c>
      <c r="I70" s="73">
        <f>TBLBAHANMASUK[[#This Row],[MODAL SATUAN]]*TBLBAHANMASUK[[#This Row],[MASUK]]</f>
        <v>9000</v>
      </c>
      <c r="J70" s="9">
        <v>7000</v>
      </c>
      <c r="K70" s="9">
        <f>TBLBAHANMASUK[[#This Row],[ISI]]</f>
        <v>10</v>
      </c>
      <c r="L70" s="9">
        <f>TBLBAHANMASUK[[#This Row],[HARGA ASLI]]/TBLBAHANMASUK[[#This Row],[QTY]]</f>
        <v>700</v>
      </c>
      <c r="M70" s="9">
        <f>TBLBAHANMASUK[[#This Row],[MASUK]]</f>
        <v>10</v>
      </c>
      <c r="N70" s="9">
        <f>TBLBAHANMASUK[[#This Row],[MODAL ASLI]]*TBLBAHANMASUK[[#This Row],[QTY MASUK]]</f>
        <v>7000</v>
      </c>
      <c r="O70" s="9">
        <f>TBLBAHANMASUK[[#This Row],[NILAI MASUK]]-TBLBAHANMASUK[[#This Row],[NILAI MASUK ASLI]]</f>
        <v>2000</v>
      </c>
    </row>
    <row r="71" spans="1:15" x14ac:dyDescent="0.3">
      <c r="A71" s="1">
        <v>2026</v>
      </c>
      <c r="B71" s="1" t="s">
        <v>590</v>
      </c>
      <c r="C71" s="18">
        <v>46228</v>
      </c>
      <c r="D71" s="1" t="s">
        <v>330</v>
      </c>
      <c r="E71" s="9">
        <f>VLOOKUP(TBLBAHANMASUK[[#This Row],[NAMA BAHAN]],TBLREKAPBAHAN[[NAMA BAHAN]:[MODAL SATUAN]],2,FALSE)</f>
        <v>35000</v>
      </c>
      <c r="F71" s="9">
        <f>VLOOKUP(TBLBAHANMASUK[[#This Row],[NAMA BAHAN]],TBLREKAPBAHAN[[NAMA BAHAN]:[MODAL SATUAN]],3,FALSE)</f>
        <v>38</v>
      </c>
      <c r="G71" s="9">
        <f>VLOOKUP(TBLBAHANMASUK[[#This Row],[NAMA BAHAN]],TBLREKAPBAHAN[[NAMA BAHAN]:[MODAL SATUAN]],4,FALSE)</f>
        <v>921.0526315789474</v>
      </c>
      <c r="H71" s="9">
        <v>38</v>
      </c>
      <c r="I71" s="73">
        <f>TBLBAHANMASUK[[#This Row],[MODAL SATUAN]]*TBLBAHANMASUK[[#This Row],[MASUK]]</f>
        <v>35000</v>
      </c>
      <c r="J71" s="9">
        <v>32000</v>
      </c>
      <c r="K71" s="9">
        <f>TBLBAHANMASUK[[#This Row],[ISI]]</f>
        <v>38</v>
      </c>
      <c r="L71" s="9">
        <f>TBLBAHANMASUK[[#This Row],[HARGA ASLI]]/TBLBAHANMASUK[[#This Row],[QTY]]</f>
        <v>842.10526315789468</v>
      </c>
      <c r="M71" s="9">
        <f>TBLBAHANMASUK[[#This Row],[MASUK]]</f>
        <v>38</v>
      </c>
      <c r="N71" s="9">
        <f>TBLBAHANMASUK[[#This Row],[MODAL ASLI]]*TBLBAHANMASUK[[#This Row],[QTY MASUK]]</f>
        <v>31999.999999999996</v>
      </c>
      <c r="O71" s="9">
        <f>TBLBAHANMASUK[[#This Row],[NILAI MASUK]]-TBLBAHANMASUK[[#This Row],[NILAI MASUK ASLI]]</f>
        <v>3000.0000000000036</v>
      </c>
    </row>
    <row r="72" spans="1:15" x14ac:dyDescent="0.3">
      <c r="A72" s="1">
        <v>2026</v>
      </c>
      <c r="B72" s="1" t="s">
        <v>590</v>
      </c>
      <c r="C72" s="18">
        <v>46228</v>
      </c>
      <c r="D72" s="1" t="s">
        <v>336</v>
      </c>
      <c r="E72" s="9">
        <f>VLOOKUP(TBLBAHANMASUK[[#This Row],[NAMA BAHAN]],TBLREKAPBAHAN[[NAMA BAHAN]:[MODAL SATUAN]],2,FALSE)</f>
        <v>60000</v>
      </c>
      <c r="F72" s="9">
        <f>VLOOKUP(TBLBAHANMASUK[[#This Row],[NAMA BAHAN]],TBLREKAPBAHAN[[NAMA BAHAN]:[MODAL SATUAN]],3,FALSE)</f>
        <v>50</v>
      </c>
      <c r="G72" s="9">
        <f>VLOOKUP(TBLBAHANMASUK[[#This Row],[NAMA BAHAN]],TBLREKAPBAHAN[[NAMA BAHAN]:[MODAL SATUAN]],4,FALSE)</f>
        <v>1200</v>
      </c>
      <c r="H72" s="9">
        <v>50</v>
      </c>
      <c r="I72" s="73">
        <f>TBLBAHANMASUK[[#This Row],[MODAL SATUAN]]*TBLBAHANMASUK[[#This Row],[MASUK]]</f>
        <v>60000</v>
      </c>
      <c r="J72" s="9">
        <v>35000</v>
      </c>
      <c r="K72" s="9">
        <f>TBLBAHANMASUK[[#This Row],[ISI]]</f>
        <v>50</v>
      </c>
      <c r="L72" s="9">
        <f>TBLBAHANMASUK[[#This Row],[HARGA ASLI]]/TBLBAHANMASUK[[#This Row],[QTY]]</f>
        <v>700</v>
      </c>
      <c r="M72" s="9">
        <f>TBLBAHANMASUK[[#This Row],[MASUK]]</f>
        <v>50</v>
      </c>
      <c r="N72" s="9">
        <f>TBLBAHANMASUK[[#This Row],[MODAL ASLI]]*TBLBAHANMASUK[[#This Row],[QTY MASUK]]</f>
        <v>35000</v>
      </c>
      <c r="O72" s="9">
        <f>TBLBAHANMASUK[[#This Row],[NILAI MASUK]]-TBLBAHANMASUK[[#This Row],[NILAI MASUK ASLI]]</f>
        <v>25000</v>
      </c>
    </row>
    <row r="73" spans="1:15" x14ac:dyDescent="0.3">
      <c r="A73" s="1">
        <v>2026</v>
      </c>
      <c r="B73" s="1" t="s">
        <v>590</v>
      </c>
      <c r="C73" s="18">
        <v>46228</v>
      </c>
      <c r="D73" s="1" t="s">
        <v>345</v>
      </c>
      <c r="E73" s="9">
        <f>VLOOKUP(TBLBAHANMASUK[[#This Row],[NAMA BAHAN]],TBLREKAPBAHAN[[NAMA BAHAN]:[MODAL SATUAN]],2,FALSE)</f>
        <v>5000</v>
      </c>
      <c r="F73" s="9">
        <f>VLOOKUP(TBLBAHANMASUK[[#This Row],[NAMA BAHAN]],TBLREKAPBAHAN[[NAMA BAHAN]:[MODAL SATUAN]],3,FALSE)</f>
        <v>8</v>
      </c>
      <c r="G73" s="9">
        <f>VLOOKUP(TBLBAHANMASUK[[#This Row],[NAMA BAHAN]],TBLREKAPBAHAN[[NAMA BAHAN]:[MODAL SATUAN]],4,FALSE)</f>
        <v>625</v>
      </c>
      <c r="H73" s="9">
        <v>16</v>
      </c>
      <c r="I73" s="73">
        <f>TBLBAHANMASUK[[#This Row],[MODAL SATUAN]]*TBLBAHANMASUK[[#This Row],[MASUK]]</f>
        <v>10000</v>
      </c>
      <c r="J73" s="9">
        <v>3000</v>
      </c>
      <c r="K73" s="9">
        <f>TBLBAHANMASUK[[#This Row],[ISI]]</f>
        <v>8</v>
      </c>
      <c r="L73" s="9">
        <f>TBLBAHANMASUK[[#This Row],[HARGA ASLI]]/TBLBAHANMASUK[[#This Row],[QTY]]</f>
        <v>375</v>
      </c>
      <c r="M73" s="9">
        <f>TBLBAHANMASUK[[#This Row],[MASUK]]</f>
        <v>16</v>
      </c>
      <c r="N73" s="9">
        <f>TBLBAHANMASUK[[#This Row],[MODAL ASLI]]*TBLBAHANMASUK[[#This Row],[QTY MASUK]]</f>
        <v>6000</v>
      </c>
      <c r="O73" s="9">
        <f>TBLBAHANMASUK[[#This Row],[NILAI MASUK]]-TBLBAHANMASUK[[#This Row],[NILAI MASUK ASLI]]</f>
        <v>4000</v>
      </c>
    </row>
    <row r="74" spans="1:15" x14ac:dyDescent="0.3">
      <c r="A74" s="1">
        <v>2026</v>
      </c>
      <c r="B74" s="1" t="s">
        <v>590</v>
      </c>
      <c r="C74" s="18">
        <v>46228</v>
      </c>
      <c r="D74" s="1" t="s">
        <v>347</v>
      </c>
      <c r="E74" s="9">
        <f>VLOOKUP(TBLBAHANMASUK[[#This Row],[NAMA BAHAN]],TBLREKAPBAHAN[[NAMA BAHAN]:[MODAL SATUAN]],2,FALSE)</f>
        <v>3000</v>
      </c>
      <c r="F74" s="9">
        <f>VLOOKUP(TBLBAHANMASUK[[#This Row],[NAMA BAHAN]],TBLREKAPBAHAN[[NAMA BAHAN]:[MODAL SATUAN]],3,FALSE)</f>
        <v>2</v>
      </c>
      <c r="G74" s="9">
        <f>VLOOKUP(TBLBAHANMASUK[[#This Row],[NAMA BAHAN]],TBLREKAPBAHAN[[NAMA BAHAN]:[MODAL SATUAN]],4,FALSE)</f>
        <v>1500</v>
      </c>
      <c r="H74" s="9">
        <v>1</v>
      </c>
      <c r="I74" s="73">
        <f>TBLBAHANMASUK[[#This Row],[MODAL SATUAN]]*TBLBAHANMASUK[[#This Row],[MASUK]]</f>
        <v>1500</v>
      </c>
      <c r="J74" s="9">
        <v>4000</v>
      </c>
      <c r="K74" s="9">
        <f>TBLBAHANMASUK[[#This Row],[ISI]]</f>
        <v>2</v>
      </c>
      <c r="L74" s="9">
        <f>TBLBAHANMASUK[[#This Row],[HARGA ASLI]]/TBLBAHANMASUK[[#This Row],[QTY]]</f>
        <v>2000</v>
      </c>
      <c r="M74" s="9">
        <f>TBLBAHANMASUK[[#This Row],[MASUK]]</f>
        <v>1</v>
      </c>
      <c r="N74" s="9">
        <f>TBLBAHANMASUK[[#This Row],[MODAL ASLI]]*TBLBAHANMASUK[[#This Row],[QTY MASUK]]</f>
        <v>2000</v>
      </c>
      <c r="O74" s="9">
        <f>TBLBAHANMASUK[[#This Row],[NILAI MASUK]]-TBLBAHANMASUK[[#This Row],[NILAI MASUK ASLI]]</f>
        <v>-500</v>
      </c>
    </row>
  </sheetData>
  <mergeCells count="2">
    <mergeCell ref="A1:I1"/>
    <mergeCell ref="A2:I2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'REKAP BAHAN'!$A$4:$A$71</xm:f>
          </x14:formula1>
          <xm:sqref>D5:D74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92"/>
  <sheetViews>
    <sheetView topLeftCell="A356" zoomScale="60" zoomScaleNormal="60" workbookViewId="0">
      <selection activeCell="L391" sqref="L391"/>
    </sheetView>
  </sheetViews>
  <sheetFormatPr defaultRowHeight="15.6" x14ac:dyDescent="0.3"/>
  <cols>
    <col min="1" max="1" width="11.33203125" style="106" customWidth="1"/>
    <col min="2" max="2" width="20.5546875" style="106" customWidth="1"/>
    <col min="3" max="3" width="14" style="106" hidden="1" customWidth="1"/>
    <col min="4" max="4" width="16.44140625" style="106" hidden="1" customWidth="1"/>
    <col min="5" max="5" width="79.33203125" style="106" customWidth="1"/>
    <col min="6" max="6" width="21.5546875" style="118" customWidth="1"/>
    <col min="7" max="7" width="44.109375" style="146" customWidth="1"/>
    <col min="8" max="10" width="17.88671875" style="106" customWidth="1"/>
    <col min="11" max="11" width="17.33203125" style="151" customWidth="1"/>
    <col min="12" max="13" width="20" style="106" customWidth="1"/>
    <col min="14" max="14" width="25.88671875" style="106" customWidth="1"/>
    <col min="15" max="224" width="9.109375" style="106"/>
    <col min="225" max="225" width="14.5546875" style="106" customWidth="1"/>
    <col min="226" max="226" width="45.5546875" style="106" customWidth="1"/>
    <col min="227" max="227" width="34.33203125" style="106" customWidth="1"/>
    <col min="228" max="228" width="19.109375" style="106" customWidth="1"/>
    <col min="229" max="229" width="29.5546875" style="106" customWidth="1"/>
    <col min="230" max="231" width="17.5546875" style="106" customWidth="1"/>
    <col min="232" max="232" width="18.6640625" style="106" customWidth="1"/>
    <col min="233" max="233" width="16.33203125" style="106" customWidth="1"/>
    <col min="234" max="234" width="20.33203125" style="106" customWidth="1"/>
    <col min="235" max="236" width="16.44140625" style="106" customWidth="1"/>
    <col min="237" max="237" width="15.109375" style="106" customWidth="1"/>
    <col min="238" max="480" width="9.109375" style="106"/>
    <col min="481" max="481" width="14.5546875" style="106" customWidth="1"/>
    <col min="482" max="482" width="45.5546875" style="106" customWidth="1"/>
    <col min="483" max="483" width="34.33203125" style="106" customWidth="1"/>
    <col min="484" max="484" width="19.109375" style="106" customWidth="1"/>
    <col min="485" max="485" width="29.5546875" style="106" customWidth="1"/>
    <col min="486" max="487" width="17.5546875" style="106" customWidth="1"/>
    <col min="488" max="488" width="18.6640625" style="106" customWidth="1"/>
    <col min="489" max="489" width="16.33203125" style="106" customWidth="1"/>
    <col min="490" max="490" width="20.33203125" style="106" customWidth="1"/>
    <col min="491" max="492" width="16.44140625" style="106" customWidth="1"/>
    <col min="493" max="493" width="15.109375" style="106" customWidth="1"/>
    <col min="494" max="736" width="9.109375" style="106"/>
    <col min="737" max="737" width="14.5546875" style="106" customWidth="1"/>
    <col min="738" max="738" width="45.5546875" style="106" customWidth="1"/>
    <col min="739" max="739" width="34.33203125" style="106" customWidth="1"/>
    <col min="740" max="740" width="19.109375" style="106" customWidth="1"/>
    <col min="741" max="741" width="29.5546875" style="106" customWidth="1"/>
    <col min="742" max="743" width="17.5546875" style="106" customWidth="1"/>
    <col min="744" max="744" width="18.6640625" style="106" customWidth="1"/>
    <col min="745" max="745" width="16.33203125" style="106" customWidth="1"/>
    <col min="746" max="746" width="20.33203125" style="106" customWidth="1"/>
    <col min="747" max="748" width="16.44140625" style="106" customWidth="1"/>
    <col min="749" max="749" width="15.109375" style="106" customWidth="1"/>
    <col min="750" max="992" width="9.109375" style="106"/>
    <col min="993" max="993" width="14.5546875" style="106" customWidth="1"/>
    <col min="994" max="994" width="45.5546875" style="106" customWidth="1"/>
    <col min="995" max="995" width="34.33203125" style="106" customWidth="1"/>
    <col min="996" max="996" width="19.109375" style="106" customWidth="1"/>
    <col min="997" max="997" width="29.5546875" style="106" customWidth="1"/>
    <col min="998" max="999" width="17.5546875" style="106" customWidth="1"/>
    <col min="1000" max="1000" width="18.6640625" style="106" customWidth="1"/>
    <col min="1001" max="1001" width="16.33203125" style="106" customWidth="1"/>
    <col min="1002" max="1002" width="20.33203125" style="106" customWidth="1"/>
    <col min="1003" max="1004" width="16.44140625" style="106" customWidth="1"/>
    <col min="1005" max="1005" width="15.109375" style="106" customWidth="1"/>
    <col min="1006" max="1248" width="9.109375" style="106"/>
    <col min="1249" max="1249" width="14.5546875" style="106" customWidth="1"/>
    <col min="1250" max="1250" width="45.5546875" style="106" customWidth="1"/>
    <col min="1251" max="1251" width="34.33203125" style="106" customWidth="1"/>
    <col min="1252" max="1252" width="19.109375" style="106" customWidth="1"/>
    <col min="1253" max="1253" width="29.5546875" style="106" customWidth="1"/>
    <col min="1254" max="1255" width="17.5546875" style="106" customWidth="1"/>
    <col min="1256" max="1256" width="18.6640625" style="106" customWidth="1"/>
    <col min="1257" max="1257" width="16.33203125" style="106" customWidth="1"/>
    <col min="1258" max="1258" width="20.33203125" style="106" customWidth="1"/>
    <col min="1259" max="1260" width="16.44140625" style="106" customWidth="1"/>
    <col min="1261" max="1261" width="15.109375" style="106" customWidth="1"/>
    <col min="1262" max="1504" width="9.109375" style="106"/>
    <col min="1505" max="1505" width="14.5546875" style="106" customWidth="1"/>
    <col min="1506" max="1506" width="45.5546875" style="106" customWidth="1"/>
    <col min="1507" max="1507" width="34.33203125" style="106" customWidth="1"/>
    <col min="1508" max="1508" width="19.109375" style="106" customWidth="1"/>
    <col min="1509" max="1509" width="29.5546875" style="106" customWidth="1"/>
    <col min="1510" max="1511" width="17.5546875" style="106" customWidth="1"/>
    <col min="1512" max="1512" width="18.6640625" style="106" customWidth="1"/>
    <col min="1513" max="1513" width="16.33203125" style="106" customWidth="1"/>
    <col min="1514" max="1514" width="20.33203125" style="106" customWidth="1"/>
    <col min="1515" max="1516" width="16.44140625" style="106" customWidth="1"/>
    <col min="1517" max="1517" width="15.109375" style="106" customWidth="1"/>
    <col min="1518" max="1760" width="9.109375" style="106"/>
    <col min="1761" max="1761" width="14.5546875" style="106" customWidth="1"/>
    <col min="1762" max="1762" width="45.5546875" style="106" customWidth="1"/>
    <col min="1763" max="1763" width="34.33203125" style="106" customWidth="1"/>
    <col min="1764" max="1764" width="19.109375" style="106" customWidth="1"/>
    <col min="1765" max="1765" width="29.5546875" style="106" customWidth="1"/>
    <col min="1766" max="1767" width="17.5546875" style="106" customWidth="1"/>
    <col min="1768" max="1768" width="18.6640625" style="106" customWidth="1"/>
    <col min="1769" max="1769" width="16.33203125" style="106" customWidth="1"/>
    <col min="1770" max="1770" width="20.33203125" style="106" customWidth="1"/>
    <col min="1771" max="1772" width="16.44140625" style="106" customWidth="1"/>
    <col min="1773" max="1773" width="15.109375" style="106" customWidth="1"/>
    <col min="1774" max="2016" width="9.109375" style="106"/>
    <col min="2017" max="2017" width="14.5546875" style="106" customWidth="1"/>
    <col min="2018" max="2018" width="45.5546875" style="106" customWidth="1"/>
    <col min="2019" max="2019" width="34.33203125" style="106" customWidth="1"/>
    <col min="2020" max="2020" width="19.109375" style="106" customWidth="1"/>
    <col min="2021" max="2021" width="29.5546875" style="106" customWidth="1"/>
    <col min="2022" max="2023" width="17.5546875" style="106" customWidth="1"/>
    <col min="2024" max="2024" width="18.6640625" style="106" customWidth="1"/>
    <col min="2025" max="2025" width="16.33203125" style="106" customWidth="1"/>
    <col min="2026" max="2026" width="20.33203125" style="106" customWidth="1"/>
    <col min="2027" max="2028" width="16.44140625" style="106" customWidth="1"/>
    <col min="2029" max="2029" width="15.109375" style="106" customWidth="1"/>
    <col min="2030" max="2272" width="9.109375" style="106"/>
    <col min="2273" max="2273" width="14.5546875" style="106" customWidth="1"/>
    <col min="2274" max="2274" width="45.5546875" style="106" customWidth="1"/>
    <col min="2275" max="2275" width="34.33203125" style="106" customWidth="1"/>
    <col min="2276" max="2276" width="19.109375" style="106" customWidth="1"/>
    <col min="2277" max="2277" width="29.5546875" style="106" customWidth="1"/>
    <col min="2278" max="2279" width="17.5546875" style="106" customWidth="1"/>
    <col min="2280" max="2280" width="18.6640625" style="106" customWidth="1"/>
    <col min="2281" max="2281" width="16.33203125" style="106" customWidth="1"/>
    <col min="2282" max="2282" width="20.33203125" style="106" customWidth="1"/>
    <col min="2283" max="2284" width="16.44140625" style="106" customWidth="1"/>
    <col min="2285" max="2285" width="15.109375" style="106" customWidth="1"/>
    <col min="2286" max="2528" width="9.109375" style="106"/>
    <col min="2529" max="2529" width="14.5546875" style="106" customWidth="1"/>
    <col min="2530" max="2530" width="45.5546875" style="106" customWidth="1"/>
    <col min="2531" max="2531" width="34.33203125" style="106" customWidth="1"/>
    <col min="2532" max="2532" width="19.109375" style="106" customWidth="1"/>
    <col min="2533" max="2533" width="29.5546875" style="106" customWidth="1"/>
    <col min="2534" max="2535" width="17.5546875" style="106" customWidth="1"/>
    <col min="2536" max="2536" width="18.6640625" style="106" customWidth="1"/>
    <col min="2537" max="2537" width="16.33203125" style="106" customWidth="1"/>
    <col min="2538" max="2538" width="20.33203125" style="106" customWidth="1"/>
    <col min="2539" max="2540" width="16.44140625" style="106" customWidth="1"/>
    <col min="2541" max="2541" width="15.109375" style="106" customWidth="1"/>
    <col min="2542" max="2784" width="9.109375" style="106"/>
    <col min="2785" max="2785" width="14.5546875" style="106" customWidth="1"/>
    <col min="2786" max="2786" width="45.5546875" style="106" customWidth="1"/>
    <col min="2787" max="2787" width="34.33203125" style="106" customWidth="1"/>
    <col min="2788" max="2788" width="19.109375" style="106" customWidth="1"/>
    <col min="2789" max="2789" width="29.5546875" style="106" customWidth="1"/>
    <col min="2790" max="2791" width="17.5546875" style="106" customWidth="1"/>
    <col min="2792" max="2792" width="18.6640625" style="106" customWidth="1"/>
    <col min="2793" max="2793" width="16.33203125" style="106" customWidth="1"/>
    <col min="2794" max="2794" width="20.33203125" style="106" customWidth="1"/>
    <col min="2795" max="2796" width="16.44140625" style="106" customWidth="1"/>
    <col min="2797" max="2797" width="15.109375" style="106" customWidth="1"/>
    <col min="2798" max="3040" width="9.109375" style="106"/>
    <col min="3041" max="3041" width="14.5546875" style="106" customWidth="1"/>
    <col min="3042" max="3042" width="45.5546875" style="106" customWidth="1"/>
    <col min="3043" max="3043" width="34.33203125" style="106" customWidth="1"/>
    <col min="3044" max="3044" width="19.109375" style="106" customWidth="1"/>
    <col min="3045" max="3045" width="29.5546875" style="106" customWidth="1"/>
    <col min="3046" max="3047" width="17.5546875" style="106" customWidth="1"/>
    <col min="3048" max="3048" width="18.6640625" style="106" customWidth="1"/>
    <col min="3049" max="3049" width="16.33203125" style="106" customWidth="1"/>
    <col min="3050" max="3050" width="20.33203125" style="106" customWidth="1"/>
    <col min="3051" max="3052" width="16.44140625" style="106" customWidth="1"/>
    <col min="3053" max="3053" width="15.109375" style="106" customWidth="1"/>
    <col min="3054" max="3296" width="9.109375" style="106"/>
    <col min="3297" max="3297" width="14.5546875" style="106" customWidth="1"/>
    <col min="3298" max="3298" width="45.5546875" style="106" customWidth="1"/>
    <col min="3299" max="3299" width="34.33203125" style="106" customWidth="1"/>
    <col min="3300" max="3300" width="19.109375" style="106" customWidth="1"/>
    <col min="3301" max="3301" width="29.5546875" style="106" customWidth="1"/>
    <col min="3302" max="3303" width="17.5546875" style="106" customWidth="1"/>
    <col min="3304" max="3304" width="18.6640625" style="106" customWidth="1"/>
    <col min="3305" max="3305" width="16.33203125" style="106" customWidth="1"/>
    <col min="3306" max="3306" width="20.33203125" style="106" customWidth="1"/>
    <col min="3307" max="3308" width="16.44140625" style="106" customWidth="1"/>
    <col min="3309" max="3309" width="15.109375" style="106" customWidth="1"/>
    <col min="3310" max="3552" width="9.109375" style="106"/>
    <col min="3553" max="3553" width="14.5546875" style="106" customWidth="1"/>
    <col min="3554" max="3554" width="45.5546875" style="106" customWidth="1"/>
    <col min="3555" max="3555" width="34.33203125" style="106" customWidth="1"/>
    <col min="3556" max="3556" width="19.109375" style="106" customWidth="1"/>
    <col min="3557" max="3557" width="29.5546875" style="106" customWidth="1"/>
    <col min="3558" max="3559" width="17.5546875" style="106" customWidth="1"/>
    <col min="3560" max="3560" width="18.6640625" style="106" customWidth="1"/>
    <col min="3561" max="3561" width="16.33203125" style="106" customWidth="1"/>
    <col min="3562" max="3562" width="20.33203125" style="106" customWidth="1"/>
    <col min="3563" max="3564" width="16.44140625" style="106" customWidth="1"/>
    <col min="3565" max="3565" width="15.109375" style="106" customWidth="1"/>
    <col min="3566" max="3808" width="9.109375" style="106"/>
    <col min="3809" max="3809" width="14.5546875" style="106" customWidth="1"/>
    <col min="3810" max="3810" width="45.5546875" style="106" customWidth="1"/>
    <col min="3811" max="3811" width="34.33203125" style="106" customWidth="1"/>
    <col min="3812" max="3812" width="19.109375" style="106" customWidth="1"/>
    <col min="3813" max="3813" width="29.5546875" style="106" customWidth="1"/>
    <col min="3814" max="3815" width="17.5546875" style="106" customWidth="1"/>
    <col min="3816" max="3816" width="18.6640625" style="106" customWidth="1"/>
    <col min="3817" max="3817" width="16.33203125" style="106" customWidth="1"/>
    <col min="3818" max="3818" width="20.33203125" style="106" customWidth="1"/>
    <col min="3819" max="3820" width="16.44140625" style="106" customWidth="1"/>
    <col min="3821" max="3821" width="15.109375" style="106" customWidth="1"/>
    <col min="3822" max="4064" width="9.109375" style="106"/>
    <col min="4065" max="4065" width="14.5546875" style="106" customWidth="1"/>
    <col min="4066" max="4066" width="45.5546875" style="106" customWidth="1"/>
    <col min="4067" max="4067" width="34.33203125" style="106" customWidth="1"/>
    <col min="4068" max="4068" width="19.109375" style="106" customWidth="1"/>
    <col min="4069" max="4069" width="29.5546875" style="106" customWidth="1"/>
    <col min="4070" max="4071" width="17.5546875" style="106" customWidth="1"/>
    <col min="4072" max="4072" width="18.6640625" style="106" customWidth="1"/>
    <col min="4073" max="4073" width="16.33203125" style="106" customWidth="1"/>
    <col min="4074" max="4074" width="20.33203125" style="106" customWidth="1"/>
    <col min="4075" max="4076" width="16.44140625" style="106" customWidth="1"/>
    <col min="4077" max="4077" width="15.109375" style="106" customWidth="1"/>
    <col min="4078" max="4320" width="9.109375" style="106"/>
    <col min="4321" max="4321" width="14.5546875" style="106" customWidth="1"/>
    <col min="4322" max="4322" width="45.5546875" style="106" customWidth="1"/>
    <col min="4323" max="4323" width="34.33203125" style="106" customWidth="1"/>
    <col min="4324" max="4324" width="19.109375" style="106" customWidth="1"/>
    <col min="4325" max="4325" width="29.5546875" style="106" customWidth="1"/>
    <col min="4326" max="4327" width="17.5546875" style="106" customWidth="1"/>
    <col min="4328" max="4328" width="18.6640625" style="106" customWidth="1"/>
    <col min="4329" max="4329" width="16.33203125" style="106" customWidth="1"/>
    <col min="4330" max="4330" width="20.33203125" style="106" customWidth="1"/>
    <col min="4331" max="4332" width="16.44140625" style="106" customWidth="1"/>
    <col min="4333" max="4333" width="15.109375" style="106" customWidth="1"/>
    <col min="4334" max="4576" width="9.109375" style="106"/>
    <col min="4577" max="4577" width="14.5546875" style="106" customWidth="1"/>
    <col min="4578" max="4578" width="45.5546875" style="106" customWidth="1"/>
    <col min="4579" max="4579" width="34.33203125" style="106" customWidth="1"/>
    <col min="4580" max="4580" width="19.109375" style="106" customWidth="1"/>
    <col min="4581" max="4581" width="29.5546875" style="106" customWidth="1"/>
    <col min="4582" max="4583" width="17.5546875" style="106" customWidth="1"/>
    <col min="4584" max="4584" width="18.6640625" style="106" customWidth="1"/>
    <col min="4585" max="4585" width="16.33203125" style="106" customWidth="1"/>
    <col min="4586" max="4586" width="20.33203125" style="106" customWidth="1"/>
    <col min="4587" max="4588" width="16.44140625" style="106" customWidth="1"/>
    <col min="4589" max="4589" width="15.109375" style="106" customWidth="1"/>
    <col min="4590" max="4832" width="9.109375" style="106"/>
    <col min="4833" max="4833" width="14.5546875" style="106" customWidth="1"/>
    <col min="4834" max="4834" width="45.5546875" style="106" customWidth="1"/>
    <col min="4835" max="4835" width="34.33203125" style="106" customWidth="1"/>
    <col min="4836" max="4836" width="19.109375" style="106" customWidth="1"/>
    <col min="4837" max="4837" width="29.5546875" style="106" customWidth="1"/>
    <col min="4838" max="4839" width="17.5546875" style="106" customWidth="1"/>
    <col min="4840" max="4840" width="18.6640625" style="106" customWidth="1"/>
    <col min="4841" max="4841" width="16.33203125" style="106" customWidth="1"/>
    <col min="4842" max="4842" width="20.33203125" style="106" customWidth="1"/>
    <col min="4843" max="4844" width="16.44140625" style="106" customWidth="1"/>
    <col min="4845" max="4845" width="15.109375" style="106" customWidth="1"/>
    <col min="4846" max="5088" width="9.109375" style="106"/>
    <col min="5089" max="5089" width="14.5546875" style="106" customWidth="1"/>
    <col min="5090" max="5090" width="45.5546875" style="106" customWidth="1"/>
    <col min="5091" max="5091" width="34.33203125" style="106" customWidth="1"/>
    <col min="5092" max="5092" width="19.109375" style="106" customWidth="1"/>
    <col min="5093" max="5093" width="29.5546875" style="106" customWidth="1"/>
    <col min="5094" max="5095" width="17.5546875" style="106" customWidth="1"/>
    <col min="5096" max="5096" width="18.6640625" style="106" customWidth="1"/>
    <col min="5097" max="5097" width="16.33203125" style="106" customWidth="1"/>
    <col min="5098" max="5098" width="20.33203125" style="106" customWidth="1"/>
    <col min="5099" max="5100" width="16.44140625" style="106" customWidth="1"/>
    <col min="5101" max="5101" width="15.109375" style="106" customWidth="1"/>
    <col min="5102" max="5344" width="9.109375" style="106"/>
    <col min="5345" max="5345" width="14.5546875" style="106" customWidth="1"/>
    <col min="5346" max="5346" width="45.5546875" style="106" customWidth="1"/>
    <col min="5347" max="5347" width="34.33203125" style="106" customWidth="1"/>
    <col min="5348" max="5348" width="19.109375" style="106" customWidth="1"/>
    <col min="5349" max="5349" width="29.5546875" style="106" customWidth="1"/>
    <col min="5350" max="5351" width="17.5546875" style="106" customWidth="1"/>
    <col min="5352" max="5352" width="18.6640625" style="106" customWidth="1"/>
    <col min="5353" max="5353" width="16.33203125" style="106" customWidth="1"/>
    <col min="5354" max="5354" width="20.33203125" style="106" customWidth="1"/>
    <col min="5355" max="5356" width="16.44140625" style="106" customWidth="1"/>
    <col min="5357" max="5357" width="15.109375" style="106" customWidth="1"/>
    <col min="5358" max="5600" width="9.109375" style="106"/>
    <col min="5601" max="5601" width="14.5546875" style="106" customWidth="1"/>
    <col min="5602" max="5602" width="45.5546875" style="106" customWidth="1"/>
    <col min="5603" max="5603" width="34.33203125" style="106" customWidth="1"/>
    <col min="5604" max="5604" width="19.109375" style="106" customWidth="1"/>
    <col min="5605" max="5605" width="29.5546875" style="106" customWidth="1"/>
    <col min="5606" max="5607" width="17.5546875" style="106" customWidth="1"/>
    <col min="5608" max="5608" width="18.6640625" style="106" customWidth="1"/>
    <col min="5609" max="5609" width="16.33203125" style="106" customWidth="1"/>
    <col min="5610" max="5610" width="20.33203125" style="106" customWidth="1"/>
    <col min="5611" max="5612" width="16.44140625" style="106" customWidth="1"/>
    <col min="5613" max="5613" width="15.109375" style="106" customWidth="1"/>
    <col min="5614" max="5856" width="9.109375" style="106"/>
    <col min="5857" max="5857" width="14.5546875" style="106" customWidth="1"/>
    <col min="5858" max="5858" width="45.5546875" style="106" customWidth="1"/>
    <col min="5859" max="5859" width="34.33203125" style="106" customWidth="1"/>
    <col min="5860" max="5860" width="19.109375" style="106" customWidth="1"/>
    <col min="5861" max="5861" width="29.5546875" style="106" customWidth="1"/>
    <col min="5862" max="5863" width="17.5546875" style="106" customWidth="1"/>
    <col min="5864" max="5864" width="18.6640625" style="106" customWidth="1"/>
    <col min="5865" max="5865" width="16.33203125" style="106" customWidth="1"/>
    <col min="5866" max="5866" width="20.33203125" style="106" customWidth="1"/>
    <col min="5867" max="5868" width="16.44140625" style="106" customWidth="1"/>
    <col min="5869" max="5869" width="15.109375" style="106" customWidth="1"/>
    <col min="5870" max="6112" width="9.109375" style="106"/>
    <col min="6113" max="6113" width="14.5546875" style="106" customWidth="1"/>
    <col min="6114" max="6114" width="45.5546875" style="106" customWidth="1"/>
    <col min="6115" max="6115" width="34.33203125" style="106" customWidth="1"/>
    <col min="6116" max="6116" width="19.109375" style="106" customWidth="1"/>
    <col min="6117" max="6117" width="29.5546875" style="106" customWidth="1"/>
    <col min="6118" max="6119" width="17.5546875" style="106" customWidth="1"/>
    <col min="6120" max="6120" width="18.6640625" style="106" customWidth="1"/>
    <col min="6121" max="6121" width="16.33203125" style="106" customWidth="1"/>
    <col min="6122" max="6122" width="20.33203125" style="106" customWidth="1"/>
    <col min="6123" max="6124" width="16.44140625" style="106" customWidth="1"/>
    <col min="6125" max="6125" width="15.109375" style="106" customWidth="1"/>
    <col min="6126" max="6368" width="9.109375" style="106"/>
    <col min="6369" max="6369" width="14.5546875" style="106" customWidth="1"/>
    <col min="6370" max="6370" width="45.5546875" style="106" customWidth="1"/>
    <col min="6371" max="6371" width="34.33203125" style="106" customWidth="1"/>
    <col min="6372" max="6372" width="19.109375" style="106" customWidth="1"/>
    <col min="6373" max="6373" width="29.5546875" style="106" customWidth="1"/>
    <col min="6374" max="6375" width="17.5546875" style="106" customWidth="1"/>
    <col min="6376" max="6376" width="18.6640625" style="106" customWidth="1"/>
    <col min="6377" max="6377" width="16.33203125" style="106" customWidth="1"/>
    <col min="6378" max="6378" width="20.33203125" style="106" customWidth="1"/>
    <col min="6379" max="6380" width="16.44140625" style="106" customWidth="1"/>
    <col min="6381" max="6381" width="15.109375" style="106" customWidth="1"/>
    <col min="6382" max="6624" width="9.109375" style="106"/>
    <col min="6625" max="6625" width="14.5546875" style="106" customWidth="1"/>
    <col min="6626" max="6626" width="45.5546875" style="106" customWidth="1"/>
    <col min="6627" max="6627" width="34.33203125" style="106" customWidth="1"/>
    <col min="6628" max="6628" width="19.109375" style="106" customWidth="1"/>
    <col min="6629" max="6629" width="29.5546875" style="106" customWidth="1"/>
    <col min="6630" max="6631" width="17.5546875" style="106" customWidth="1"/>
    <col min="6632" max="6632" width="18.6640625" style="106" customWidth="1"/>
    <col min="6633" max="6633" width="16.33203125" style="106" customWidth="1"/>
    <col min="6634" max="6634" width="20.33203125" style="106" customWidth="1"/>
    <col min="6635" max="6636" width="16.44140625" style="106" customWidth="1"/>
    <col min="6637" max="6637" width="15.109375" style="106" customWidth="1"/>
    <col min="6638" max="6880" width="9.109375" style="106"/>
    <col min="6881" max="6881" width="14.5546875" style="106" customWidth="1"/>
    <col min="6882" max="6882" width="45.5546875" style="106" customWidth="1"/>
    <col min="6883" max="6883" width="34.33203125" style="106" customWidth="1"/>
    <col min="6884" max="6884" width="19.109375" style="106" customWidth="1"/>
    <col min="6885" max="6885" width="29.5546875" style="106" customWidth="1"/>
    <col min="6886" max="6887" width="17.5546875" style="106" customWidth="1"/>
    <col min="6888" max="6888" width="18.6640625" style="106" customWidth="1"/>
    <col min="6889" max="6889" width="16.33203125" style="106" customWidth="1"/>
    <col min="6890" max="6890" width="20.33203125" style="106" customWidth="1"/>
    <col min="6891" max="6892" width="16.44140625" style="106" customWidth="1"/>
    <col min="6893" max="6893" width="15.109375" style="106" customWidth="1"/>
    <col min="6894" max="7136" width="9.109375" style="106"/>
    <col min="7137" max="7137" width="14.5546875" style="106" customWidth="1"/>
    <col min="7138" max="7138" width="45.5546875" style="106" customWidth="1"/>
    <col min="7139" max="7139" width="34.33203125" style="106" customWidth="1"/>
    <col min="7140" max="7140" width="19.109375" style="106" customWidth="1"/>
    <col min="7141" max="7141" width="29.5546875" style="106" customWidth="1"/>
    <col min="7142" max="7143" width="17.5546875" style="106" customWidth="1"/>
    <col min="7144" max="7144" width="18.6640625" style="106" customWidth="1"/>
    <col min="7145" max="7145" width="16.33203125" style="106" customWidth="1"/>
    <col min="7146" max="7146" width="20.33203125" style="106" customWidth="1"/>
    <col min="7147" max="7148" width="16.44140625" style="106" customWidth="1"/>
    <col min="7149" max="7149" width="15.109375" style="106" customWidth="1"/>
    <col min="7150" max="7392" width="9.109375" style="106"/>
    <col min="7393" max="7393" width="14.5546875" style="106" customWidth="1"/>
    <col min="7394" max="7394" width="45.5546875" style="106" customWidth="1"/>
    <col min="7395" max="7395" width="34.33203125" style="106" customWidth="1"/>
    <col min="7396" max="7396" width="19.109375" style="106" customWidth="1"/>
    <col min="7397" max="7397" width="29.5546875" style="106" customWidth="1"/>
    <col min="7398" max="7399" width="17.5546875" style="106" customWidth="1"/>
    <col min="7400" max="7400" width="18.6640625" style="106" customWidth="1"/>
    <col min="7401" max="7401" width="16.33203125" style="106" customWidth="1"/>
    <col min="7402" max="7402" width="20.33203125" style="106" customWidth="1"/>
    <col min="7403" max="7404" width="16.44140625" style="106" customWidth="1"/>
    <col min="7405" max="7405" width="15.109375" style="106" customWidth="1"/>
    <col min="7406" max="7648" width="9.109375" style="106"/>
    <col min="7649" max="7649" width="14.5546875" style="106" customWidth="1"/>
    <col min="7650" max="7650" width="45.5546875" style="106" customWidth="1"/>
    <col min="7651" max="7651" width="34.33203125" style="106" customWidth="1"/>
    <col min="7652" max="7652" width="19.109375" style="106" customWidth="1"/>
    <col min="7653" max="7653" width="29.5546875" style="106" customWidth="1"/>
    <col min="7654" max="7655" width="17.5546875" style="106" customWidth="1"/>
    <col min="7656" max="7656" width="18.6640625" style="106" customWidth="1"/>
    <col min="7657" max="7657" width="16.33203125" style="106" customWidth="1"/>
    <col min="7658" max="7658" width="20.33203125" style="106" customWidth="1"/>
    <col min="7659" max="7660" width="16.44140625" style="106" customWidth="1"/>
    <col min="7661" max="7661" width="15.109375" style="106" customWidth="1"/>
    <col min="7662" max="7904" width="9.109375" style="106"/>
    <col min="7905" max="7905" width="14.5546875" style="106" customWidth="1"/>
    <col min="7906" max="7906" width="45.5546875" style="106" customWidth="1"/>
    <col min="7907" max="7907" width="34.33203125" style="106" customWidth="1"/>
    <col min="7908" max="7908" width="19.109375" style="106" customWidth="1"/>
    <col min="7909" max="7909" width="29.5546875" style="106" customWidth="1"/>
    <col min="7910" max="7911" width="17.5546875" style="106" customWidth="1"/>
    <col min="7912" max="7912" width="18.6640625" style="106" customWidth="1"/>
    <col min="7913" max="7913" width="16.33203125" style="106" customWidth="1"/>
    <col min="7914" max="7914" width="20.33203125" style="106" customWidth="1"/>
    <col min="7915" max="7916" width="16.44140625" style="106" customWidth="1"/>
    <col min="7917" max="7917" width="15.109375" style="106" customWidth="1"/>
    <col min="7918" max="8160" width="9.109375" style="106"/>
    <col min="8161" max="8161" width="14.5546875" style="106" customWidth="1"/>
    <col min="8162" max="8162" width="45.5546875" style="106" customWidth="1"/>
    <col min="8163" max="8163" width="34.33203125" style="106" customWidth="1"/>
    <col min="8164" max="8164" width="19.109375" style="106" customWidth="1"/>
    <col min="8165" max="8165" width="29.5546875" style="106" customWidth="1"/>
    <col min="8166" max="8167" width="17.5546875" style="106" customWidth="1"/>
    <col min="8168" max="8168" width="18.6640625" style="106" customWidth="1"/>
    <col min="8169" max="8169" width="16.33203125" style="106" customWidth="1"/>
    <col min="8170" max="8170" width="20.33203125" style="106" customWidth="1"/>
    <col min="8171" max="8172" width="16.44140625" style="106" customWidth="1"/>
    <col min="8173" max="8173" width="15.109375" style="106" customWidth="1"/>
    <col min="8174" max="8416" width="9.109375" style="106"/>
    <col min="8417" max="8417" width="14.5546875" style="106" customWidth="1"/>
    <col min="8418" max="8418" width="45.5546875" style="106" customWidth="1"/>
    <col min="8419" max="8419" width="34.33203125" style="106" customWidth="1"/>
    <col min="8420" max="8420" width="19.109375" style="106" customWidth="1"/>
    <col min="8421" max="8421" width="29.5546875" style="106" customWidth="1"/>
    <col min="8422" max="8423" width="17.5546875" style="106" customWidth="1"/>
    <col min="8424" max="8424" width="18.6640625" style="106" customWidth="1"/>
    <col min="8425" max="8425" width="16.33203125" style="106" customWidth="1"/>
    <col min="8426" max="8426" width="20.33203125" style="106" customWidth="1"/>
    <col min="8427" max="8428" width="16.44140625" style="106" customWidth="1"/>
    <col min="8429" max="8429" width="15.109375" style="106" customWidth="1"/>
    <col min="8430" max="8672" width="9.109375" style="106"/>
    <col min="8673" max="8673" width="14.5546875" style="106" customWidth="1"/>
    <col min="8674" max="8674" width="45.5546875" style="106" customWidth="1"/>
    <col min="8675" max="8675" width="34.33203125" style="106" customWidth="1"/>
    <col min="8676" max="8676" width="19.109375" style="106" customWidth="1"/>
    <col min="8677" max="8677" width="29.5546875" style="106" customWidth="1"/>
    <col min="8678" max="8679" width="17.5546875" style="106" customWidth="1"/>
    <col min="8680" max="8680" width="18.6640625" style="106" customWidth="1"/>
    <col min="8681" max="8681" width="16.33203125" style="106" customWidth="1"/>
    <col min="8682" max="8682" width="20.33203125" style="106" customWidth="1"/>
    <col min="8683" max="8684" width="16.44140625" style="106" customWidth="1"/>
    <col min="8685" max="8685" width="15.109375" style="106" customWidth="1"/>
    <col min="8686" max="8928" width="9.109375" style="106"/>
    <col min="8929" max="8929" width="14.5546875" style="106" customWidth="1"/>
    <col min="8930" max="8930" width="45.5546875" style="106" customWidth="1"/>
    <col min="8931" max="8931" width="34.33203125" style="106" customWidth="1"/>
    <col min="8932" max="8932" width="19.109375" style="106" customWidth="1"/>
    <col min="8933" max="8933" width="29.5546875" style="106" customWidth="1"/>
    <col min="8934" max="8935" width="17.5546875" style="106" customWidth="1"/>
    <col min="8936" max="8936" width="18.6640625" style="106" customWidth="1"/>
    <col min="8937" max="8937" width="16.33203125" style="106" customWidth="1"/>
    <col min="8938" max="8938" width="20.33203125" style="106" customWidth="1"/>
    <col min="8939" max="8940" width="16.44140625" style="106" customWidth="1"/>
    <col min="8941" max="8941" width="15.109375" style="106" customWidth="1"/>
    <col min="8942" max="9184" width="9.109375" style="106"/>
    <col min="9185" max="9185" width="14.5546875" style="106" customWidth="1"/>
    <col min="9186" max="9186" width="45.5546875" style="106" customWidth="1"/>
    <col min="9187" max="9187" width="34.33203125" style="106" customWidth="1"/>
    <col min="9188" max="9188" width="19.109375" style="106" customWidth="1"/>
    <col min="9189" max="9189" width="29.5546875" style="106" customWidth="1"/>
    <col min="9190" max="9191" width="17.5546875" style="106" customWidth="1"/>
    <col min="9192" max="9192" width="18.6640625" style="106" customWidth="1"/>
    <col min="9193" max="9193" width="16.33203125" style="106" customWidth="1"/>
    <col min="9194" max="9194" width="20.33203125" style="106" customWidth="1"/>
    <col min="9195" max="9196" width="16.44140625" style="106" customWidth="1"/>
    <col min="9197" max="9197" width="15.109375" style="106" customWidth="1"/>
    <col min="9198" max="9440" width="9.109375" style="106"/>
    <col min="9441" max="9441" width="14.5546875" style="106" customWidth="1"/>
    <col min="9442" max="9442" width="45.5546875" style="106" customWidth="1"/>
    <col min="9443" max="9443" width="34.33203125" style="106" customWidth="1"/>
    <col min="9444" max="9444" width="19.109375" style="106" customWidth="1"/>
    <col min="9445" max="9445" width="29.5546875" style="106" customWidth="1"/>
    <col min="9446" max="9447" width="17.5546875" style="106" customWidth="1"/>
    <col min="9448" max="9448" width="18.6640625" style="106" customWidth="1"/>
    <col min="9449" max="9449" width="16.33203125" style="106" customWidth="1"/>
    <col min="9450" max="9450" width="20.33203125" style="106" customWidth="1"/>
    <col min="9451" max="9452" width="16.44140625" style="106" customWidth="1"/>
    <col min="9453" max="9453" width="15.109375" style="106" customWidth="1"/>
    <col min="9454" max="9696" width="9.109375" style="106"/>
    <col min="9697" max="9697" width="14.5546875" style="106" customWidth="1"/>
    <col min="9698" max="9698" width="45.5546875" style="106" customWidth="1"/>
    <col min="9699" max="9699" width="34.33203125" style="106" customWidth="1"/>
    <col min="9700" max="9700" width="19.109375" style="106" customWidth="1"/>
    <col min="9701" max="9701" width="29.5546875" style="106" customWidth="1"/>
    <col min="9702" max="9703" width="17.5546875" style="106" customWidth="1"/>
    <col min="9704" max="9704" width="18.6640625" style="106" customWidth="1"/>
    <col min="9705" max="9705" width="16.33203125" style="106" customWidth="1"/>
    <col min="9706" max="9706" width="20.33203125" style="106" customWidth="1"/>
    <col min="9707" max="9708" width="16.44140625" style="106" customWidth="1"/>
    <col min="9709" max="9709" width="15.109375" style="106" customWidth="1"/>
    <col min="9710" max="9952" width="9.109375" style="106"/>
    <col min="9953" max="9953" width="14.5546875" style="106" customWidth="1"/>
    <col min="9954" max="9954" width="45.5546875" style="106" customWidth="1"/>
    <col min="9955" max="9955" width="34.33203125" style="106" customWidth="1"/>
    <col min="9956" max="9956" width="19.109375" style="106" customWidth="1"/>
    <col min="9957" max="9957" width="29.5546875" style="106" customWidth="1"/>
    <col min="9958" max="9959" width="17.5546875" style="106" customWidth="1"/>
    <col min="9960" max="9960" width="18.6640625" style="106" customWidth="1"/>
    <col min="9961" max="9961" width="16.33203125" style="106" customWidth="1"/>
    <col min="9962" max="9962" width="20.33203125" style="106" customWidth="1"/>
    <col min="9963" max="9964" width="16.44140625" style="106" customWidth="1"/>
    <col min="9965" max="9965" width="15.109375" style="106" customWidth="1"/>
    <col min="9966" max="10208" width="9.109375" style="106"/>
    <col min="10209" max="10209" width="14.5546875" style="106" customWidth="1"/>
    <col min="10210" max="10210" width="45.5546875" style="106" customWidth="1"/>
    <col min="10211" max="10211" width="34.33203125" style="106" customWidth="1"/>
    <col min="10212" max="10212" width="19.109375" style="106" customWidth="1"/>
    <col min="10213" max="10213" width="29.5546875" style="106" customWidth="1"/>
    <col min="10214" max="10215" width="17.5546875" style="106" customWidth="1"/>
    <col min="10216" max="10216" width="18.6640625" style="106" customWidth="1"/>
    <col min="10217" max="10217" width="16.33203125" style="106" customWidth="1"/>
    <col min="10218" max="10218" width="20.33203125" style="106" customWidth="1"/>
    <col min="10219" max="10220" width="16.44140625" style="106" customWidth="1"/>
    <col min="10221" max="10221" width="15.109375" style="106" customWidth="1"/>
    <col min="10222" max="10464" width="9.109375" style="106"/>
    <col min="10465" max="10465" width="14.5546875" style="106" customWidth="1"/>
    <col min="10466" max="10466" width="45.5546875" style="106" customWidth="1"/>
    <col min="10467" max="10467" width="34.33203125" style="106" customWidth="1"/>
    <col min="10468" max="10468" width="19.109375" style="106" customWidth="1"/>
    <col min="10469" max="10469" width="29.5546875" style="106" customWidth="1"/>
    <col min="10470" max="10471" width="17.5546875" style="106" customWidth="1"/>
    <col min="10472" max="10472" width="18.6640625" style="106" customWidth="1"/>
    <col min="10473" max="10473" width="16.33203125" style="106" customWidth="1"/>
    <col min="10474" max="10474" width="20.33203125" style="106" customWidth="1"/>
    <col min="10475" max="10476" width="16.44140625" style="106" customWidth="1"/>
    <col min="10477" max="10477" width="15.109375" style="106" customWidth="1"/>
    <col min="10478" max="10720" width="9.109375" style="106"/>
    <col min="10721" max="10721" width="14.5546875" style="106" customWidth="1"/>
    <col min="10722" max="10722" width="45.5546875" style="106" customWidth="1"/>
    <col min="10723" max="10723" width="34.33203125" style="106" customWidth="1"/>
    <col min="10724" max="10724" width="19.109375" style="106" customWidth="1"/>
    <col min="10725" max="10725" width="29.5546875" style="106" customWidth="1"/>
    <col min="10726" max="10727" width="17.5546875" style="106" customWidth="1"/>
    <col min="10728" max="10728" width="18.6640625" style="106" customWidth="1"/>
    <col min="10729" max="10729" width="16.33203125" style="106" customWidth="1"/>
    <col min="10730" max="10730" width="20.33203125" style="106" customWidth="1"/>
    <col min="10731" max="10732" width="16.44140625" style="106" customWidth="1"/>
    <col min="10733" max="10733" width="15.109375" style="106" customWidth="1"/>
    <col min="10734" max="10976" width="9.109375" style="106"/>
    <col min="10977" max="10977" width="14.5546875" style="106" customWidth="1"/>
    <col min="10978" max="10978" width="45.5546875" style="106" customWidth="1"/>
    <col min="10979" max="10979" width="34.33203125" style="106" customWidth="1"/>
    <col min="10980" max="10980" width="19.109375" style="106" customWidth="1"/>
    <col min="10981" max="10981" width="29.5546875" style="106" customWidth="1"/>
    <col min="10982" max="10983" width="17.5546875" style="106" customWidth="1"/>
    <col min="10984" max="10984" width="18.6640625" style="106" customWidth="1"/>
    <col min="10985" max="10985" width="16.33203125" style="106" customWidth="1"/>
    <col min="10986" max="10986" width="20.33203125" style="106" customWidth="1"/>
    <col min="10987" max="10988" width="16.44140625" style="106" customWidth="1"/>
    <col min="10989" max="10989" width="15.109375" style="106" customWidth="1"/>
    <col min="10990" max="11232" width="9.109375" style="106"/>
    <col min="11233" max="11233" width="14.5546875" style="106" customWidth="1"/>
    <col min="11234" max="11234" width="45.5546875" style="106" customWidth="1"/>
    <col min="11235" max="11235" width="34.33203125" style="106" customWidth="1"/>
    <col min="11236" max="11236" width="19.109375" style="106" customWidth="1"/>
    <col min="11237" max="11237" width="29.5546875" style="106" customWidth="1"/>
    <col min="11238" max="11239" width="17.5546875" style="106" customWidth="1"/>
    <col min="11240" max="11240" width="18.6640625" style="106" customWidth="1"/>
    <col min="11241" max="11241" width="16.33203125" style="106" customWidth="1"/>
    <col min="11242" max="11242" width="20.33203125" style="106" customWidth="1"/>
    <col min="11243" max="11244" width="16.44140625" style="106" customWidth="1"/>
    <col min="11245" max="11245" width="15.109375" style="106" customWidth="1"/>
    <col min="11246" max="11488" width="9.109375" style="106"/>
    <col min="11489" max="11489" width="14.5546875" style="106" customWidth="1"/>
    <col min="11490" max="11490" width="45.5546875" style="106" customWidth="1"/>
    <col min="11491" max="11491" width="34.33203125" style="106" customWidth="1"/>
    <col min="11492" max="11492" width="19.109375" style="106" customWidth="1"/>
    <col min="11493" max="11493" width="29.5546875" style="106" customWidth="1"/>
    <col min="11494" max="11495" width="17.5546875" style="106" customWidth="1"/>
    <col min="11496" max="11496" width="18.6640625" style="106" customWidth="1"/>
    <col min="11497" max="11497" width="16.33203125" style="106" customWidth="1"/>
    <col min="11498" max="11498" width="20.33203125" style="106" customWidth="1"/>
    <col min="11499" max="11500" width="16.44140625" style="106" customWidth="1"/>
    <col min="11501" max="11501" width="15.109375" style="106" customWidth="1"/>
    <col min="11502" max="11744" width="9.109375" style="106"/>
    <col min="11745" max="11745" width="14.5546875" style="106" customWidth="1"/>
    <col min="11746" max="11746" width="45.5546875" style="106" customWidth="1"/>
    <col min="11747" max="11747" width="34.33203125" style="106" customWidth="1"/>
    <col min="11748" max="11748" width="19.109375" style="106" customWidth="1"/>
    <col min="11749" max="11749" width="29.5546875" style="106" customWidth="1"/>
    <col min="11750" max="11751" width="17.5546875" style="106" customWidth="1"/>
    <col min="11752" max="11752" width="18.6640625" style="106" customWidth="1"/>
    <col min="11753" max="11753" width="16.33203125" style="106" customWidth="1"/>
    <col min="11754" max="11754" width="20.33203125" style="106" customWidth="1"/>
    <col min="11755" max="11756" width="16.44140625" style="106" customWidth="1"/>
    <col min="11757" max="11757" width="15.109375" style="106" customWidth="1"/>
    <col min="11758" max="12000" width="9.109375" style="106"/>
    <col min="12001" max="12001" width="14.5546875" style="106" customWidth="1"/>
    <col min="12002" max="12002" width="45.5546875" style="106" customWidth="1"/>
    <col min="12003" max="12003" width="34.33203125" style="106" customWidth="1"/>
    <col min="12004" max="12004" width="19.109375" style="106" customWidth="1"/>
    <col min="12005" max="12005" width="29.5546875" style="106" customWidth="1"/>
    <col min="12006" max="12007" width="17.5546875" style="106" customWidth="1"/>
    <col min="12008" max="12008" width="18.6640625" style="106" customWidth="1"/>
    <col min="12009" max="12009" width="16.33203125" style="106" customWidth="1"/>
    <col min="12010" max="12010" width="20.33203125" style="106" customWidth="1"/>
    <col min="12011" max="12012" width="16.44140625" style="106" customWidth="1"/>
    <col min="12013" max="12013" width="15.109375" style="106" customWidth="1"/>
    <col min="12014" max="12256" width="9.109375" style="106"/>
    <col min="12257" max="12257" width="14.5546875" style="106" customWidth="1"/>
    <col min="12258" max="12258" width="45.5546875" style="106" customWidth="1"/>
    <col min="12259" max="12259" width="34.33203125" style="106" customWidth="1"/>
    <col min="12260" max="12260" width="19.109375" style="106" customWidth="1"/>
    <col min="12261" max="12261" width="29.5546875" style="106" customWidth="1"/>
    <col min="12262" max="12263" width="17.5546875" style="106" customWidth="1"/>
    <col min="12264" max="12264" width="18.6640625" style="106" customWidth="1"/>
    <col min="12265" max="12265" width="16.33203125" style="106" customWidth="1"/>
    <col min="12266" max="12266" width="20.33203125" style="106" customWidth="1"/>
    <col min="12267" max="12268" width="16.44140625" style="106" customWidth="1"/>
    <col min="12269" max="12269" width="15.109375" style="106" customWidth="1"/>
    <col min="12270" max="12512" width="9.109375" style="106"/>
    <col min="12513" max="12513" width="14.5546875" style="106" customWidth="1"/>
    <col min="12514" max="12514" width="45.5546875" style="106" customWidth="1"/>
    <col min="12515" max="12515" width="34.33203125" style="106" customWidth="1"/>
    <col min="12516" max="12516" width="19.109375" style="106" customWidth="1"/>
    <col min="12517" max="12517" width="29.5546875" style="106" customWidth="1"/>
    <col min="12518" max="12519" width="17.5546875" style="106" customWidth="1"/>
    <col min="12520" max="12520" width="18.6640625" style="106" customWidth="1"/>
    <col min="12521" max="12521" width="16.33203125" style="106" customWidth="1"/>
    <col min="12522" max="12522" width="20.33203125" style="106" customWidth="1"/>
    <col min="12523" max="12524" width="16.44140625" style="106" customWidth="1"/>
    <col min="12525" max="12525" width="15.109375" style="106" customWidth="1"/>
    <col min="12526" max="12768" width="9.109375" style="106"/>
    <col min="12769" max="12769" width="14.5546875" style="106" customWidth="1"/>
    <col min="12770" max="12770" width="45.5546875" style="106" customWidth="1"/>
    <col min="12771" max="12771" width="34.33203125" style="106" customWidth="1"/>
    <col min="12772" max="12772" width="19.109375" style="106" customWidth="1"/>
    <col min="12773" max="12773" width="29.5546875" style="106" customWidth="1"/>
    <col min="12774" max="12775" width="17.5546875" style="106" customWidth="1"/>
    <col min="12776" max="12776" width="18.6640625" style="106" customWidth="1"/>
    <col min="12777" max="12777" width="16.33203125" style="106" customWidth="1"/>
    <col min="12778" max="12778" width="20.33203125" style="106" customWidth="1"/>
    <col min="12779" max="12780" width="16.44140625" style="106" customWidth="1"/>
    <col min="12781" max="12781" width="15.109375" style="106" customWidth="1"/>
    <col min="12782" max="13024" width="9.109375" style="106"/>
    <col min="13025" max="13025" width="14.5546875" style="106" customWidth="1"/>
    <col min="13026" max="13026" width="45.5546875" style="106" customWidth="1"/>
    <col min="13027" max="13027" width="34.33203125" style="106" customWidth="1"/>
    <col min="13028" max="13028" width="19.109375" style="106" customWidth="1"/>
    <col min="13029" max="13029" width="29.5546875" style="106" customWidth="1"/>
    <col min="13030" max="13031" width="17.5546875" style="106" customWidth="1"/>
    <col min="13032" max="13032" width="18.6640625" style="106" customWidth="1"/>
    <col min="13033" max="13033" width="16.33203125" style="106" customWidth="1"/>
    <col min="13034" max="13034" width="20.33203125" style="106" customWidth="1"/>
    <col min="13035" max="13036" width="16.44140625" style="106" customWidth="1"/>
    <col min="13037" max="13037" width="15.109375" style="106" customWidth="1"/>
    <col min="13038" max="13280" width="9.109375" style="106"/>
    <col min="13281" max="13281" width="14.5546875" style="106" customWidth="1"/>
    <col min="13282" max="13282" width="45.5546875" style="106" customWidth="1"/>
    <col min="13283" max="13283" width="34.33203125" style="106" customWidth="1"/>
    <col min="13284" max="13284" width="19.109375" style="106" customWidth="1"/>
    <col min="13285" max="13285" width="29.5546875" style="106" customWidth="1"/>
    <col min="13286" max="13287" width="17.5546875" style="106" customWidth="1"/>
    <col min="13288" max="13288" width="18.6640625" style="106" customWidth="1"/>
    <col min="13289" max="13289" width="16.33203125" style="106" customWidth="1"/>
    <col min="13290" max="13290" width="20.33203125" style="106" customWidth="1"/>
    <col min="13291" max="13292" width="16.44140625" style="106" customWidth="1"/>
    <col min="13293" max="13293" width="15.109375" style="106" customWidth="1"/>
    <col min="13294" max="13536" width="9.109375" style="106"/>
    <col min="13537" max="13537" width="14.5546875" style="106" customWidth="1"/>
    <col min="13538" max="13538" width="45.5546875" style="106" customWidth="1"/>
    <col min="13539" max="13539" width="34.33203125" style="106" customWidth="1"/>
    <col min="13540" max="13540" width="19.109375" style="106" customWidth="1"/>
    <col min="13541" max="13541" width="29.5546875" style="106" customWidth="1"/>
    <col min="13542" max="13543" width="17.5546875" style="106" customWidth="1"/>
    <col min="13544" max="13544" width="18.6640625" style="106" customWidth="1"/>
    <col min="13545" max="13545" width="16.33203125" style="106" customWidth="1"/>
    <col min="13546" max="13546" width="20.33203125" style="106" customWidth="1"/>
    <col min="13547" max="13548" width="16.44140625" style="106" customWidth="1"/>
    <col min="13549" max="13549" width="15.109375" style="106" customWidth="1"/>
    <col min="13550" max="13792" width="9.109375" style="106"/>
    <col min="13793" max="13793" width="14.5546875" style="106" customWidth="1"/>
    <col min="13794" max="13794" width="45.5546875" style="106" customWidth="1"/>
    <col min="13795" max="13795" width="34.33203125" style="106" customWidth="1"/>
    <col min="13796" max="13796" width="19.109375" style="106" customWidth="1"/>
    <col min="13797" max="13797" width="29.5546875" style="106" customWidth="1"/>
    <col min="13798" max="13799" width="17.5546875" style="106" customWidth="1"/>
    <col min="13800" max="13800" width="18.6640625" style="106" customWidth="1"/>
    <col min="13801" max="13801" width="16.33203125" style="106" customWidth="1"/>
    <col min="13802" max="13802" width="20.33203125" style="106" customWidth="1"/>
    <col min="13803" max="13804" width="16.44140625" style="106" customWidth="1"/>
    <col min="13805" max="13805" width="15.109375" style="106" customWidth="1"/>
    <col min="13806" max="14048" width="9.109375" style="106"/>
    <col min="14049" max="14049" width="14.5546875" style="106" customWidth="1"/>
    <col min="14050" max="14050" width="45.5546875" style="106" customWidth="1"/>
    <col min="14051" max="14051" width="34.33203125" style="106" customWidth="1"/>
    <col min="14052" max="14052" width="19.109375" style="106" customWidth="1"/>
    <col min="14053" max="14053" width="29.5546875" style="106" customWidth="1"/>
    <col min="14054" max="14055" width="17.5546875" style="106" customWidth="1"/>
    <col min="14056" max="14056" width="18.6640625" style="106" customWidth="1"/>
    <col min="14057" max="14057" width="16.33203125" style="106" customWidth="1"/>
    <col min="14058" max="14058" width="20.33203125" style="106" customWidth="1"/>
    <col min="14059" max="14060" width="16.44140625" style="106" customWidth="1"/>
    <col min="14061" max="14061" width="15.109375" style="106" customWidth="1"/>
    <col min="14062" max="14304" width="9.109375" style="106"/>
    <col min="14305" max="14305" width="14.5546875" style="106" customWidth="1"/>
    <col min="14306" max="14306" width="45.5546875" style="106" customWidth="1"/>
    <col min="14307" max="14307" width="34.33203125" style="106" customWidth="1"/>
    <col min="14308" max="14308" width="19.109375" style="106" customWidth="1"/>
    <col min="14309" max="14309" width="29.5546875" style="106" customWidth="1"/>
    <col min="14310" max="14311" width="17.5546875" style="106" customWidth="1"/>
    <col min="14312" max="14312" width="18.6640625" style="106" customWidth="1"/>
    <col min="14313" max="14313" width="16.33203125" style="106" customWidth="1"/>
    <col min="14314" max="14314" width="20.33203125" style="106" customWidth="1"/>
    <col min="14315" max="14316" width="16.44140625" style="106" customWidth="1"/>
    <col min="14317" max="14317" width="15.109375" style="106" customWidth="1"/>
    <col min="14318" max="14560" width="9.109375" style="106"/>
    <col min="14561" max="14561" width="14.5546875" style="106" customWidth="1"/>
    <col min="14562" max="14562" width="45.5546875" style="106" customWidth="1"/>
    <col min="14563" max="14563" width="34.33203125" style="106" customWidth="1"/>
    <col min="14564" max="14564" width="19.109375" style="106" customWidth="1"/>
    <col min="14565" max="14565" width="29.5546875" style="106" customWidth="1"/>
    <col min="14566" max="14567" width="17.5546875" style="106" customWidth="1"/>
    <col min="14568" max="14568" width="18.6640625" style="106" customWidth="1"/>
    <col min="14569" max="14569" width="16.33203125" style="106" customWidth="1"/>
    <col min="14570" max="14570" width="20.33203125" style="106" customWidth="1"/>
    <col min="14571" max="14572" width="16.44140625" style="106" customWidth="1"/>
    <col min="14573" max="14573" width="15.109375" style="106" customWidth="1"/>
    <col min="14574" max="14816" width="9.109375" style="106"/>
    <col min="14817" max="14817" width="14.5546875" style="106" customWidth="1"/>
    <col min="14818" max="14818" width="45.5546875" style="106" customWidth="1"/>
    <col min="14819" max="14819" width="34.33203125" style="106" customWidth="1"/>
    <col min="14820" max="14820" width="19.109375" style="106" customWidth="1"/>
    <col min="14821" max="14821" width="29.5546875" style="106" customWidth="1"/>
    <col min="14822" max="14823" width="17.5546875" style="106" customWidth="1"/>
    <col min="14824" max="14824" width="18.6640625" style="106" customWidth="1"/>
    <col min="14825" max="14825" width="16.33203125" style="106" customWidth="1"/>
    <col min="14826" max="14826" width="20.33203125" style="106" customWidth="1"/>
    <col min="14827" max="14828" width="16.44140625" style="106" customWidth="1"/>
    <col min="14829" max="14829" width="15.109375" style="106" customWidth="1"/>
    <col min="14830" max="15072" width="9.109375" style="106"/>
    <col min="15073" max="15073" width="14.5546875" style="106" customWidth="1"/>
    <col min="15074" max="15074" width="45.5546875" style="106" customWidth="1"/>
    <col min="15075" max="15075" width="34.33203125" style="106" customWidth="1"/>
    <col min="15076" max="15076" width="19.109375" style="106" customWidth="1"/>
    <col min="15077" max="15077" width="29.5546875" style="106" customWidth="1"/>
    <col min="15078" max="15079" width="17.5546875" style="106" customWidth="1"/>
    <col min="15080" max="15080" width="18.6640625" style="106" customWidth="1"/>
    <col min="15081" max="15081" width="16.33203125" style="106" customWidth="1"/>
    <col min="15082" max="15082" width="20.33203125" style="106" customWidth="1"/>
    <col min="15083" max="15084" width="16.44140625" style="106" customWidth="1"/>
    <col min="15085" max="15085" width="15.109375" style="106" customWidth="1"/>
    <col min="15086" max="15328" width="9.109375" style="106"/>
    <col min="15329" max="15329" width="14.5546875" style="106" customWidth="1"/>
    <col min="15330" max="15330" width="45.5546875" style="106" customWidth="1"/>
    <col min="15331" max="15331" width="34.33203125" style="106" customWidth="1"/>
    <col min="15332" max="15332" width="19.109375" style="106" customWidth="1"/>
    <col min="15333" max="15333" width="29.5546875" style="106" customWidth="1"/>
    <col min="15334" max="15335" width="17.5546875" style="106" customWidth="1"/>
    <col min="15336" max="15336" width="18.6640625" style="106" customWidth="1"/>
    <col min="15337" max="15337" width="16.33203125" style="106" customWidth="1"/>
    <col min="15338" max="15338" width="20.33203125" style="106" customWidth="1"/>
    <col min="15339" max="15340" width="16.44140625" style="106" customWidth="1"/>
    <col min="15341" max="15341" width="15.109375" style="106" customWidth="1"/>
    <col min="15342" max="15584" width="9.109375" style="106"/>
    <col min="15585" max="15585" width="14.5546875" style="106" customWidth="1"/>
    <col min="15586" max="15586" width="45.5546875" style="106" customWidth="1"/>
    <col min="15587" max="15587" width="34.33203125" style="106" customWidth="1"/>
    <col min="15588" max="15588" width="19.109375" style="106" customWidth="1"/>
    <col min="15589" max="15589" width="29.5546875" style="106" customWidth="1"/>
    <col min="15590" max="15591" width="17.5546875" style="106" customWidth="1"/>
    <col min="15592" max="15592" width="18.6640625" style="106" customWidth="1"/>
    <col min="15593" max="15593" width="16.33203125" style="106" customWidth="1"/>
    <col min="15594" max="15594" width="20.33203125" style="106" customWidth="1"/>
    <col min="15595" max="15596" width="16.44140625" style="106" customWidth="1"/>
    <col min="15597" max="15597" width="15.109375" style="106" customWidth="1"/>
    <col min="15598" max="15840" width="9.109375" style="106"/>
    <col min="15841" max="15841" width="14.5546875" style="106" customWidth="1"/>
    <col min="15842" max="15842" width="45.5546875" style="106" customWidth="1"/>
    <col min="15843" max="15843" width="34.33203125" style="106" customWidth="1"/>
    <col min="15844" max="15844" width="19.109375" style="106" customWidth="1"/>
    <col min="15845" max="15845" width="29.5546875" style="106" customWidth="1"/>
    <col min="15846" max="15847" width="17.5546875" style="106" customWidth="1"/>
    <col min="15848" max="15848" width="18.6640625" style="106" customWidth="1"/>
    <col min="15849" max="15849" width="16.33203125" style="106" customWidth="1"/>
    <col min="15850" max="15850" width="20.33203125" style="106" customWidth="1"/>
    <col min="15851" max="15852" width="16.44140625" style="106" customWidth="1"/>
    <col min="15853" max="15853" width="15.109375" style="106" customWidth="1"/>
    <col min="15854" max="16096" width="9.109375" style="106"/>
    <col min="16097" max="16097" width="14.5546875" style="106" customWidth="1"/>
    <col min="16098" max="16098" width="45.5546875" style="106" customWidth="1"/>
    <col min="16099" max="16099" width="34.33203125" style="106" customWidth="1"/>
    <col min="16100" max="16100" width="19.109375" style="106" customWidth="1"/>
    <col min="16101" max="16101" width="29.5546875" style="106" customWidth="1"/>
    <col min="16102" max="16103" width="17.5546875" style="106" customWidth="1"/>
    <col min="16104" max="16104" width="18.6640625" style="106" customWidth="1"/>
    <col min="16105" max="16105" width="16.33203125" style="106" customWidth="1"/>
    <col min="16106" max="16106" width="20.33203125" style="106" customWidth="1"/>
    <col min="16107" max="16108" width="16.44140625" style="106" customWidth="1"/>
    <col min="16109" max="16109" width="15.109375" style="106" customWidth="1"/>
    <col min="16110" max="16350" width="9.109375" style="106"/>
    <col min="16351" max="16384" width="8.6640625" style="106" customWidth="1"/>
  </cols>
  <sheetData>
    <row r="1" spans="1:14" x14ac:dyDescent="0.3">
      <c r="G1" s="263" t="s">
        <v>17</v>
      </c>
      <c r="H1" s="263"/>
      <c r="I1" s="263"/>
      <c r="J1" s="263"/>
      <c r="K1" s="263"/>
      <c r="L1" s="263"/>
      <c r="M1" s="107"/>
    </row>
    <row r="2" spans="1:14" x14ac:dyDescent="0.3">
      <c r="G2" s="264" t="s">
        <v>18</v>
      </c>
      <c r="H2" s="264"/>
      <c r="I2" s="264"/>
      <c r="J2" s="264"/>
      <c r="K2" s="264"/>
      <c r="L2" s="264"/>
      <c r="M2" s="103"/>
    </row>
    <row r="3" spans="1:14" x14ac:dyDescent="0.3">
      <c r="G3" s="144"/>
      <c r="H3" s="103"/>
      <c r="I3" s="103"/>
      <c r="J3" s="103"/>
      <c r="K3" s="148"/>
      <c r="L3" s="103"/>
      <c r="M3" s="103"/>
    </row>
    <row r="4" spans="1:14" x14ac:dyDescent="0.3">
      <c r="G4" s="144"/>
      <c r="H4" s="103"/>
      <c r="I4" s="103"/>
      <c r="J4" s="103"/>
      <c r="K4" s="148"/>
      <c r="L4" s="103"/>
      <c r="M4" s="103"/>
    </row>
    <row r="5" spans="1:14" ht="261.75" customHeight="1" x14ac:dyDescent="0.3">
      <c r="E5" s="121" t="s">
        <v>463</v>
      </c>
      <c r="F5" s="122" t="s">
        <v>466</v>
      </c>
      <c r="G5" s="144" t="s">
        <v>465</v>
      </c>
      <c r="K5" s="148" t="s">
        <v>465</v>
      </c>
      <c r="L5" s="123" t="s">
        <v>464</v>
      </c>
    </row>
    <row r="6" spans="1:14" ht="60.75" customHeight="1" x14ac:dyDescent="0.3">
      <c r="A6" s="103" t="s">
        <v>109</v>
      </c>
      <c r="B6" s="103" t="s">
        <v>61</v>
      </c>
      <c r="C6" s="103" t="s">
        <v>78</v>
      </c>
      <c r="D6" s="103" t="s">
        <v>1</v>
      </c>
      <c r="E6" s="103" t="s">
        <v>3</v>
      </c>
      <c r="F6" s="119" t="s">
        <v>460</v>
      </c>
      <c r="G6" s="144" t="s">
        <v>458</v>
      </c>
      <c r="H6" s="103" t="s">
        <v>113</v>
      </c>
      <c r="I6" s="103" t="s">
        <v>139</v>
      </c>
      <c r="J6" s="103" t="s">
        <v>140</v>
      </c>
      <c r="K6" s="148" t="s">
        <v>461</v>
      </c>
      <c r="L6" s="103" t="s">
        <v>462</v>
      </c>
      <c r="M6" s="103" t="s">
        <v>454</v>
      </c>
      <c r="N6" s="103" t="s">
        <v>455</v>
      </c>
    </row>
    <row r="7" spans="1:14" x14ac:dyDescent="0.3">
      <c r="A7" s="103">
        <v>2026</v>
      </c>
      <c r="B7" s="103" t="s">
        <v>577</v>
      </c>
      <c r="C7" s="131"/>
      <c r="D7" s="131"/>
      <c r="E7" s="3" t="s">
        <v>373</v>
      </c>
      <c r="F7" s="132">
        <v>1</v>
      </c>
      <c r="G7" s="145" t="str">
        <f>VLOOKUP(TBLBAHANKELUAR[[#This Row],[KODE BAHAN]],[4]!TBLKEBABSOSYAMKECIL[#Data],2,FALSE)</f>
        <v>SAOS TOMAT GRAM</v>
      </c>
      <c r="H7" s="133">
        <f>VLOOKUP(TBLBAHANKELUAR[[#This Row],[NAMA BAHAN]],TBLREKAPBAHAN[[NAMA BAHAN]:[MODAL SATUAN]],2,FALSE)</f>
        <v>20000</v>
      </c>
      <c r="I7" s="133">
        <f>VLOOKUP(TBLBAHANKELUAR[[#This Row],[NAMA BAHAN]],TBLREKAPBAHAN[[NAMA BAHAN]:[MODAL SATUAN]],3,FALSE)</f>
        <v>1000</v>
      </c>
      <c r="J7" s="133">
        <f>VLOOKUP(TBLBAHANKELUAR[[#This Row],[NAMA BAHAN]],TBLREKAPBAHAN[[NAMA BAHAN]:[MODAL SATUAN]],4,FALSE)</f>
        <v>20</v>
      </c>
      <c r="K7" s="149">
        <f>VLOOKUP(TBLBAHANKELUAR[[#This Row],[KODE BAHAN]],[4]!TBLKEBABSOSYAMKECIL[#Data],8,FALSE)</f>
        <v>10</v>
      </c>
      <c r="L7" s="134">
        <f>SUMIF(TBLPRODUKKELUARJUNI[NAMA PRODUK],TBLBAHANKELUAR[[#This Row],[NAMA PRODUK]],TBLPRODUKKELUARJUNI[JUMLAH TERJUAL])</f>
        <v>2</v>
      </c>
      <c r="M7" s="134">
        <f>TBLBAHANKELUAR[[#This Row],[KEB. BAHAN]]*TBLBAHANKELUAR[[#This Row],[JUMLAH KEB. BAHAN KELUAR]]</f>
        <v>20</v>
      </c>
      <c r="N7" s="133">
        <f>TBLBAHANKELUAR[[#This Row],[MODAL SATUAN]]*TBLBAHANKELUAR[[#This Row],[TOTAL BAHAN KELUAR]]</f>
        <v>400</v>
      </c>
    </row>
    <row r="8" spans="1:14" x14ac:dyDescent="0.3">
      <c r="A8" s="103">
        <v>2026</v>
      </c>
      <c r="B8" s="103" t="s">
        <v>577</v>
      </c>
      <c r="C8" s="131"/>
      <c r="D8" s="131"/>
      <c r="E8" s="3" t="s">
        <v>373</v>
      </c>
      <c r="F8" s="132">
        <v>2</v>
      </c>
      <c r="G8" s="145" t="str">
        <f>VLOOKUP(TBLBAHANKELUAR[[#This Row],[KODE BAHAN]],[4]!TBLKEBABSOSYAMKECIL[#Data],2,FALSE)</f>
        <v>SAOS SAMBAL GRAM</v>
      </c>
      <c r="H8" s="133">
        <f>VLOOKUP(TBLBAHANKELUAR[[#This Row],[NAMA BAHAN]],TBLREKAPBAHAN[[NAMA BAHAN]:[MODAL SATUAN]],2,FALSE)</f>
        <v>18000</v>
      </c>
      <c r="I8" s="133">
        <f>VLOOKUP(TBLBAHANKELUAR[[#This Row],[NAMA BAHAN]],TBLREKAPBAHAN[[NAMA BAHAN]:[MODAL SATUAN]],3,FALSE)</f>
        <v>1000</v>
      </c>
      <c r="J8" s="133">
        <f>VLOOKUP(TBLBAHANKELUAR[[#This Row],[NAMA BAHAN]],TBLREKAPBAHAN[[NAMA BAHAN]:[MODAL SATUAN]],4,FALSE)</f>
        <v>18</v>
      </c>
      <c r="K8" s="149">
        <f>VLOOKUP(TBLBAHANKELUAR[[#This Row],[KODE BAHAN]],[4]!TBLKEBABSOSYAMKECIL[#Data],8,FALSE)</f>
        <v>0</v>
      </c>
      <c r="L8" s="134">
        <f>SUMIF(TBLPRODUKKELUARJUNI[NAMA PRODUK],TBLBAHANKELUAR[[#This Row],[NAMA PRODUK]],TBLPRODUKKELUARJUNI[JUMLAH TERJUAL])</f>
        <v>2</v>
      </c>
      <c r="M8" s="134">
        <f>TBLBAHANKELUAR[[#This Row],[KEB. BAHAN]]*TBLBAHANKELUAR[[#This Row],[JUMLAH KEB. BAHAN KELUAR]]</f>
        <v>0</v>
      </c>
      <c r="N8" s="133">
        <f>TBLBAHANKELUAR[[#This Row],[MODAL SATUAN]]*TBLBAHANKELUAR[[#This Row],[TOTAL BAHAN KELUAR]]</f>
        <v>0</v>
      </c>
    </row>
    <row r="9" spans="1:14" x14ac:dyDescent="0.3">
      <c r="A9" s="103">
        <v>2026</v>
      </c>
      <c r="B9" s="103" t="s">
        <v>577</v>
      </c>
      <c r="C9" s="131"/>
      <c r="D9" s="131"/>
      <c r="E9" s="3" t="s">
        <v>373</v>
      </c>
      <c r="F9" s="132">
        <v>3</v>
      </c>
      <c r="G9" s="145" t="str">
        <f>VLOOKUP(TBLBAHANKELUAR[[#This Row],[KODE BAHAN]],[4]!TBLKEBABSOSYAMKECIL[#Data],2,FALSE)</f>
        <v>SAOS BBQ GRAM</v>
      </c>
      <c r="H9" s="133">
        <f>VLOOKUP(TBLBAHANKELUAR[[#This Row],[NAMA BAHAN]],TBLREKAPBAHAN[[NAMA BAHAN]:[MODAL SATUAN]],2,FALSE)</f>
        <v>12000</v>
      </c>
      <c r="I9" s="133">
        <f>VLOOKUP(TBLBAHANKELUAR[[#This Row],[NAMA BAHAN]],TBLREKAPBAHAN[[NAMA BAHAN]:[MODAL SATUAN]],3,FALSE)</f>
        <v>250</v>
      </c>
      <c r="J9" s="133">
        <f>VLOOKUP(TBLBAHANKELUAR[[#This Row],[NAMA BAHAN]],TBLREKAPBAHAN[[NAMA BAHAN]:[MODAL SATUAN]],4,FALSE)</f>
        <v>48</v>
      </c>
      <c r="K9" s="149">
        <f>VLOOKUP(TBLBAHANKELUAR[[#This Row],[KODE BAHAN]],[4]!TBLKEBABSOSYAMKECIL[#Data],8,FALSE)</f>
        <v>5</v>
      </c>
      <c r="L9" s="134">
        <f>SUMIF(TBLPRODUKKELUARJUNI[NAMA PRODUK],TBLBAHANKELUAR[[#This Row],[NAMA PRODUK]],TBLPRODUKKELUARJUNI[JUMLAH TERJUAL])</f>
        <v>2</v>
      </c>
      <c r="M9" s="134">
        <f>TBLBAHANKELUAR[[#This Row],[KEB. BAHAN]]*TBLBAHANKELUAR[[#This Row],[JUMLAH KEB. BAHAN KELUAR]]</f>
        <v>10</v>
      </c>
      <c r="N9" s="133">
        <f>TBLBAHANKELUAR[[#This Row],[MODAL SATUAN]]*TBLBAHANKELUAR[[#This Row],[TOTAL BAHAN KELUAR]]</f>
        <v>480</v>
      </c>
    </row>
    <row r="10" spans="1:14" x14ac:dyDescent="0.3">
      <c r="A10" s="103">
        <v>2026</v>
      </c>
      <c r="B10" s="103" t="s">
        <v>577</v>
      </c>
      <c r="C10" s="131"/>
      <c r="D10" s="131"/>
      <c r="E10" s="3" t="s">
        <v>373</v>
      </c>
      <c r="F10" s="132">
        <v>4</v>
      </c>
      <c r="G10" s="145" t="str">
        <f>VLOOKUP(TBLBAHANKELUAR[[#This Row],[KODE BAHAN]],[4]!TBLKEBABSOSYAMKECIL[#Data],2,FALSE)</f>
        <v>MAYONAIS GRAM</v>
      </c>
      <c r="H10" s="133">
        <f>VLOOKUP(TBLBAHANKELUAR[[#This Row],[NAMA BAHAN]],TBLREKAPBAHAN[[NAMA BAHAN]:[MODAL SATUAN]],2,FALSE)</f>
        <v>50000</v>
      </c>
      <c r="I10" s="133">
        <f>VLOOKUP(TBLBAHANKELUAR[[#This Row],[NAMA BAHAN]],TBLREKAPBAHAN[[NAMA BAHAN]:[MODAL SATUAN]],3,FALSE)</f>
        <v>1000</v>
      </c>
      <c r="J10" s="133">
        <f>VLOOKUP(TBLBAHANKELUAR[[#This Row],[NAMA BAHAN]],TBLREKAPBAHAN[[NAMA BAHAN]:[MODAL SATUAN]],4,FALSE)</f>
        <v>50</v>
      </c>
      <c r="K10" s="149">
        <f>VLOOKUP(TBLBAHANKELUAR[[#This Row],[KODE BAHAN]],[4]!TBLKEBABSOSYAMKECIL[#Data],8,FALSE)</f>
        <v>7</v>
      </c>
      <c r="L10" s="134">
        <f>SUMIF(TBLPRODUKKELUARJUNI[NAMA PRODUK],TBLBAHANKELUAR[[#This Row],[NAMA PRODUK]],TBLPRODUKKELUARJUNI[JUMLAH TERJUAL])</f>
        <v>2</v>
      </c>
      <c r="M10" s="134">
        <f>TBLBAHANKELUAR[[#This Row],[KEB. BAHAN]]*TBLBAHANKELUAR[[#This Row],[JUMLAH KEB. BAHAN KELUAR]]</f>
        <v>14</v>
      </c>
      <c r="N10" s="133">
        <f>TBLBAHANKELUAR[[#This Row],[MODAL SATUAN]]*TBLBAHANKELUAR[[#This Row],[TOTAL BAHAN KELUAR]]</f>
        <v>700</v>
      </c>
    </row>
    <row r="11" spans="1:14" x14ac:dyDescent="0.3">
      <c r="A11" s="103">
        <v>2026</v>
      </c>
      <c r="B11" s="103" t="s">
        <v>577</v>
      </c>
      <c r="C11" s="131"/>
      <c r="D11" s="131"/>
      <c r="E11" s="3" t="s">
        <v>373</v>
      </c>
      <c r="F11" s="132">
        <v>5</v>
      </c>
      <c r="G11" s="145" t="str">
        <f>VLOOKUP(TBLBAHANKELUAR[[#This Row],[KODE BAHAN]],[4]!TBLKEBABSOSYAMKECIL[#Data],2,FALSE)</f>
        <v>SAOS SPAGHETI GRAM</v>
      </c>
      <c r="H11" s="133">
        <f>VLOOKUP(TBLBAHANKELUAR[[#This Row],[NAMA BAHAN]],TBLREKAPBAHAN[[NAMA BAHAN]:[MODAL SATUAN]],2,FALSE)</f>
        <v>12000</v>
      </c>
      <c r="I11" s="133">
        <f>VLOOKUP(TBLBAHANKELUAR[[#This Row],[NAMA BAHAN]],TBLREKAPBAHAN[[NAMA BAHAN]:[MODAL SATUAN]],3,FALSE)</f>
        <v>250</v>
      </c>
      <c r="J11" s="133">
        <f>VLOOKUP(TBLBAHANKELUAR[[#This Row],[NAMA BAHAN]],TBLREKAPBAHAN[[NAMA BAHAN]:[MODAL SATUAN]],4,FALSE)</f>
        <v>48</v>
      </c>
      <c r="K11" s="149">
        <f>VLOOKUP(TBLBAHANKELUAR[[#This Row],[KODE BAHAN]],[4]!TBLKEBABSOSYAMKECIL[#Data],8,FALSE)</f>
        <v>5</v>
      </c>
      <c r="L11" s="134">
        <f>SUMIF(TBLPRODUKKELUARJUNI[NAMA PRODUK],TBLBAHANKELUAR[[#This Row],[NAMA PRODUK]],TBLPRODUKKELUARJUNI[JUMLAH TERJUAL])</f>
        <v>2</v>
      </c>
      <c r="M11" s="134">
        <f>TBLBAHANKELUAR[[#This Row],[KEB. BAHAN]]*TBLBAHANKELUAR[[#This Row],[JUMLAH KEB. BAHAN KELUAR]]</f>
        <v>10</v>
      </c>
      <c r="N11" s="133">
        <f>TBLBAHANKELUAR[[#This Row],[MODAL SATUAN]]*TBLBAHANKELUAR[[#This Row],[TOTAL BAHAN KELUAR]]</f>
        <v>480</v>
      </c>
    </row>
    <row r="12" spans="1:14" x14ac:dyDescent="0.3">
      <c r="A12" s="103">
        <v>2026</v>
      </c>
      <c r="B12" s="103" t="s">
        <v>577</v>
      </c>
      <c r="C12" s="131"/>
      <c r="D12" s="131"/>
      <c r="E12" s="3" t="s">
        <v>373</v>
      </c>
      <c r="F12" s="132">
        <v>6</v>
      </c>
      <c r="G12" s="145" t="str">
        <f>VLOOKUP(TBLBAHANKELUAR[[#This Row],[KODE BAHAN]],[4]!TBLKEBABSOSYAMKECIL[#Data],2,FALSE)</f>
        <v>SOSIZ BATANG</v>
      </c>
      <c r="H12" s="133">
        <f>VLOOKUP(TBLBAHANKELUAR[[#This Row],[NAMA BAHAN]],TBLREKAPBAHAN[[NAMA BAHAN]:[MODAL SATUAN]],2,FALSE)</f>
        <v>35000</v>
      </c>
      <c r="I12" s="133">
        <f>VLOOKUP(TBLBAHANKELUAR[[#This Row],[NAMA BAHAN]],TBLREKAPBAHAN[[NAMA BAHAN]:[MODAL SATUAN]],3,FALSE)</f>
        <v>38</v>
      </c>
      <c r="J12" s="133">
        <f>VLOOKUP(TBLBAHANKELUAR[[#This Row],[NAMA BAHAN]],TBLREKAPBAHAN[[NAMA BAHAN]:[MODAL SATUAN]],4,FALSE)</f>
        <v>921.0526315789474</v>
      </c>
      <c r="K12" s="149">
        <f>VLOOKUP(TBLBAHANKELUAR[[#This Row],[KODE BAHAN]],[4]!TBLKEBABSOSYAMKECIL[#Data],8,FALSE)</f>
        <v>0.5</v>
      </c>
      <c r="L12" s="134">
        <f>SUMIF(TBLPRODUKKELUARJUNI[NAMA PRODUK],TBLBAHANKELUAR[[#This Row],[NAMA PRODUK]],TBLPRODUKKELUARJUNI[JUMLAH TERJUAL])</f>
        <v>2</v>
      </c>
      <c r="M12" s="134">
        <f>TBLBAHANKELUAR[[#This Row],[KEB. BAHAN]]*TBLBAHANKELUAR[[#This Row],[JUMLAH KEB. BAHAN KELUAR]]</f>
        <v>1</v>
      </c>
      <c r="N12" s="133">
        <f>TBLBAHANKELUAR[[#This Row],[MODAL SATUAN]]*TBLBAHANKELUAR[[#This Row],[TOTAL BAHAN KELUAR]]</f>
        <v>921.0526315789474</v>
      </c>
    </row>
    <row r="13" spans="1:14" x14ac:dyDescent="0.3">
      <c r="A13" s="103">
        <v>2026</v>
      </c>
      <c r="B13" s="103" t="s">
        <v>577</v>
      </c>
      <c r="C13" s="131"/>
      <c r="D13" s="131"/>
      <c r="E13" s="3" t="s">
        <v>373</v>
      </c>
      <c r="F13" s="132">
        <v>7</v>
      </c>
      <c r="G13" s="145" t="str">
        <f>VLOOKUP(TBLBAHANKELUAR[[#This Row],[KODE BAHAN]],[4]!TBLKEBABSOSYAMKECIL[#Data],2,FALSE)</f>
        <v>AYAM SUWIR</v>
      </c>
      <c r="H13" s="133">
        <f>VLOOKUP(TBLBAHANKELUAR[[#This Row],[NAMA BAHAN]],TBLREKAPBAHAN[[NAMA BAHAN]:[MODAL SATUAN]],2,FALSE)</f>
        <v>45000</v>
      </c>
      <c r="I13" s="133">
        <f>VLOOKUP(TBLBAHANKELUAR[[#This Row],[NAMA BAHAN]],TBLREKAPBAHAN[[NAMA BAHAN]:[MODAL SATUAN]],3,FALSE)</f>
        <v>400</v>
      </c>
      <c r="J13" s="133">
        <f>VLOOKUP(TBLBAHANKELUAR[[#This Row],[NAMA BAHAN]],TBLREKAPBAHAN[[NAMA BAHAN]:[MODAL SATUAN]],4,FALSE)</f>
        <v>112.5</v>
      </c>
      <c r="K13" s="149">
        <f>VLOOKUP(TBLBAHANKELUAR[[#This Row],[KODE BAHAN]],[4]!TBLKEBABSOSYAMKECIL[#Data],8,FALSE)</f>
        <v>12</v>
      </c>
      <c r="L13" s="134">
        <f>SUMIF(TBLPRODUKKELUARJUNI[NAMA PRODUK],TBLBAHANKELUAR[[#This Row],[NAMA PRODUK]],TBLPRODUKKELUARJUNI[JUMLAH TERJUAL])</f>
        <v>2</v>
      </c>
      <c r="M13" s="134">
        <f>TBLBAHANKELUAR[[#This Row],[KEB. BAHAN]]*TBLBAHANKELUAR[[#This Row],[JUMLAH KEB. BAHAN KELUAR]]</f>
        <v>24</v>
      </c>
      <c r="N13" s="133">
        <f>TBLBAHANKELUAR[[#This Row],[MODAL SATUAN]]*TBLBAHANKELUAR[[#This Row],[TOTAL BAHAN KELUAR]]</f>
        <v>2700</v>
      </c>
    </row>
    <row r="14" spans="1:14" x14ac:dyDescent="0.3">
      <c r="A14" s="103">
        <v>2026</v>
      </c>
      <c r="B14" s="103" t="s">
        <v>577</v>
      </c>
      <c r="C14" s="131"/>
      <c r="D14" s="131"/>
      <c r="E14" s="3" t="s">
        <v>373</v>
      </c>
      <c r="F14" s="132">
        <v>8</v>
      </c>
      <c r="G14" s="145" t="str">
        <f>VLOOKUP(TBLBAHANKELUAR[[#This Row],[KODE BAHAN]],[4]!TBLKEBABSOSYAMKECIL[#Data],2,FALSE)</f>
        <v>KULIT KEBAB 17/18 CM</v>
      </c>
      <c r="H14" s="133">
        <f>VLOOKUP(TBLBAHANKELUAR[[#This Row],[NAMA BAHAN]],TBLREKAPBAHAN[[NAMA BAHAN]:[MODAL SATUAN]],2,FALSE)</f>
        <v>27000</v>
      </c>
      <c r="I14" s="133">
        <f>VLOOKUP(TBLBAHANKELUAR[[#This Row],[NAMA BAHAN]],TBLREKAPBAHAN[[NAMA BAHAN]:[MODAL SATUAN]],3,FALSE)</f>
        <v>20</v>
      </c>
      <c r="J14" s="133">
        <f>VLOOKUP(TBLBAHANKELUAR[[#This Row],[NAMA BAHAN]],TBLREKAPBAHAN[[NAMA BAHAN]:[MODAL SATUAN]],4,FALSE)</f>
        <v>1350</v>
      </c>
      <c r="K14" s="149">
        <f>VLOOKUP(TBLBAHANKELUAR[[#This Row],[KODE BAHAN]],[4]!TBLKEBABSOSYAMKECIL[#Data],8,FALSE)</f>
        <v>1</v>
      </c>
      <c r="L14" s="134">
        <f>SUMIF(TBLPRODUKKELUARJUNI[NAMA PRODUK],TBLBAHANKELUAR[[#This Row],[NAMA PRODUK]],TBLPRODUKKELUARJUNI[JUMLAH TERJUAL])</f>
        <v>2</v>
      </c>
      <c r="M14" s="134">
        <f>TBLBAHANKELUAR[[#This Row],[KEB. BAHAN]]*TBLBAHANKELUAR[[#This Row],[JUMLAH KEB. BAHAN KELUAR]]</f>
        <v>2</v>
      </c>
      <c r="N14" s="133">
        <f>TBLBAHANKELUAR[[#This Row],[MODAL SATUAN]]*TBLBAHANKELUAR[[#This Row],[TOTAL BAHAN KELUAR]]</f>
        <v>2700</v>
      </c>
    </row>
    <row r="15" spans="1:14" x14ac:dyDescent="0.3">
      <c r="A15" s="103">
        <v>2026</v>
      </c>
      <c r="B15" s="103" t="s">
        <v>577</v>
      </c>
      <c r="C15" s="131"/>
      <c r="D15" s="131"/>
      <c r="E15" s="3" t="s">
        <v>373</v>
      </c>
      <c r="F15" s="132">
        <v>9</v>
      </c>
      <c r="G15" s="145" t="str">
        <f>VLOOKUP(TBLBAHANKELUAR[[#This Row],[KODE BAHAN]],[4]!TBLKEBABSOSYAMKECIL[#Data],2,FALSE)</f>
        <v>SLADA</v>
      </c>
      <c r="H15" s="133">
        <f>VLOOKUP(TBLBAHANKELUAR[[#This Row],[NAMA BAHAN]],TBLREKAPBAHAN[[NAMA BAHAN]:[MODAL SATUAN]],2,FALSE)</f>
        <v>60000</v>
      </c>
      <c r="I15" s="133">
        <f>VLOOKUP(TBLBAHANKELUAR[[#This Row],[NAMA BAHAN]],TBLREKAPBAHAN[[NAMA BAHAN]:[MODAL SATUAN]],3,FALSE)</f>
        <v>50</v>
      </c>
      <c r="J15" s="133">
        <f>VLOOKUP(TBLBAHANKELUAR[[#This Row],[NAMA BAHAN]],TBLREKAPBAHAN[[NAMA BAHAN]:[MODAL SATUAN]],4,FALSE)</f>
        <v>1200</v>
      </c>
      <c r="K15" s="149">
        <f>VLOOKUP(TBLBAHANKELUAR[[#This Row],[KODE BAHAN]],[4]!TBLKEBABSOSYAMKECIL[#Data],8,FALSE)</f>
        <v>1</v>
      </c>
      <c r="L15" s="134">
        <f>SUMIF(TBLPRODUKKELUARJUNI[NAMA PRODUK],TBLBAHANKELUAR[[#This Row],[NAMA PRODUK]],TBLPRODUKKELUARJUNI[JUMLAH TERJUAL])</f>
        <v>2</v>
      </c>
      <c r="M15" s="134">
        <f>TBLBAHANKELUAR[[#This Row],[KEB. BAHAN]]*TBLBAHANKELUAR[[#This Row],[JUMLAH KEB. BAHAN KELUAR]]</f>
        <v>2</v>
      </c>
      <c r="N15" s="133">
        <f>TBLBAHANKELUAR[[#This Row],[MODAL SATUAN]]*TBLBAHANKELUAR[[#This Row],[TOTAL BAHAN KELUAR]]</f>
        <v>2400</v>
      </c>
    </row>
    <row r="16" spans="1:14" x14ac:dyDescent="0.3">
      <c r="A16" s="103">
        <v>2026</v>
      </c>
      <c r="B16" s="103" t="s">
        <v>577</v>
      </c>
      <c r="C16" s="131"/>
      <c r="D16" s="131"/>
      <c r="E16" s="3" t="s">
        <v>373</v>
      </c>
      <c r="F16" s="132">
        <v>10</v>
      </c>
      <c r="G16" s="145" t="str">
        <f>VLOOKUP(TBLBAHANKELUAR[[#This Row],[KODE BAHAN]],[4]!TBLKEBABSOSYAMKECIL[#Data],2,FALSE)</f>
        <v>MENTEGA</v>
      </c>
      <c r="H16" s="133">
        <f>VLOOKUP(TBLBAHANKELUAR[[#This Row],[NAMA BAHAN]],TBLREKAPBAHAN[[NAMA BAHAN]:[MODAL SATUAN]],2,FALSE)</f>
        <v>35000</v>
      </c>
      <c r="I16" s="133">
        <f>VLOOKUP(TBLBAHANKELUAR[[#This Row],[NAMA BAHAN]],TBLREKAPBAHAN[[NAMA BAHAN]:[MODAL SATUAN]],3,FALSE)</f>
        <v>1000</v>
      </c>
      <c r="J16" s="133">
        <f>VLOOKUP(TBLBAHANKELUAR[[#This Row],[NAMA BAHAN]],TBLREKAPBAHAN[[NAMA BAHAN]:[MODAL SATUAN]],4,FALSE)</f>
        <v>35</v>
      </c>
      <c r="K16" s="149">
        <f>VLOOKUP(TBLBAHANKELUAR[[#This Row],[KODE BAHAN]],[4]!TBLKEBABSOSYAMKECIL[#Data],8,FALSE)</f>
        <v>10</v>
      </c>
      <c r="L16" s="134">
        <f>SUMIF(TBLPRODUKKELUARJUNI[NAMA PRODUK],TBLBAHANKELUAR[[#This Row],[NAMA PRODUK]],TBLPRODUKKELUARJUNI[JUMLAH TERJUAL])</f>
        <v>2</v>
      </c>
      <c r="M16" s="134">
        <f>TBLBAHANKELUAR[[#This Row],[KEB. BAHAN]]*TBLBAHANKELUAR[[#This Row],[JUMLAH KEB. BAHAN KELUAR]]</f>
        <v>20</v>
      </c>
      <c r="N16" s="133">
        <f>TBLBAHANKELUAR[[#This Row],[MODAL SATUAN]]*TBLBAHANKELUAR[[#This Row],[TOTAL BAHAN KELUAR]]</f>
        <v>700</v>
      </c>
    </row>
    <row r="17" spans="1:14" x14ac:dyDescent="0.3">
      <c r="A17" s="103">
        <v>2026</v>
      </c>
      <c r="B17" s="103" t="s">
        <v>577</v>
      </c>
      <c r="C17" s="131"/>
      <c r="D17" s="131"/>
      <c r="E17" s="3" t="s">
        <v>373</v>
      </c>
      <c r="F17" s="132">
        <v>11</v>
      </c>
      <c r="G17" s="145" t="str">
        <f>VLOOKUP(TBLBAHANKELUAR[[#This Row],[KODE BAHAN]],[4]!TBLKEBABSOSYAMKECIL[#Data],2,FALSE)</f>
        <v>GAS ELPIJI</v>
      </c>
      <c r="H17" s="133">
        <f>VLOOKUP(TBLBAHANKELUAR[[#This Row],[NAMA BAHAN]],TBLREKAPBAHAN[[NAMA BAHAN]:[MODAL SATUAN]],2,FALSE)</f>
        <v>23000</v>
      </c>
      <c r="I17" s="133">
        <f>VLOOKUP(TBLBAHANKELUAR[[#This Row],[NAMA BAHAN]],TBLREKAPBAHAN[[NAMA BAHAN]:[MODAL SATUAN]],3,FALSE)</f>
        <v>3000</v>
      </c>
      <c r="J17" s="133">
        <f>VLOOKUP(TBLBAHANKELUAR[[#This Row],[NAMA BAHAN]],TBLREKAPBAHAN[[NAMA BAHAN]:[MODAL SATUAN]],4,FALSE)</f>
        <v>7.666666666666667</v>
      </c>
      <c r="K17" s="149">
        <f>VLOOKUP(TBLBAHANKELUAR[[#This Row],[KODE BAHAN]],[4]!TBLKEBABSOSYAMKECIL[#Data],8,FALSE)</f>
        <v>10</v>
      </c>
      <c r="L17" s="134">
        <f>SUMIF(TBLPRODUKKELUARJUNI[NAMA PRODUK],TBLBAHANKELUAR[[#This Row],[NAMA PRODUK]],TBLPRODUKKELUARJUNI[JUMLAH TERJUAL])</f>
        <v>2</v>
      </c>
      <c r="M17" s="134">
        <f>TBLBAHANKELUAR[[#This Row],[KEB. BAHAN]]*TBLBAHANKELUAR[[#This Row],[JUMLAH KEB. BAHAN KELUAR]]</f>
        <v>20</v>
      </c>
      <c r="N17" s="133">
        <f>TBLBAHANKELUAR[[#This Row],[MODAL SATUAN]]*TBLBAHANKELUAR[[#This Row],[TOTAL BAHAN KELUAR]]</f>
        <v>153.33333333333334</v>
      </c>
    </row>
    <row r="18" spans="1:14" x14ac:dyDescent="0.3">
      <c r="A18" s="103">
        <v>2026</v>
      </c>
      <c r="B18" s="103" t="s">
        <v>577</v>
      </c>
      <c r="C18" s="131"/>
      <c r="D18" s="131"/>
      <c r="E18" s="3" t="s">
        <v>373</v>
      </c>
      <c r="F18" s="132">
        <v>12</v>
      </c>
      <c r="G18" s="145" t="str">
        <f>VLOOKUP(TBLBAHANKELUAR[[#This Row],[KODE BAHAN]],[4]!TBLKEBABSOSYAMKECIL[#Data],2,FALSE)</f>
        <v>KERTAS KEBAB</v>
      </c>
      <c r="H18" s="133">
        <f>VLOOKUP(TBLBAHANKELUAR[[#This Row],[NAMA BAHAN]],TBLREKAPBAHAN[[NAMA BAHAN]:[MODAL SATUAN]],2,FALSE)</f>
        <v>25000</v>
      </c>
      <c r="I18" s="133">
        <f>VLOOKUP(TBLBAHANKELUAR[[#This Row],[NAMA BAHAN]],TBLREKAPBAHAN[[NAMA BAHAN]:[MODAL SATUAN]],3,FALSE)</f>
        <v>100</v>
      </c>
      <c r="J18" s="133">
        <f>VLOOKUP(TBLBAHANKELUAR[[#This Row],[NAMA BAHAN]],TBLREKAPBAHAN[[NAMA BAHAN]:[MODAL SATUAN]],4,FALSE)</f>
        <v>250</v>
      </c>
      <c r="K18" s="149">
        <f>VLOOKUP(TBLBAHANKELUAR[[#This Row],[KODE BAHAN]],[4]!TBLKEBABSOSYAMKECIL[#Data],8,FALSE)</f>
        <v>1</v>
      </c>
      <c r="L18" s="134">
        <f>SUMIF(TBLPRODUKKELUARJUNI[NAMA PRODUK],TBLBAHANKELUAR[[#This Row],[NAMA PRODUK]],TBLPRODUKKELUARJUNI[JUMLAH TERJUAL])</f>
        <v>2</v>
      </c>
      <c r="M18" s="134">
        <f>TBLBAHANKELUAR[[#This Row],[KEB. BAHAN]]*TBLBAHANKELUAR[[#This Row],[JUMLAH KEB. BAHAN KELUAR]]</f>
        <v>2</v>
      </c>
      <c r="N18" s="133">
        <f>TBLBAHANKELUAR[[#This Row],[MODAL SATUAN]]*TBLBAHANKELUAR[[#This Row],[TOTAL BAHAN KELUAR]]</f>
        <v>500</v>
      </c>
    </row>
    <row r="19" spans="1:14" x14ac:dyDescent="0.3">
      <c r="A19" s="103">
        <v>2026</v>
      </c>
      <c r="B19" s="103" t="s">
        <v>577</v>
      </c>
      <c r="C19" s="131"/>
      <c r="D19" s="131"/>
      <c r="E19" s="3" t="s">
        <v>373</v>
      </c>
      <c r="F19" s="132">
        <v>13</v>
      </c>
      <c r="G19" s="145" t="str">
        <f>VLOOKUP(TBLBAHANKELUAR[[#This Row],[KODE BAHAN]],[4]!TBLKEBABSOSYAMKECIL[#Data],2,FALSE)</f>
        <v>KRESEK 10 CM</v>
      </c>
      <c r="H19" s="133">
        <f>VLOOKUP(TBLBAHANKELUAR[[#This Row],[NAMA BAHAN]],TBLREKAPBAHAN[[NAMA BAHAN]:[MODAL SATUAN]],2,FALSE)</f>
        <v>5500</v>
      </c>
      <c r="I19" s="133">
        <f>VLOOKUP(TBLBAHANKELUAR[[#This Row],[NAMA BAHAN]],TBLREKAPBAHAN[[NAMA BAHAN]:[MODAL SATUAN]],3,FALSE)</f>
        <v>100</v>
      </c>
      <c r="J19" s="133">
        <f>VLOOKUP(TBLBAHANKELUAR[[#This Row],[NAMA BAHAN]],TBLREKAPBAHAN[[NAMA BAHAN]:[MODAL SATUAN]],4,FALSE)</f>
        <v>55</v>
      </c>
      <c r="K19" s="149">
        <f>VLOOKUP(TBLBAHANKELUAR[[#This Row],[KODE BAHAN]],[4]!TBLKEBABSOSYAMKECIL[#Data],8,FALSE)</f>
        <v>1</v>
      </c>
      <c r="L19" s="134">
        <f>SUMIF(TBLPRODUKKELUARJUNI[NAMA PRODUK],TBLBAHANKELUAR[[#This Row],[NAMA PRODUK]],TBLPRODUKKELUARJUNI[JUMLAH TERJUAL])</f>
        <v>2</v>
      </c>
      <c r="M19" s="134">
        <f>TBLBAHANKELUAR[[#This Row],[KEB. BAHAN]]*TBLBAHANKELUAR[[#This Row],[JUMLAH KEB. BAHAN KELUAR]]</f>
        <v>2</v>
      </c>
      <c r="N19" s="133">
        <f>TBLBAHANKELUAR[[#This Row],[MODAL SATUAN]]*TBLBAHANKELUAR[[#This Row],[TOTAL BAHAN KELUAR]]</f>
        <v>110</v>
      </c>
    </row>
    <row r="20" spans="1:14" x14ac:dyDescent="0.3">
      <c r="A20" s="103">
        <v>2026</v>
      </c>
      <c r="B20" s="103" t="s">
        <v>577</v>
      </c>
      <c r="C20" s="131"/>
      <c r="D20" s="131"/>
      <c r="E20" s="18" t="s">
        <v>374</v>
      </c>
      <c r="F20" s="132">
        <v>1</v>
      </c>
      <c r="G20" s="145" t="str">
        <f>VLOOKUP(TBLBAHANKELUAR[[#This Row],[KODE BAHAN]],[4]!TBLKEBABSOSYAMKECIL[#Data],2,FALSE)</f>
        <v>SAOS TOMAT GRAM</v>
      </c>
      <c r="H20" s="133">
        <f>VLOOKUP(TBLBAHANKELUAR[[#This Row],[NAMA BAHAN]],TBLREKAPBAHAN[[NAMA BAHAN]:[MODAL SATUAN]],2,FALSE)</f>
        <v>20000</v>
      </c>
      <c r="I20" s="133">
        <f>VLOOKUP(TBLBAHANKELUAR[[#This Row],[NAMA BAHAN]],TBLREKAPBAHAN[[NAMA BAHAN]:[MODAL SATUAN]],3,FALSE)</f>
        <v>1000</v>
      </c>
      <c r="J20" s="133">
        <f>VLOOKUP(TBLBAHANKELUAR[[#This Row],[NAMA BAHAN]],TBLREKAPBAHAN[[NAMA BAHAN]:[MODAL SATUAN]],4,FALSE)</f>
        <v>20</v>
      </c>
      <c r="K20" s="149">
        <f>VLOOKUP(TBLBAHANKELUAR[[#This Row],[KODE BAHAN]],[4]!TBLKEBABSOSYAMKECIL[#Data],10,FALSE)</f>
        <v>0</v>
      </c>
      <c r="L20" s="134">
        <f>SUMIF(TBLPRODUKKELUARJUNI[NAMA PRODUK],TBLBAHANKELUAR[[#This Row],[NAMA PRODUK]],TBLPRODUKKELUARJUNI[JUMLAH TERJUAL])</f>
        <v>3</v>
      </c>
      <c r="M20" s="134">
        <f>TBLBAHANKELUAR[[#This Row],[KEB. BAHAN]]*TBLBAHANKELUAR[[#This Row],[JUMLAH KEB. BAHAN KELUAR]]</f>
        <v>0</v>
      </c>
      <c r="N20" s="133">
        <f>TBLBAHANKELUAR[[#This Row],[MODAL SATUAN]]*TBLBAHANKELUAR[[#This Row],[TOTAL BAHAN KELUAR]]</f>
        <v>0</v>
      </c>
    </row>
    <row r="21" spans="1:14" x14ac:dyDescent="0.3">
      <c r="A21" s="103">
        <v>2026</v>
      </c>
      <c r="B21" s="103" t="s">
        <v>577</v>
      </c>
      <c r="C21" s="131"/>
      <c r="D21" s="131"/>
      <c r="E21" s="18" t="s">
        <v>374</v>
      </c>
      <c r="F21" s="132">
        <v>2</v>
      </c>
      <c r="G21" s="145" t="str">
        <f>VLOOKUP(TBLBAHANKELUAR[[#This Row],[KODE BAHAN]],[4]!TBLKEBABSOSYAMKECIL[#Data],2,FALSE)</f>
        <v>SAOS SAMBAL GRAM</v>
      </c>
      <c r="H21" s="133">
        <f>VLOOKUP(TBLBAHANKELUAR[[#This Row],[NAMA BAHAN]],TBLREKAPBAHAN[[NAMA BAHAN]:[MODAL SATUAN]],2,FALSE)</f>
        <v>18000</v>
      </c>
      <c r="I21" s="133">
        <f>VLOOKUP(TBLBAHANKELUAR[[#This Row],[NAMA BAHAN]],TBLREKAPBAHAN[[NAMA BAHAN]:[MODAL SATUAN]],3,FALSE)</f>
        <v>1000</v>
      </c>
      <c r="J21" s="133">
        <f>VLOOKUP(TBLBAHANKELUAR[[#This Row],[NAMA BAHAN]],TBLREKAPBAHAN[[NAMA BAHAN]:[MODAL SATUAN]],4,FALSE)</f>
        <v>18</v>
      </c>
      <c r="K21" s="149">
        <f>VLOOKUP(TBLBAHANKELUAR[[#This Row],[KODE BAHAN]],[4]!TBLKEBABSOSYAMKECIL[#Data],10,FALSE)</f>
        <v>15</v>
      </c>
      <c r="L21" s="134">
        <f>SUMIF(TBLPRODUKKELUARJUNI[NAMA PRODUK],TBLBAHANKELUAR[[#This Row],[NAMA PRODUK]],TBLPRODUKKELUARJUNI[JUMLAH TERJUAL])</f>
        <v>3</v>
      </c>
      <c r="M21" s="134">
        <f>TBLBAHANKELUAR[[#This Row],[KEB. BAHAN]]*TBLBAHANKELUAR[[#This Row],[JUMLAH KEB. BAHAN KELUAR]]</f>
        <v>45</v>
      </c>
      <c r="N21" s="133">
        <f>TBLBAHANKELUAR[[#This Row],[MODAL SATUAN]]*TBLBAHANKELUAR[[#This Row],[TOTAL BAHAN KELUAR]]</f>
        <v>810</v>
      </c>
    </row>
    <row r="22" spans="1:14" x14ac:dyDescent="0.3">
      <c r="A22" s="103">
        <v>2026</v>
      </c>
      <c r="B22" s="103" t="s">
        <v>577</v>
      </c>
      <c r="C22" s="103"/>
      <c r="D22" s="103"/>
      <c r="E22" s="18" t="s">
        <v>374</v>
      </c>
      <c r="F22" s="119">
        <v>3</v>
      </c>
      <c r="G22" s="145" t="str">
        <f>VLOOKUP(TBLBAHANKELUAR[[#This Row],[KODE BAHAN]],[4]!TBLKEBABSOSYAMKECIL[#Data],2,FALSE)</f>
        <v>SAOS BBQ GRAM</v>
      </c>
      <c r="H22" s="104">
        <f>VLOOKUP(TBLBAHANKELUAR[[#This Row],[NAMA BAHAN]],TBLREKAPBAHAN[[NAMA BAHAN]:[MODAL SATUAN]],2,FALSE)</f>
        <v>12000</v>
      </c>
      <c r="I22" s="104">
        <f>VLOOKUP(TBLBAHANKELUAR[[#This Row],[NAMA BAHAN]],TBLREKAPBAHAN[[NAMA BAHAN]:[MODAL SATUAN]],3,FALSE)</f>
        <v>250</v>
      </c>
      <c r="J22" s="104">
        <f>VLOOKUP(TBLBAHANKELUAR[[#This Row],[NAMA BAHAN]],TBLREKAPBAHAN[[NAMA BAHAN]:[MODAL SATUAN]],4,FALSE)</f>
        <v>48</v>
      </c>
      <c r="K22" s="149">
        <f>VLOOKUP(TBLBAHANKELUAR[[#This Row],[KODE BAHAN]],[4]!TBLKEBABSOSYAMKECIL[#Data],10,FALSE)</f>
        <v>5</v>
      </c>
      <c r="L22" s="105">
        <f>SUMIF(TBLPRODUKKELUARJUNI[NAMA PRODUK],TBLBAHANKELUAR[[#This Row],[NAMA PRODUK]],TBLPRODUKKELUARJUNI[JUMLAH TERJUAL])</f>
        <v>3</v>
      </c>
      <c r="M22" s="105">
        <f>TBLBAHANKELUAR[[#This Row],[KEB. BAHAN]]*TBLBAHANKELUAR[[#This Row],[JUMLAH KEB. BAHAN KELUAR]]</f>
        <v>15</v>
      </c>
      <c r="N22" s="104">
        <f>TBLBAHANKELUAR[[#This Row],[MODAL SATUAN]]*TBLBAHANKELUAR[[#This Row],[TOTAL BAHAN KELUAR]]</f>
        <v>720</v>
      </c>
    </row>
    <row r="23" spans="1:14" x14ac:dyDescent="0.3">
      <c r="A23" s="103">
        <v>2026</v>
      </c>
      <c r="B23" s="103" t="s">
        <v>577</v>
      </c>
      <c r="C23" s="103"/>
      <c r="D23" s="103"/>
      <c r="E23" s="18" t="s">
        <v>374</v>
      </c>
      <c r="F23" s="119">
        <v>4</v>
      </c>
      <c r="G23" s="145" t="str">
        <f>VLOOKUP(TBLBAHANKELUAR[[#This Row],[KODE BAHAN]],[4]!TBLKEBABSOSYAMKECIL[#Data],2,FALSE)</f>
        <v>MAYONAIS GRAM</v>
      </c>
      <c r="H23" s="104">
        <f>VLOOKUP(TBLBAHANKELUAR[[#This Row],[NAMA BAHAN]],TBLREKAPBAHAN[[NAMA BAHAN]:[MODAL SATUAN]],2,FALSE)</f>
        <v>50000</v>
      </c>
      <c r="I23" s="104">
        <f>VLOOKUP(TBLBAHANKELUAR[[#This Row],[NAMA BAHAN]],TBLREKAPBAHAN[[NAMA BAHAN]:[MODAL SATUAN]],3,FALSE)</f>
        <v>1000</v>
      </c>
      <c r="J23" s="104">
        <f>VLOOKUP(TBLBAHANKELUAR[[#This Row],[NAMA BAHAN]],TBLREKAPBAHAN[[NAMA BAHAN]:[MODAL SATUAN]],4,FALSE)</f>
        <v>50</v>
      </c>
      <c r="K23" s="149">
        <f>VLOOKUP(TBLBAHANKELUAR[[#This Row],[KODE BAHAN]],[4]!TBLKEBABSOSYAMKECIL[#Data],10,FALSE)</f>
        <v>7</v>
      </c>
      <c r="L23" s="105">
        <f>SUMIF(TBLPRODUKKELUARJUNI[NAMA PRODUK],TBLBAHANKELUAR[[#This Row],[NAMA PRODUK]],TBLPRODUKKELUARJUNI[JUMLAH TERJUAL])</f>
        <v>3</v>
      </c>
      <c r="M23" s="105">
        <f>TBLBAHANKELUAR[[#This Row],[KEB. BAHAN]]*TBLBAHANKELUAR[[#This Row],[JUMLAH KEB. BAHAN KELUAR]]</f>
        <v>21</v>
      </c>
      <c r="N23" s="104">
        <f>TBLBAHANKELUAR[[#This Row],[MODAL SATUAN]]*TBLBAHANKELUAR[[#This Row],[TOTAL BAHAN KELUAR]]</f>
        <v>1050</v>
      </c>
    </row>
    <row r="24" spans="1:14" x14ac:dyDescent="0.3">
      <c r="A24" s="103">
        <v>2026</v>
      </c>
      <c r="B24" s="103" t="s">
        <v>577</v>
      </c>
      <c r="C24" s="103"/>
      <c r="D24" s="103"/>
      <c r="E24" s="18" t="s">
        <v>374</v>
      </c>
      <c r="F24" s="132">
        <v>5</v>
      </c>
      <c r="G24" s="145" t="str">
        <f>VLOOKUP(TBLBAHANKELUAR[[#This Row],[KODE BAHAN]],[4]!TBLKEBABSOSYAMKECIL[#Data],2,FALSE)</f>
        <v>SAOS SPAGHETI GRAM</v>
      </c>
      <c r="H24" s="104">
        <f>VLOOKUP(TBLBAHANKELUAR[[#This Row],[NAMA BAHAN]],TBLREKAPBAHAN[[NAMA BAHAN]:[MODAL SATUAN]],2,FALSE)</f>
        <v>12000</v>
      </c>
      <c r="I24" s="104">
        <f>VLOOKUP(TBLBAHANKELUAR[[#This Row],[NAMA BAHAN]],TBLREKAPBAHAN[[NAMA BAHAN]:[MODAL SATUAN]],3,FALSE)</f>
        <v>250</v>
      </c>
      <c r="J24" s="104">
        <f>VLOOKUP(TBLBAHANKELUAR[[#This Row],[NAMA BAHAN]],TBLREKAPBAHAN[[NAMA BAHAN]:[MODAL SATUAN]],4,FALSE)</f>
        <v>48</v>
      </c>
      <c r="K24" s="149">
        <f>VLOOKUP(TBLBAHANKELUAR[[#This Row],[KODE BAHAN]],[4]!TBLKEBABSOSYAMKECIL[#Data],10,FALSE)</f>
        <v>5</v>
      </c>
      <c r="L24" s="105">
        <f>SUMIF(TBLPRODUKKELUARJUNI[NAMA PRODUK],TBLBAHANKELUAR[[#This Row],[NAMA PRODUK]],TBLPRODUKKELUARJUNI[JUMLAH TERJUAL])</f>
        <v>3</v>
      </c>
      <c r="M24" s="105">
        <f>TBLBAHANKELUAR[[#This Row],[KEB. BAHAN]]*TBLBAHANKELUAR[[#This Row],[JUMLAH KEB. BAHAN KELUAR]]</f>
        <v>15</v>
      </c>
      <c r="N24" s="104">
        <f>TBLBAHANKELUAR[[#This Row],[MODAL SATUAN]]*TBLBAHANKELUAR[[#This Row],[TOTAL BAHAN KELUAR]]</f>
        <v>720</v>
      </c>
    </row>
    <row r="25" spans="1:14" x14ac:dyDescent="0.3">
      <c r="A25" s="103">
        <v>2026</v>
      </c>
      <c r="B25" s="103" t="s">
        <v>577</v>
      </c>
      <c r="C25" s="103"/>
      <c r="D25" s="103"/>
      <c r="E25" s="18" t="s">
        <v>374</v>
      </c>
      <c r="F25" s="132">
        <v>6</v>
      </c>
      <c r="G25" s="145" t="str">
        <f>VLOOKUP(TBLBAHANKELUAR[[#This Row],[KODE BAHAN]],[4]!TBLKEBABSOSYAMKECIL[#Data],2,FALSE)</f>
        <v>SOSIZ BATANG</v>
      </c>
      <c r="H25" s="104">
        <f>VLOOKUP(TBLBAHANKELUAR[[#This Row],[NAMA BAHAN]],TBLREKAPBAHAN[[NAMA BAHAN]:[MODAL SATUAN]],2,FALSE)</f>
        <v>35000</v>
      </c>
      <c r="I25" s="104">
        <f>VLOOKUP(TBLBAHANKELUAR[[#This Row],[NAMA BAHAN]],TBLREKAPBAHAN[[NAMA BAHAN]:[MODAL SATUAN]],3,FALSE)</f>
        <v>38</v>
      </c>
      <c r="J25" s="104">
        <f>VLOOKUP(TBLBAHANKELUAR[[#This Row],[NAMA BAHAN]],TBLREKAPBAHAN[[NAMA BAHAN]:[MODAL SATUAN]],4,FALSE)</f>
        <v>921.0526315789474</v>
      </c>
      <c r="K25" s="149">
        <f>VLOOKUP(TBLBAHANKELUAR[[#This Row],[KODE BAHAN]],[4]!TBLKEBABSOSYAMKECIL[#Data],10,FALSE)</f>
        <v>0.5</v>
      </c>
      <c r="L25" s="105">
        <f>SUMIF(TBLPRODUKKELUARJUNI[NAMA PRODUK],TBLBAHANKELUAR[[#This Row],[NAMA PRODUK]],TBLPRODUKKELUARJUNI[JUMLAH TERJUAL])</f>
        <v>3</v>
      </c>
      <c r="M25" s="105">
        <f>TBLBAHANKELUAR[[#This Row],[KEB. BAHAN]]*TBLBAHANKELUAR[[#This Row],[JUMLAH KEB. BAHAN KELUAR]]</f>
        <v>1.5</v>
      </c>
      <c r="N25" s="104">
        <f>TBLBAHANKELUAR[[#This Row],[MODAL SATUAN]]*TBLBAHANKELUAR[[#This Row],[TOTAL BAHAN KELUAR]]</f>
        <v>1381.578947368421</v>
      </c>
    </row>
    <row r="26" spans="1:14" x14ac:dyDescent="0.3">
      <c r="A26" s="103">
        <v>2026</v>
      </c>
      <c r="B26" s="103" t="s">
        <v>577</v>
      </c>
      <c r="C26" s="103"/>
      <c r="D26" s="103"/>
      <c r="E26" s="18" t="s">
        <v>374</v>
      </c>
      <c r="F26" s="119">
        <v>7</v>
      </c>
      <c r="G26" s="145" t="str">
        <f>VLOOKUP(TBLBAHANKELUAR[[#This Row],[KODE BAHAN]],[4]!TBLKEBABSOSYAMKECIL[#Data],2,FALSE)</f>
        <v>AYAM SUWIR</v>
      </c>
      <c r="H26" s="104">
        <f>VLOOKUP(TBLBAHANKELUAR[[#This Row],[NAMA BAHAN]],TBLREKAPBAHAN[[NAMA BAHAN]:[MODAL SATUAN]],2,FALSE)</f>
        <v>45000</v>
      </c>
      <c r="I26" s="104">
        <f>VLOOKUP(TBLBAHANKELUAR[[#This Row],[NAMA BAHAN]],TBLREKAPBAHAN[[NAMA BAHAN]:[MODAL SATUAN]],3,FALSE)</f>
        <v>400</v>
      </c>
      <c r="J26" s="104">
        <f>VLOOKUP(TBLBAHANKELUAR[[#This Row],[NAMA BAHAN]],TBLREKAPBAHAN[[NAMA BAHAN]:[MODAL SATUAN]],4,FALSE)</f>
        <v>112.5</v>
      </c>
      <c r="K26" s="149">
        <f>VLOOKUP(TBLBAHANKELUAR[[#This Row],[KODE BAHAN]],[4]!TBLKEBABSOSYAMKECIL[#Data],10,FALSE)</f>
        <v>12</v>
      </c>
      <c r="L26" s="105">
        <f>SUMIF(TBLPRODUKKELUARJUNI[NAMA PRODUK],TBLBAHANKELUAR[[#This Row],[NAMA PRODUK]],TBLPRODUKKELUARJUNI[JUMLAH TERJUAL])</f>
        <v>3</v>
      </c>
      <c r="M26" s="105">
        <f>TBLBAHANKELUAR[[#This Row],[KEB. BAHAN]]*TBLBAHANKELUAR[[#This Row],[JUMLAH KEB. BAHAN KELUAR]]</f>
        <v>36</v>
      </c>
      <c r="N26" s="104">
        <f>TBLBAHANKELUAR[[#This Row],[MODAL SATUAN]]*TBLBAHANKELUAR[[#This Row],[TOTAL BAHAN KELUAR]]</f>
        <v>4050</v>
      </c>
    </row>
    <row r="27" spans="1:14" x14ac:dyDescent="0.3">
      <c r="A27" s="103">
        <v>2026</v>
      </c>
      <c r="B27" s="103" t="s">
        <v>577</v>
      </c>
      <c r="C27" s="103"/>
      <c r="D27" s="103"/>
      <c r="E27" s="18" t="s">
        <v>374</v>
      </c>
      <c r="F27" s="119">
        <v>8</v>
      </c>
      <c r="G27" s="145" t="str">
        <f>VLOOKUP(TBLBAHANKELUAR[[#This Row],[KODE BAHAN]],[4]!TBLKEBABSOSYAMKECIL[#Data],2,FALSE)</f>
        <v>KULIT KEBAB 17/18 CM</v>
      </c>
      <c r="H27" s="104">
        <f>VLOOKUP(TBLBAHANKELUAR[[#This Row],[NAMA BAHAN]],TBLREKAPBAHAN[[NAMA BAHAN]:[MODAL SATUAN]],2,FALSE)</f>
        <v>27000</v>
      </c>
      <c r="I27" s="104">
        <f>VLOOKUP(TBLBAHANKELUAR[[#This Row],[NAMA BAHAN]],TBLREKAPBAHAN[[NAMA BAHAN]:[MODAL SATUAN]],3,FALSE)</f>
        <v>20</v>
      </c>
      <c r="J27" s="104">
        <f>VLOOKUP(TBLBAHANKELUAR[[#This Row],[NAMA BAHAN]],TBLREKAPBAHAN[[NAMA BAHAN]:[MODAL SATUAN]],4,FALSE)</f>
        <v>1350</v>
      </c>
      <c r="K27" s="149">
        <f>VLOOKUP(TBLBAHANKELUAR[[#This Row],[KODE BAHAN]],[4]!TBLKEBABSOSYAMKECIL[#Data],10,FALSE)</f>
        <v>1</v>
      </c>
      <c r="L27" s="105">
        <f>SUMIF(TBLPRODUKKELUARJUNI[NAMA PRODUK],TBLBAHANKELUAR[[#This Row],[NAMA PRODUK]],TBLPRODUKKELUARJUNI[JUMLAH TERJUAL])</f>
        <v>3</v>
      </c>
      <c r="M27" s="105">
        <f>TBLBAHANKELUAR[[#This Row],[KEB. BAHAN]]*TBLBAHANKELUAR[[#This Row],[JUMLAH KEB. BAHAN KELUAR]]</f>
        <v>3</v>
      </c>
      <c r="N27" s="104">
        <f>TBLBAHANKELUAR[[#This Row],[MODAL SATUAN]]*TBLBAHANKELUAR[[#This Row],[TOTAL BAHAN KELUAR]]</f>
        <v>4050</v>
      </c>
    </row>
    <row r="28" spans="1:14" x14ac:dyDescent="0.3">
      <c r="A28" s="103">
        <v>2026</v>
      </c>
      <c r="B28" s="103" t="s">
        <v>577</v>
      </c>
      <c r="C28" s="103"/>
      <c r="D28" s="103"/>
      <c r="E28" s="18" t="s">
        <v>374</v>
      </c>
      <c r="F28" s="132">
        <v>9</v>
      </c>
      <c r="G28" s="145" t="str">
        <f>VLOOKUP(TBLBAHANKELUAR[[#This Row],[KODE BAHAN]],[4]!TBLKEBABSOSYAMKECIL[#Data],2,FALSE)</f>
        <v>SLADA</v>
      </c>
      <c r="H28" s="104">
        <f>VLOOKUP(TBLBAHANKELUAR[[#This Row],[NAMA BAHAN]],TBLREKAPBAHAN[[NAMA BAHAN]:[MODAL SATUAN]],2,FALSE)</f>
        <v>60000</v>
      </c>
      <c r="I28" s="104">
        <f>VLOOKUP(TBLBAHANKELUAR[[#This Row],[NAMA BAHAN]],TBLREKAPBAHAN[[NAMA BAHAN]:[MODAL SATUAN]],3,FALSE)</f>
        <v>50</v>
      </c>
      <c r="J28" s="104">
        <f>VLOOKUP(TBLBAHANKELUAR[[#This Row],[NAMA BAHAN]],TBLREKAPBAHAN[[NAMA BAHAN]:[MODAL SATUAN]],4,FALSE)</f>
        <v>1200</v>
      </c>
      <c r="K28" s="149">
        <f>VLOOKUP(TBLBAHANKELUAR[[#This Row],[KODE BAHAN]],[4]!TBLKEBABSOSYAMKECIL[#Data],10,FALSE)</f>
        <v>1</v>
      </c>
      <c r="L28" s="105">
        <f>SUMIF(TBLPRODUKKELUARJUNI[NAMA PRODUK],TBLBAHANKELUAR[[#This Row],[NAMA PRODUK]],TBLPRODUKKELUARJUNI[JUMLAH TERJUAL])</f>
        <v>3</v>
      </c>
      <c r="M28" s="105">
        <f>TBLBAHANKELUAR[[#This Row],[KEB. BAHAN]]*TBLBAHANKELUAR[[#This Row],[JUMLAH KEB. BAHAN KELUAR]]</f>
        <v>3</v>
      </c>
      <c r="N28" s="104">
        <f>TBLBAHANKELUAR[[#This Row],[MODAL SATUAN]]*TBLBAHANKELUAR[[#This Row],[TOTAL BAHAN KELUAR]]</f>
        <v>3600</v>
      </c>
    </row>
    <row r="29" spans="1:14" x14ac:dyDescent="0.3">
      <c r="A29" s="103">
        <v>2026</v>
      </c>
      <c r="B29" s="103" t="s">
        <v>577</v>
      </c>
      <c r="C29" s="103"/>
      <c r="D29" s="103"/>
      <c r="E29" s="18" t="s">
        <v>374</v>
      </c>
      <c r="F29" s="132">
        <v>10</v>
      </c>
      <c r="G29" s="145" t="str">
        <f>VLOOKUP(TBLBAHANKELUAR[[#This Row],[KODE BAHAN]],[4]!TBLKEBABSOSYAMKECIL[#Data],2,FALSE)</f>
        <v>MENTEGA</v>
      </c>
      <c r="H29" s="104">
        <f>VLOOKUP(TBLBAHANKELUAR[[#This Row],[NAMA BAHAN]],TBLREKAPBAHAN[[NAMA BAHAN]:[MODAL SATUAN]],2,FALSE)</f>
        <v>35000</v>
      </c>
      <c r="I29" s="104">
        <f>VLOOKUP(TBLBAHANKELUAR[[#This Row],[NAMA BAHAN]],TBLREKAPBAHAN[[NAMA BAHAN]:[MODAL SATUAN]],3,FALSE)</f>
        <v>1000</v>
      </c>
      <c r="J29" s="104">
        <f>VLOOKUP(TBLBAHANKELUAR[[#This Row],[NAMA BAHAN]],TBLREKAPBAHAN[[NAMA BAHAN]:[MODAL SATUAN]],4,FALSE)</f>
        <v>35</v>
      </c>
      <c r="K29" s="149">
        <f>VLOOKUP(TBLBAHANKELUAR[[#This Row],[KODE BAHAN]],[4]!TBLKEBABSOSYAMKECIL[#Data],10,FALSE)</f>
        <v>10</v>
      </c>
      <c r="L29" s="105">
        <f>SUMIF(TBLPRODUKKELUARJUNI[NAMA PRODUK],TBLBAHANKELUAR[[#This Row],[NAMA PRODUK]],TBLPRODUKKELUARJUNI[JUMLAH TERJUAL])</f>
        <v>3</v>
      </c>
      <c r="M29" s="105">
        <f>TBLBAHANKELUAR[[#This Row],[KEB. BAHAN]]*TBLBAHANKELUAR[[#This Row],[JUMLAH KEB. BAHAN KELUAR]]</f>
        <v>30</v>
      </c>
      <c r="N29" s="104">
        <f>TBLBAHANKELUAR[[#This Row],[MODAL SATUAN]]*TBLBAHANKELUAR[[#This Row],[TOTAL BAHAN KELUAR]]</f>
        <v>1050</v>
      </c>
    </row>
    <row r="30" spans="1:14" x14ac:dyDescent="0.3">
      <c r="A30" s="103">
        <v>2026</v>
      </c>
      <c r="B30" s="103" t="s">
        <v>577</v>
      </c>
      <c r="C30" s="103"/>
      <c r="D30" s="103"/>
      <c r="E30" s="18" t="s">
        <v>374</v>
      </c>
      <c r="F30" s="119">
        <v>11</v>
      </c>
      <c r="G30" s="145" t="str">
        <f>VLOOKUP(TBLBAHANKELUAR[[#This Row],[KODE BAHAN]],[4]!TBLKEBABSOSYAMKECIL[#Data],2,FALSE)</f>
        <v>GAS ELPIJI</v>
      </c>
      <c r="H30" s="104">
        <f>VLOOKUP(TBLBAHANKELUAR[[#This Row],[NAMA BAHAN]],TBLREKAPBAHAN[[NAMA BAHAN]:[MODAL SATUAN]],2,FALSE)</f>
        <v>23000</v>
      </c>
      <c r="I30" s="104">
        <f>VLOOKUP(TBLBAHANKELUAR[[#This Row],[NAMA BAHAN]],TBLREKAPBAHAN[[NAMA BAHAN]:[MODAL SATUAN]],3,FALSE)</f>
        <v>3000</v>
      </c>
      <c r="J30" s="104">
        <f>VLOOKUP(TBLBAHANKELUAR[[#This Row],[NAMA BAHAN]],TBLREKAPBAHAN[[NAMA BAHAN]:[MODAL SATUAN]],4,FALSE)</f>
        <v>7.666666666666667</v>
      </c>
      <c r="K30" s="149">
        <f>VLOOKUP(TBLBAHANKELUAR[[#This Row],[KODE BAHAN]],[4]!TBLKEBABSOSYAMKECIL[#Data],10,FALSE)</f>
        <v>10</v>
      </c>
      <c r="L30" s="105">
        <f>SUMIF(TBLPRODUKKELUARJUNI[NAMA PRODUK],TBLBAHANKELUAR[[#This Row],[NAMA PRODUK]],TBLPRODUKKELUARJUNI[JUMLAH TERJUAL])</f>
        <v>3</v>
      </c>
      <c r="M30" s="105">
        <f>TBLBAHANKELUAR[[#This Row],[KEB. BAHAN]]*TBLBAHANKELUAR[[#This Row],[JUMLAH KEB. BAHAN KELUAR]]</f>
        <v>30</v>
      </c>
      <c r="N30" s="104">
        <f>TBLBAHANKELUAR[[#This Row],[MODAL SATUAN]]*TBLBAHANKELUAR[[#This Row],[TOTAL BAHAN KELUAR]]</f>
        <v>230</v>
      </c>
    </row>
    <row r="31" spans="1:14" x14ac:dyDescent="0.3">
      <c r="A31" s="103">
        <v>2026</v>
      </c>
      <c r="B31" s="103" t="s">
        <v>577</v>
      </c>
      <c r="C31" s="103"/>
      <c r="D31" s="103"/>
      <c r="E31" s="18" t="s">
        <v>374</v>
      </c>
      <c r="F31" s="132">
        <v>12</v>
      </c>
      <c r="G31" s="145" t="str">
        <f>VLOOKUP(TBLBAHANKELUAR[[#This Row],[KODE BAHAN]],[4]!TBLKEBABSOSYAMKECIL[#Data],2,FALSE)</f>
        <v>KERTAS KEBAB</v>
      </c>
      <c r="H31" s="104">
        <f>VLOOKUP(TBLBAHANKELUAR[[#This Row],[NAMA BAHAN]],TBLREKAPBAHAN[[NAMA BAHAN]:[MODAL SATUAN]],2,FALSE)</f>
        <v>25000</v>
      </c>
      <c r="I31" s="104">
        <f>VLOOKUP(TBLBAHANKELUAR[[#This Row],[NAMA BAHAN]],TBLREKAPBAHAN[[NAMA BAHAN]:[MODAL SATUAN]],3,FALSE)</f>
        <v>100</v>
      </c>
      <c r="J31" s="104">
        <f>VLOOKUP(TBLBAHANKELUAR[[#This Row],[NAMA BAHAN]],TBLREKAPBAHAN[[NAMA BAHAN]:[MODAL SATUAN]],4,FALSE)</f>
        <v>250</v>
      </c>
      <c r="K31" s="149">
        <f>VLOOKUP(TBLBAHANKELUAR[[#This Row],[KODE BAHAN]],[4]!TBLKEBABSOSYAMKECIL[#Data],10,FALSE)</f>
        <v>1</v>
      </c>
      <c r="L31" s="105">
        <f>SUMIF(TBLPRODUKKELUARJUNI[NAMA PRODUK],TBLBAHANKELUAR[[#This Row],[NAMA PRODUK]],TBLPRODUKKELUARJUNI[JUMLAH TERJUAL])</f>
        <v>3</v>
      </c>
      <c r="M31" s="105">
        <f>TBLBAHANKELUAR[[#This Row],[KEB. BAHAN]]*TBLBAHANKELUAR[[#This Row],[JUMLAH KEB. BAHAN KELUAR]]</f>
        <v>3</v>
      </c>
      <c r="N31" s="104">
        <f>TBLBAHANKELUAR[[#This Row],[MODAL SATUAN]]*TBLBAHANKELUAR[[#This Row],[TOTAL BAHAN KELUAR]]</f>
        <v>750</v>
      </c>
    </row>
    <row r="32" spans="1:14" x14ac:dyDescent="0.3">
      <c r="A32" s="103">
        <v>2026</v>
      </c>
      <c r="B32" s="103" t="s">
        <v>577</v>
      </c>
      <c r="C32" s="103"/>
      <c r="D32" s="103"/>
      <c r="E32" s="18" t="s">
        <v>374</v>
      </c>
      <c r="F32" s="132">
        <v>13</v>
      </c>
      <c r="G32" s="145" t="str">
        <f>VLOOKUP(TBLBAHANKELUAR[[#This Row],[KODE BAHAN]],[4]!TBLKEBABSOSYAMKECIL[#Data],2,FALSE)</f>
        <v>KRESEK 10 CM</v>
      </c>
      <c r="H32" s="104">
        <f>VLOOKUP(TBLBAHANKELUAR[[#This Row],[NAMA BAHAN]],TBLREKAPBAHAN[[NAMA BAHAN]:[MODAL SATUAN]],2,FALSE)</f>
        <v>5500</v>
      </c>
      <c r="I32" s="104">
        <f>VLOOKUP(TBLBAHANKELUAR[[#This Row],[NAMA BAHAN]],TBLREKAPBAHAN[[NAMA BAHAN]:[MODAL SATUAN]],3,FALSE)</f>
        <v>100</v>
      </c>
      <c r="J32" s="104">
        <f>VLOOKUP(TBLBAHANKELUAR[[#This Row],[NAMA BAHAN]],TBLREKAPBAHAN[[NAMA BAHAN]:[MODAL SATUAN]],4,FALSE)</f>
        <v>55</v>
      </c>
      <c r="K32" s="149">
        <f>VLOOKUP(TBLBAHANKELUAR[[#This Row],[KODE BAHAN]],[4]!TBLKEBABSOSYAMKECIL[#Data],10,FALSE)</f>
        <v>1</v>
      </c>
      <c r="L32" s="105">
        <f>SUMIF(TBLPRODUKKELUARJUNI[NAMA PRODUK],TBLBAHANKELUAR[[#This Row],[NAMA PRODUK]],TBLPRODUKKELUARJUNI[JUMLAH TERJUAL])</f>
        <v>3</v>
      </c>
      <c r="M32" s="105">
        <f>TBLBAHANKELUAR[[#This Row],[KEB. BAHAN]]*TBLBAHANKELUAR[[#This Row],[JUMLAH KEB. BAHAN KELUAR]]</f>
        <v>3</v>
      </c>
      <c r="N32" s="104">
        <f>TBLBAHANKELUAR[[#This Row],[MODAL SATUAN]]*TBLBAHANKELUAR[[#This Row],[TOTAL BAHAN KELUAR]]</f>
        <v>165</v>
      </c>
    </row>
    <row r="33" spans="1:14" x14ac:dyDescent="0.3">
      <c r="A33" s="103">
        <v>2026</v>
      </c>
      <c r="B33" s="103" t="s">
        <v>577</v>
      </c>
      <c r="C33" s="140"/>
      <c r="D33" s="140"/>
      <c r="E33" s="3" t="s">
        <v>378</v>
      </c>
      <c r="F33" s="141">
        <v>1</v>
      </c>
      <c r="G33" s="145" t="str">
        <f>VLOOKUP(TBLBAHANKELUAR[[#This Row],[KODE BAHAN]],[4]!TBLKEBABSOSYAMMEDIUM[#Data],2,FALSE)</f>
        <v>SAOS TOMAT GRAM</v>
      </c>
      <c r="H33" s="142">
        <f>VLOOKUP(TBLBAHANKELUAR[[#This Row],[NAMA BAHAN]],TBLREKAPBAHAN[[NAMA BAHAN]:[MODAL SATUAN]],2,FALSE)</f>
        <v>20000</v>
      </c>
      <c r="I33" s="142">
        <f>VLOOKUP(TBLBAHANKELUAR[[#This Row],[NAMA BAHAN]],TBLREKAPBAHAN[[NAMA BAHAN]:[MODAL SATUAN]],3,FALSE)</f>
        <v>1000</v>
      </c>
      <c r="J33" s="142">
        <f>VLOOKUP(TBLBAHANKELUAR[[#This Row],[NAMA BAHAN]],TBLREKAPBAHAN[[NAMA BAHAN]:[MODAL SATUAN]],4,FALSE)</f>
        <v>20</v>
      </c>
      <c r="K33" s="150">
        <f>VLOOKUP(TBLBAHANKELUAR[[#This Row],[KODE BAHAN]],[4]!TBLKEBABSOSYAMMEDIUM[#Data],10,FALSE)</f>
        <v>0</v>
      </c>
      <c r="L33" s="143">
        <f>SUMIF(TBLPRODUKKELUARJUNI[NAMA PRODUK],TBLBAHANKELUAR[[#This Row],[NAMA PRODUK]],TBLPRODUKKELUARJUNI[JUMLAH TERJUAL])</f>
        <v>2</v>
      </c>
      <c r="M33" s="143">
        <f>TBLBAHANKELUAR[[#This Row],[KEB. BAHAN]]*TBLBAHANKELUAR[[#This Row],[JUMLAH KEB. BAHAN KELUAR]]</f>
        <v>0</v>
      </c>
      <c r="N33" s="142">
        <f>TBLBAHANKELUAR[[#This Row],[MODAL SATUAN]]*TBLBAHANKELUAR[[#This Row],[TOTAL BAHAN KELUAR]]</f>
        <v>0</v>
      </c>
    </row>
    <row r="34" spans="1:14" x14ac:dyDescent="0.3">
      <c r="A34" s="103">
        <v>2026</v>
      </c>
      <c r="B34" s="103" t="s">
        <v>577</v>
      </c>
      <c r="C34" s="140"/>
      <c r="D34" s="140"/>
      <c r="E34" s="3" t="s">
        <v>378</v>
      </c>
      <c r="F34" s="141">
        <v>2</v>
      </c>
      <c r="G34" s="145" t="str">
        <f>VLOOKUP(TBLBAHANKELUAR[[#This Row],[KODE BAHAN]],[4]!TBLKEBABSOSYAMMEDIUM[#Data],2,FALSE)</f>
        <v>SAOS SAMBAL GRAM</v>
      </c>
      <c r="H34" s="142">
        <f>VLOOKUP(TBLBAHANKELUAR[[#This Row],[NAMA BAHAN]],TBLREKAPBAHAN[[NAMA BAHAN]:[MODAL SATUAN]],2,FALSE)</f>
        <v>18000</v>
      </c>
      <c r="I34" s="142">
        <f>VLOOKUP(TBLBAHANKELUAR[[#This Row],[NAMA BAHAN]],TBLREKAPBAHAN[[NAMA BAHAN]:[MODAL SATUAN]],3,FALSE)</f>
        <v>1000</v>
      </c>
      <c r="J34" s="142">
        <f>VLOOKUP(TBLBAHANKELUAR[[#This Row],[NAMA BAHAN]],TBLREKAPBAHAN[[NAMA BAHAN]:[MODAL SATUAN]],4,FALSE)</f>
        <v>18</v>
      </c>
      <c r="K34" s="150">
        <f>VLOOKUP(TBLBAHANKELUAR[[#This Row],[KODE BAHAN]],[4]!TBLKEBABSOSYAMMEDIUM[#Data],10,FALSE)</f>
        <v>25</v>
      </c>
      <c r="L34" s="143">
        <f>SUMIF(TBLPRODUKKELUARJUNI[NAMA PRODUK],TBLBAHANKELUAR[[#This Row],[NAMA PRODUK]],TBLPRODUKKELUARJUNI[JUMLAH TERJUAL])</f>
        <v>2</v>
      </c>
      <c r="M34" s="143">
        <f>TBLBAHANKELUAR[[#This Row],[KEB. BAHAN]]*TBLBAHANKELUAR[[#This Row],[JUMLAH KEB. BAHAN KELUAR]]</f>
        <v>50</v>
      </c>
      <c r="N34" s="142">
        <f>TBLBAHANKELUAR[[#This Row],[MODAL SATUAN]]*TBLBAHANKELUAR[[#This Row],[TOTAL BAHAN KELUAR]]</f>
        <v>900</v>
      </c>
    </row>
    <row r="35" spans="1:14" x14ac:dyDescent="0.3">
      <c r="A35" s="103">
        <v>2026</v>
      </c>
      <c r="B35" s="103" t="s">
        <v>577</v>
      </c>
      <c r="C35" s="140"/>
      <c r="D35" s="140"/>
      <c r="E35" s="3" t="s">
        <v>378</v>
      </c>
      <c r="F35" s="141">
        <v>3</v>
      </c>
      <c r="G35" s="145" t="str">
        <f>VLOOKUP(TBLBAHANKELUAR[[#This Row],[KODE BAHAN]],[4]!TBLKEBABSOSYAMMEDIUM[#Data],2,FALSE)</f>
        <v>SAOS BBQ GRAM</v>
      </c>
      <c r="H35" s="142">
        <f>VLOOKUP(TBLBAHANKELUAR[[#This Row],[NAMA BAHAN]],TBLREKAPBAHAN[[NAMA BAHAN]:[MODAL SATUAN]],2,FALSE)</f>
        <v>12000</v>
      </c>
      <c r="I35" s="142">
        <f>VLOOKUP(TBLBAHANKELUAR[[#This Row],[NAMA BAHAN]],TBLREKAPBAHAN[[NAMA BAHAN]:[MODAL SATUAN]],3,FALSE)</f>
        <v>250</v>
      </c>
      <c r="J35" s="142">
        <f>VLOOKUP(TBLBAHANKELUAR[[#This Row],[NAMA BAHAN]],TBLREKAPBAHAN[[NAMA BAHAN]:[MODAL SATUAN]],4,FALSE)</f>
        <v>48</v>
      </c>
      <c r="K35" s="150">
        <f>VLOOKUP(TBLBAHANKELUAR[[#This Row],[KODE BAHAN]],[4]!TBLKEBABSOSYAMMEDIUM[#Data],10,FALSE)</f>
        <v>7</v>
      </c>
      <c r="L35" s="143">
        <f>SUMIF(TBLPRODUKKELUARJUNI[NAMA PRODUK],TBLBAHANKELUAR[[#This Row],[NAMA PRODUK]],TBLPRODUKKELUARJUNI[JUMLAH TERJUAL])</f>
        <v>2</v>
      </c>
      <c r="M35" s="143">
        <f>TBLBAHANKELUAR[[#This Row],[KEB. BAHAN]]*TBLBAHANKELUAR[[#This Row],[JUMLAH KEB. BAHAN KELUAR]]</f>
        <v>14</v>
      </c>
      <c r="N35" s="142">
        <f>TBLBAHANKELUAR[[#This Row],[MODAL SATUAN]]*TBLBAHANKELUAR[[#This Row],[TOTAL BAHAN KELUAR]]</f>
        <v>672</v>
      </c>
    </row>
    <row r="36" spans="1:14" x14ac:dyDescent="0.3">
      <c r="A36" s="103">
        <v>2026</v>
      </c>
      <c r="B36" s="103" t="s">
        <v>577</v>
      </c>
      <c r="C36" s="140"/>
      <c r="D36" s="140"/>
      <c r="E36" s="3" t="s">
        <v>378</v>
      </c>
      <c r="F36" s="141">
        <v>4</v>
      </c>
      <c r="G36" s="145" t="str">
        <f>VLOOKUP(TBLBAHANKELUAR[[#This Row],[KODE BAHAN]],[4]!TBLKEBABSOSYAMMEDIUM[#Data],2,FALSE)</f>
        <v>MAYONAIS GRAM</v>
      </c>
      <c r="H36" s="142">
        <f>VLOOKUP(TBLBAHANKELUAR[[#This Row],[NAMA BAHAN]],TBLREKAPBAHAN[[NAMA BAHAN]:[MODAL SATUAN]],2,FALSE)</f>
        <v>50000</v>
      </c>
      <c r="I36" s="142">
        <f>VLOOKUP(TBLBAHANKELUAR[[#This Row],[NAMA BAHAN]],TBLREKAPBAHAN[[NAMA BAHAN]:[MODAL SATUAN]],3,FALSE)</f>
        <v>1000</v>
      </c>
      <c r="J36" s="142">
        <f>VLOOKUP(TBLBAHANKELUAR[[#This Row],[NAMA BAHAN]],TBLREKAPBAHAN[[NAMA BAHAN]:[MODAL SATUAN]],4,FALSE)</f>
        <v>50</v>
      </c>
      <c r="K36" s="150">
        <f>VLOOKUP(TBLBAHANKELUAR[[#This Row],[KODE BAHAN]],[4]!TBLKEBABSOSYAMMEDIUM[#Data],10,FALSE)</f>
        <v>10</v>
      </c>
      <c r="L36" s="143">
        <f>SUMIF(TBLPRODUKKELUARJUNI[NAMA PRODUK],TBLBAHANKELUAR[[#This Row],[NAMA PRODUK]],TBLPRODUKKELUARJUNI[JUMLAH TERJUAL])</f>
        <v>2</v>
      </c>
      <c r="M36" s="143">
        <f>TBLBAHANKELUAR[[#This Row],[KEB. BAHAN]]*TBLBAHANKELUAR[[#This Row],[JUMLAH KEB. BAHAN KELUAR]]</f>
        <v>20</v>
      </c>
      <c r="N36" s="142">
        <f>TBLBAHANKELUAR[[#This Row],[MODAL SATUAN]]*TBLBAHANKELUAR[[#This Row],[TOTAL BAHAN KELUAR]]</f>
        <v>1000</v>
      </c>
    </row>
    <row r="37" spans="1:14" x14ac:dyDescent="0.3">
      <c r="A37" s="103">
        <v>2026</v>
      </c>
      <c r="B37" s="103" t="s">
        <v>577</v>
      </c>
      <c r="C37" s="140"/>
      <c r="D37" s="140"/>
      <c r="E37" s="3" t="s">
        <v>378</v>
      </c>
      <c r="F37" s="141">
        <v>5</v>
      </c>
      <c r="G37" s="145" t="str">
        <f>VLOOKUP(TBLBAHANKELUAR[[#This Row],[KODE BAHAN]],[4]!TBLKEBABSOSYAMMEDIUM[#Data],2,FALSE)</f>
        <v>SAOS SPAGHETI GRAM</v>
      </c>
      <c r="H37" s="142">
        <f>VLOOKUP(TBLBAHANKELUAR[[#This Row],[NAMA BAHAN]],TBLREKAPBAHAN[[NAMA BAHAN]:[MODAL SATUAN]],2,FALSE)</f>
        <v>12000</v>
      </c>
      <c r="I37" s="142">
        <f>VLOOKUP(TBLBAHANKELUAR[[#This Row],[NAMA BAHAN]],TBLREKAPBAHAN[[NAMA BAHAN]:[MODAL SATUAN]],3,FALSE)</f>
        <v>250</v>
      </c>
      <c r="J37" s="142">
        <f>VLOOKUP(TBLBAHANKELUAR[[#This Row],[NAMA BAHAN]],TBLREKAPBAHAN[[NAMA BAHAN]:[MODAL SATUAN]],4,FALSE)</f>
        <v>48</v>
      </c>
      <c r="K37" s="150">
        <f>VLOOKUP(TBLBAHANKELUAR[[#This Row],[KODE BAHAN]],[4]!TBLKEBABSOSYAMMEDIUM[#Data],10,FALSE)</f>
        <v>7</v>
      </c>
      <c r="L37" s="143">
        <f>SUMIF(TBLPRODUKKELUARJUNI[NAMA PRODUK],TBLBAHANKELUAR[[#This Row],[NAMA PRODUK]],TBLPRODUKKELUARJUNI[JUMLAH TERJUAL])</f>
        <v>2</v>
      </c>
      <c r="M37" s="143">
        <f>TBLBAHANKELUAR[[#This Row],[KEB. BAHAN]]*TBLBAHANKELUAR[[#This Row],[JUMLAH KEB. BAHAN KELUAR]]</f>
        <v>14</v>
      </c>
      <c r="N37" s="142">
        <f>TBLBAHANKELUAR[[#This Row],[MODAL SATUAN]]*TBLBAHANKELUAR[[#This Row],[TOTAL BAHAN KELUAR]]</f>
        <v>672</v>
      </c>
    </row>
    <row r="38" spans="1:14" x14ac:dyDescent="0.3">
      <c r="A38" s="103">
        <v>2026</v>
      </c>
      <c r="B38" s="103" t="s">
        <v>577</v>
      </c>
      <c r="C38" s="140"/>
      <c r="D38" s="140"/>
      <c r="E38" s="3" t="s">
        <v>378</v>
      </c>
      <c r="F38" s="141">
        <v>6</v>
      </c>
      <c r="G38" s="145" t="str">
        <f>VLOOKUP(TBLBAHANKELUAR[[#This Row],[KODE BAHAN]],[4]!TBLKEBABSOSYAMMEDIUM[#Data],2,FALSE)</f>
        <v>SOSIZ BATANG</v>
      </c>
      <c r="H38" s="142">
        <f>VLOOKUP(TBLBAHANKELUAR[[#This Row],[NAMA BAHAN]],TBLREKAPBAHAN[[NAMA BAHAN]:[MODAL SATUAN]],2,FALSE)</f>
        <v>35000</v>
      </c>
      <c r="I38" s="142">
        <f>VLOOKUP(TBLBAHANKELUAR[[#This Row],[NAMA BAHAN]],TBLREKAPBAHAN[[NAMA BAHAN]:[MODAL SATUAN]],3,FALSE)</f>
        <v>38</v>
      </c>
      <c r="J38" s="142">
        <f>VLOOKUP(TBLBAHANKELUAR[[#This Row],[NAMA BAHAN]],TBLREKAPBAHAN[[NAMA BAHAN]:[MODAL SATUAN]],4,FALSE)</f>
        <v>921.0526315789474</v>
      </c>
      <c r="K38" s="150">
        <f>VLOOKUP(TBLBAHANKELUAR[[#This Row],[KODE BAHAN]],[4]!TBLKEBABSOSYAMMEDIUM[#Data],10,FALSE)</f>
        <v>1</v>
      </c>
      <c r="L38" s="143">
        <f>SUMIF(TBLPRODUKKELUARJUNI[NAMA PRODUK],TBLBAHANKELUAR[[#This Row],[NAMA PRODUK]],TBLPRODUKKELUARJUNI[JUMLAH TERJUAL])</f>
        <v>2</v>
      </c>
      <c r="M38" s="143">
        <f>TBLBAHANKELUAR[[#This Row],[KEB. BAHAN]]*TBLBAHANKELUAR[[#This Row],[JUMLAH KEB. BAHAN KELUAR]]</f>
        <v>2</v>
      </c>
      <c r="N38" s="142">
        <f>TBLBAHANKELUAR[[#This Row],[MODAL SATUAN]]*TBLBAHANKELUAR[[#This Row],[TOTAL BAHAN KELUAR]]</f>
        <v>1842.1052631578948</v>
      </c>
    </row>
    <row r="39" spans="1:14" x14ac:dyDescent="0.3">
      <c r="A39" s="103">
        <v>2026</v>
      </c>
      <c r="B39" s="103" t="s">
        <v>577</v>
      </c>
      <c r="C39" s="140"/>
      <c r="D39" s="140"/>
      <c r="E39" s="3" t="s">
        <v>378</v>
      </c>
      <c r="F39" s="141">
        <v>7</v>
      </c>
      <c r="G39" s="145" t="str">
        <f>VLOOKUP(TBLBAHANKELUAR[[#This Row],[KODE BAHAN]],[4]!TBLKEBABSOSYAMMEDIUM[#Data],2,FALSE)</f>
        <v>AYAM SUWIR</v>
      </c>
      <c r="H39" s="142">
        <f>VLOOKUP(TBLBAHANKELUAR[[#This Row],[NAMA BAHAN]],TBLREKAPBAHAN[[NAMA BAHAN]:[MODAL SATUAN]],2,FALSE)</f>
        <v>45000</v>
      </c>
      <c r="I39" s="142">
        <f>VLOOKUP(TBLBAHANKELUAR[[#This Row],[NAMA BAHAN]],TBLREKAPBAHAN[[NAMA BAHAN]:[MODAL SATUAN]],3,FALSE)</f>
        <v>400</v>
      </c>
      <c r="J39" s="142">
        <f>VLOOKUP(TBLBAHANKELUAR[[#This Row],[NAMA BAHAN]],TBLREKAPBAHAN[[NAMA BAHAN]:[MODAL SATUAN]],4,FALSE)</f>
        <v>112.5</v>
      </c>
      <c r="K39" s="150">
        <f>VLOOKUP(TBLBAHANKELUAR[[#This Row],[KODE BAHAN]],[4]!TBLKEBABSOSYAMMEDIUM[#Data],10,FALSE)</f>
        <v>20</v>
      </c>
      <c r="L39" s="143">
        <f>SUMIF(TBLPRODUKKELUARJUNI[NAMA PRODUK],TBLBAHANKELUAR[[#This Row],[NAMA PRODUK]],TBLPRODUKKELUARJUNI[JUMLAH TERJUAL])</f>
        <v>2</v>
      </c>
      <c r="M39" s="143">
        <f>TBLBAHANKELUAR[[#This Row],[KEB. BAHAN]]*TBLBAHANKELUAR[[#This Row],[JUMLAH KEB. BAHAN KELUAR]]</f>
        <v>40</v>
      </c>
      <c r="N39" s="142">
        <f>TBLBAHANKELUAR[[#This Row],[MODAL SATUAN]]*TBLBAHANKELUAR[[#This Row],[TOTAL BAHAN KELUAR]]</f>
        <v>4500</v>
      </c>
    </row>
    <row r="40" spans="1:14" x14ac:dyDescent="0.3">
      <c r="A40" s="103">
        <v>2026</v>
      </c>
      <c r="B40" s="103" t="s">
        <v>577</v>
      </c>
      <c r="C40" s="140"/>
      <c r="D40" s="140"/>
      <c r="E40" s="3" t="s">
        <v>378</v>
      </c>
      <c r="F40" s="141">
        <v>8</v>
      </c>
      <c r="G40" s="145" t="str">
        <f>VLOOKUP(TBLBAHANKELUAR[[#This Row],[KODE BAHAN]],[4]!TBLKEBABSOSYAMMEDIUM[#Data],2,FALSE)</f>
        <v>KULIT KEBAB 19/20 CM</v>
      </c>
      <c r="H40" s="142">
        <f>VLOOKUP(TBLBAHANKELUAR[[#This Row],[NAMA BAHAN]],TBLREKAPBAHAN[[NAMA BAHAN]:[MODAL SATUAN]],2,FALSE)</f>
        <v>29000</v>
      </c>
      <c r="I40" s="142">
        <f>VLOOKUP(TBLBAHANKELUAR[[#This Row],[NAMA BAHAN]],TBLREKAPBAHAN[[NAMA BAHAN]:[MODAL SATUAN]],3,FALSE)</f>
        <v>20</v>
      </c>
      <c r="J40" s="142">
        <f>VLOOKUP(TBLBAHANKELUAR[[#This Row],[NAMA BAHAN]],TBLREKAPBAHAN[[NAMA BAHAN]:[MODAL SATUAN]],4,FALSE)</f>
        <v>1450</v>
      </c>
      <c r="K40" s="150">
        <f>VLOOKUP(TBLBAHANKELUAR[[#This Row],[KODE BAHAN]],[4]!TBLKEBABSOSYAMMEDIUM[#Data],10,FALSE)</f>
        <v>1</v>
      </c>
      <c r="L40" s="143">
        <f>SUMIF(TBLPRODUKKELUARJUNI[NAMA PRODUK],TBLBAHANKELUAR[[#This Row],[NAMA PRODUK]],TBLPRODUKKELUARJUNI[JUMLAH TERJUAL])</f>
        <v>2</v>
      </c>
      <c r="M40" s="143">
        <f>TBLBAHANKELUAR[[#This Row],[KEB. BAHAN]]*TBLBAHANKELUAR[[#This Row],[JUMLAH KEB. BAHAN KELUAR]]</f>
        <v>2</v>
      </c>
      <c r="N40" s="142">
        <f>TBLBAHANKELUAR[[#This Row],[MODAL SATUAN]]*TBLBAHANKELUAR[[#This Row],[TOTAL BAHAN KELUAR]]</f>
        <v>2900</v>
      </c>
    </row>
    <row r="41" spans="1:14" x14ac:dyDescent="0.3">
      <c r="A41" s="103">
        <v>2026</v>
      </c>
      <c r="B41" s="103" t="s">
        <v>577</v>
      </c>
      <c r="C41" s="140"/>
      <c r="D41" s="140"/>
      <c r="E41" s="3" t="s">
        <v>378</v>
      </c>
      <c r="F41" s="141">
        <v>9</v>
      </c>
      <c r="G41" s="145" t="str">
        <f>VLOOKUP(TBLBAHANKELUAR[[#This Row],[KODE BAHAN]],[4]!TBLKEBABSOSYAMMEDIUM[#Data],2,FALSE)</f>
        <v>SLADA</v>
      </c>
      <c r="H41" s="142">
        <f>VLOOKUP(TBLBAHANKELUAR[[#This Row],[NAMA BAHAN]],TBLREKAPBAHAN[[NAMA BAHAN]:[MODAL SATUAN]],2,FALSE)</f>
        <v>60000</v>
      </c>
      <c r="I41" s="142">
        <f>VLOOKUP(TBLBAHANKELUAR[[#This Row],[NAMA BAHAN]],TBLREKAPBAHAN[[NAMA BAHAN]:[MODAL SATUAN]],3,FALSE)</f>
        <v>50</v>
      </c>
      <c r="J41" s="142">
        <f>VLOOKUP(TBLBAHANKELUAR[[#This Row],[NAMA BAHAN]],TBLREKAPBAHAN[[NAMA BAHAN]:[MODAL SATUAN]],4,FALSE)</f>
        <v>1200</v>
      </c>
      <c r="K41" s="150">
        <f>VLOOKUP(TBLBAHANKELUAR[[#This Row],[KODE BAHAN]],[4]!TBLKEBABSOSYAMMEDIUM[#Data],10,FALSE)</f>
        <v>1</v>
      </c>
      <c r="L41" s="143">
        <f>SUMIF(TBLPRODUKKELUARJUNI[NAMA PRODUK],TBLBAHANKELUAR[[#This Row],[NAMA PRODUK]],TBLPRODUKKELUARJUNI[JUMLAH TERJUAL])</f>
        <v>2</v>
      </c>
      <c r="M41" s="143">
        <f>TBLBAHANKELUAR[[#This Row],[KEB. BAHAN]]*TBLBAHANKELUAR[[#This Row],[JUMLAH KEB. BAHAN KELUAR]]</f>
        <v>2</v>
      </c>
      <c r="N41" s="142">
        <f>TBLBAHANKELUAR[[#This Row],[MODAL SATUAN]]*TBLBAHANKELUAR[[#This Row],[TOTAL BAHAN KELUAR]]</f>
        <v>2400</v>
      </c>
    </row>
    <row r="42" spans="1:14" x14ac:dyDescent="0.3">
      <c r="A42" s="103">
        <v>2026</v>
      </c>
      <c r="B42" s="103" t="s">
        <v>577</v>
      </c>
      <c r="C42" s="140"/>
      <c r="D42" s="140"/>
      <c r="E42" s="3" t="s">
        <v>378</v>
      </c>
      <c r="F42" s="141">
        <v>10</v>
      </c>
      <c r="G42" s="145" t="str">
        <f>VLOOKUP(TBLBAHANKELUAR[[#This Row],[KODE BAHAN]],[4]!TBLKEBABSOSYAMMEDIUM[#Data],2,FALSE)</f>
        <v>MENTEGA</v>
      </c>
      <c r="H42" s="142">
        <f>VLOOKUP(TBLBAHANKELUAR[[#This Row],[NAMA BAHAN]],TBLREKAPBAHAN[[NAMA BAHAN]:[MODAL SATUAN]],2,FALSE)</f>
        <v>35000</v>
      </c>
      <c r="I42" s="142">
        <f>VLOOKUP(TBLBAHANKELUAR[[#This Row],[NAMA BAHAN]],TBLREKAPBAHAN[[NAMA BAHAN]:[MODAL SATUAN]],3,FALSE)</f>
        <v>1000</v>
      </c>
      <c r="J42" s="142">
        <f>VLOOKUP(TBLBAHANKELUAR[[#This Row],[NAMA BAHAN]],TBLREKAPBAHAN[[NAMA BAHAN]:[MODAL SATUAN]],4,FALSE)</f>
        <v>35</v>
      </c>
      <c r="K42" s="150">
        <f>VLOOKUP(TBLBAHANKELUAR[[#This Row],[KODE BAHAN]],[4]!TBLKEBABSOSYAMMEDIUM[#Data],10,FALSE)</f>
        <v>10</v>
      </c>
      <c r="L42" s="143">
        <f>SUMIF(TBLPRODUKKELUARJUNI[NAMA PRODUK],TBLBAHANKELUAR[[#This Row],[NAMA PRODUK]],TBLPRODUKKELUARJUNI[JUMLAH TERJUAL])</f>
        <v>2</v>
      </c>
      <c r="M42" s="143">
        <f>TBLBAHANKELUAR[[#This Row],[KEB. BAHAN]]*TBLBAHANKELUAR[[#This Row],[JUMLAH KEB. BAHAN KELUAR]]</f>
        <v>20</v>
      </c>
      <c r="N42" s="142">
        <f>TBLBAHANKELUAR[[#This Row],[MODAL SATUAN]]*TBLBAHANKELUAR[[#This Row],[TOTAL BAHAN KELUAR]]</f>
        <v>700</v>
      </c>
    </row>
    <row r="43" spans="1:14" x14ac:dyDescent="0.3">
      <c r="A43" s="103">
        <v>2026</v>
      </c>
      <c r="B43" s="103" t="s">
        <v>577</v>
      </c>
      <c r="C43" s="140"/>
      <c r="D43" s="140"/>
      <c r="E43" s="3" t="s">
        <v>378</v>
      </c>
      <c r="F43" s="141">
        <v>11</v>
      </c>
      <c r="G43" s="145" t="str">
        <f>VLOOKUP(TBLBAHANKELUAR[[#This Row],[KODE BAHAN]],[4]!TBLKEBABSOSYAMMEDIUM[#Data],2,FALSE)</f>
        <v>GAS ELPIJI</v>
      </c>
      <c r="H43" s="142">
        <f>VLOOKUP(TBLBAHANKELUAR[[#This Row],[NAMA BAHAN]],TBLREKAPBAHAN[[NAMA BAHAN]:[MODAL SATUAN]],2,FALSE)</f>
        <v>23000</v>
      </c>
      <c r="I43" s="142">
        <f>VLOOKUP(TBLBAHANKELUAR[[#This Row],[NAMA BAHAN]],TBLREKAPBAHAN[[NAMA BAHAN]:[MODAL SATUAN]],3,FALSE)</f>
        <v>3000</v>
      </c>
      <c r="J43" s="142">
        <f>VLOOKUP(TBLBAHANKELUAR[[#This Row],[NAMA BAHAN]],TBLREKAPBAHAN[[NAMA BAHAN]:[MODAL SATUAN]],4,FALSE)</f>
        <v>7.666666666666667</v>
      </c>
      <c r="K43" s="150">
        <f>VLOOKUP(TBLBAHANKELUAR[[#This Row],[KODE BAHAN]],[4]!TBLKEBABSOSYAMMEDIUM[#Data],10,FALSE)</f>
        <v>10</v>
      </c>
      <c r="L43" s="143">
        <f>SUMIF(TBLPRODUKKELUARJUNI[NAMA PRODUK],TBLBAHANKELUAR[[#This Row],[NAMA PRODUK]],TBLPRODUKKELUARJUNI[JUMLAH TERJUAL])</f>
        <v>2</v>
      </c>
      <c r="M43" s="143">
        <f>TBLBAHANKELUAR[[#This Row],[KEB. BAHAN]]*TBLBAHANKELUAR[[#This Row],[JUMLAH KEB. BAHAN KELUAR]]</f>
        <v>20</v>
      </c>
      <c r="N43" s="142">
        <f>TBLBAHANKELUAR[[#This Row],[MODAL SATUAN]]*TBLBAHANKELUAR[[#This Row],[TOTAL BAHAN KELUAR]]</f>
        <v>153.33333333333334</v>
      </c>
    </row>
    <row r="44" spans="1:14" x14ac:dyDescent="0.3">
      <c r="A44" s="103">
        <v>2026</v>
      </c>
      <c r="B44" s="103" t="s">
        <v>577</v>
      </c>
      <c r="C44" s="140"/>
      <c r="D44" s="140"/>
      <c r="E44" s="3" t="s">
        <v>378</v>
      </c>
      <c r="F44" s="141">
        <v>12</v>
      </c>
      <c r="G44" s="145" t="str">
        <f>VLOOKUP(TBLBAHANKELUAR[[#This Row],[KODE BAHAN]],[4]!TBLKEBABSOSYAMMEDIUM[#Data],2,FALSE)</f>
        <v>KERTAS KEBAB</v>
      </c>
      <c r="H44" s="142">
        <f>VLOOKUP(TBLBAHANKELUAR[[#This Row],[NAMA BAHAN]],TBLREKAPBAHAN[[NAMA BAHAN]:[MODAL SATUAN]],2,FALSE)</f>
        <v>25000</v>
      </c>
      <c r="I44" s="142">
        <f>VLOOKUP(TBLBAHANKELUAR[[#This Row],[NAMA BAHAN]],TBLREKAPBAHAN[[NAMA BAHAN]:[MODAL SATUAN]],3,FALSE)</f>
        <v>100</v>
      </c>
      <c r="J44" s="142">
        <f>VLOOKUP(TBLBAHANKELUAR[[#This Row],[NAMA BAHAN]],TBLREKAPBAHAN[[NAMA BAHAN]:[MODAL SATUAN]],4,FALSE)</f>
        <v>250</v>
      </c>
      <c r="K44" s="150">
        <f>VLOOKUP(TBLBAHANKELUAR[[#This Row],[KODE BAHAN]],[4]!TBLKEBABSOSYAMMEDIUM[#Data],10,FALSE)</f>
        <v>1</v>
      </c>
      <c r="L44" s="143">
        <f>SUMIF(TBLPRODUKKELUARJUNI[NAMA PRODUK],TBLBAHANKELUAR[[#This Row],[NAMA PRODUK]],TBLPRODUKKELUARJUNI[JUMLAH TERJUAL])</f>
        <v>2</v>
      </c>
      <c r="M44" s="143">
        <f>TBLBAHANKELUAR[[#This Row],[KEB. BAHAN]]*TBLBAHANKELUAR[[#This Row],[JUMLAH KEB. BAHAN KELUAR]]</f>
        <v>2</v>
      </c>
      <c r="N44" s="142">
        <f>TBLBAHANKELUAR[[#This Row],[MODAL SATUAN]]*TBLBAHANKELUAR[[#This Row],[TOTAL BAHAN KELUAR]]</f>
        <v>500</v>
      </c>
    </row>
    <row r="45" spans="1:14" x14ac:dyDescent="0.3">
      <c r="A45" s="103">
        <v>2026</v>
      </c>
      <c r="B45" s="103" t="s">
        <v>577</v>
      </c>
      <c r="C45" s="140"/>
      <c r="D45" s="140"/>
      <c r="E45" s="3" t="s">
        <v>378</v>
      </c>
      <c r="F45" s="141">
        <v>13</v>
      </c>
      <c r="G45" s="145" t="str">
        <f>VLOOKUP(TBLBAHANKELUAR[[#This Row],[KODE BAHAN]],[4]!TBLKEBABSOSYAMMEDIUM[#Data],2,FALSE)</f>
        <v>KRESEK 10 CM</v>
      </c>
      <c r="H45" s="142">
        <f>VLOOKUP(TBLBAHANKELUAR[[#This Row],[NAMA BAHAN]],TBLREKAPBAHAN[[NAMA BAHAN]:[MODAL SATUAN]],2,FALSE)</f>
        <v>5500</v>
      </c>
      <c r="I45" s="142">
        <f>VLOOKUP(TBLBAHANKELUAR[[#This Row],[NAMA BAHAN]],TBLREKAPBAHAN[[NAMA BAHAN]:[MODAL SATUAN]],3,FALSE)</f>
        <v>100</v>
      </c>
      <c r="J45" s="142">
        <f>VLOOKUP(TBLBAHANKELUAR[[#This Row],[NAMA BAHAN]],TBLREKAPBAHAN[[NAMA BAHAN]:[MODAL SATUAN]],4,FALSE)</f>
        <v>55</v>
      </c>
      <c r="K45" s="150">
        <f>VLOOKUP(TBLBAHANKELUAR[[#This Row],[KODE BAHAN]],[4]!TBLKEBABSOSYAMMEDIUM[#Data],10,FALSE)</f>
        <v>1</v>
      </c>
      <c r="L45" s="143">
        <f>SUMIF(TBLPRODUKKELUARJUNI[NAMA PRODUK],TBLBAHANKELUAR[[#This Row],[NAMA PRODUK]],TBLPRODUKKELUARJUNI[JUMLAH TERJUAL])</f>
        <v>2</v>
      </c>
      <c r="M45" s="143">
        <f>TBLBAHANKELUAR[[#This Row],[KEB. BAHAN]]*TBLBAHANKELUAR[[#This Row],[JUMLAH KEB. BAHAN KELUAR]]</f>
        <v>2</v>
      </c>
      <c r="N45" s="142">
        <f>TBLBAHANKELUAR[[#This Row],[MODAL SATUAN]]*TBLBAHANKELUAR[[#This Row],[TOTAL BAHAN KELUAR]]</f>
        <v>110</v>
      </c>
    </row>
    <row r="46" spans="1:14" x14ac:dyDescent="0.3">
      <c r="A46" s="103">
        <v>2026</v>
      </c>
      <c r="B46" s="103" t="s">
        <v>577</v>
      </c>
      <c r="C46" s="211"/>
      <c r="D46" s="211"/>
      <c r="E46" s="3" t="s">
        <v>475</v>
      </c>
      <c r="F46" s="212">
        <v>1</v>
      </c>
      <c r="G46" s="213" t="str">
        <f>VLOOKUP(TBLBAHANKELUAR[[#This Row],[KODE BAHAN]],[4]!TBLKEBABAYAMMEDIUM[#Data],2,FALSE)</f>
        <v>SAOS TOMAT GRAM</v>
      </c>
      <c r="H46" s="214">
        <f>VLOOKUP(TBLBAHANKELUAR[[#This Row],[NAMA BAHAN]],TBLREKAPBAHAN[[NAMA BAHAN]:[MODAL SATUAN]],2,FALSE)</f>
        <v>20000</v>
      </c>
      <c r="I46" s="214">
        <f>VLOOKUP(TBLBAHANKELUAR[[#This Row],[NAMA BAHAN]],TBLREKAPBAHAN[[NAMA BAHAN]:[MODAL SATUAN]],3,FALSE)</f>
        <v>1000</v>
      </c>
      <c r="J46" s="214">
        <f>VLOOKUP(TBLBAHANKELUAR[[#This Row],[NAMA BAHAN]],TBLREKAPBAHAN[[NAMA BAHAN]:[MODAL SATUAN]],4,FALSE)</f>
        <v>20</v>
      </c>
      <c r="K46" s="150">
        <f>VLOOKUP(TBLBAHANKELUAR[[#This Row],[KODE BAHAN]],[4]!TBLKEBABAYAMMEDIUM[#Data],10,FALSE)</f>
        <v>0</v>
      </c>
      <c r="L46" s="215">
        <f>SUMIF(TBLPRODUKKELUARJUNI[NAMA PRODUK],TBLBAHANKELUAR[[#This Row],[NAMA PRODUK]],TBLPRODUKKELUARJUNI[JUMLAH TERJUAL])</f>
        <v>4</v>
      </c>
      <c r="M46" s="215">
        <f>TBLBAHANKELUAR[[#This Row],[KEB. BAHAN]]*TBLBAHANKELUAR[[#This Row],[JUMLAH KEB. BAHAN KELUAR]]</f>
        <v>0</v>
      </c>
      <c r="N46" s="214">
        <f>TBLBAHANKELUAR[[#This Row],[MODAL SATUAN]]*TBLBAHANKELUAR[[#This Row],[TOTAL BAHAN KELUAR]]</f>
        <v>0</v>
      </c>
    </row>
    <row r="47" spans="1:14" x14ac:dyDescent="0.3">
      <c r="A47" s="103">
        <v>2026</v>
      </c>
      <c r="B47" s="103" t="s">
        <v>577</v>
      </c>
      <c r="C47" s="211"/>
      <c r="D47" s="211"/>
      <c r="E47" s="3" t="s">
        <v>475</v>
      </c>
      <c r="F47" s="212">
        <v>2</v>
      </c>
      <c r="G47" s="213" t="str">
        <f>VLOOKUP(TBLBAHANKELUAR[[#This Row],[KODE BAHAN]],[4]!TBLKEBABAYAMMEDIUM[#Data],2,FALSE)</f>
        <v>SAOS SAMBAL GRAM</v>
      </c>
      <c r="H47" s="214">
        <f>VLOOKUP(TBLBAHANKELUAR[[#This Row],[NAMA BAHAN]],TBLREKAPBAHAN[[NAMA BAHAN]:[MODAL SATUAN]],2,FALSE)</f>
        <v>18000</v>
      </c>
      <c r="I47" s="214">
        <f>VLOOKUP(TBLBAHANKELUAR[[#This Row],[NAMA BAHAN]],TBLREKAPBAHAN[[NAMA BAHAN]:[MODAL SATUAN]],3,FALSE)</f>
        <v>1000</v>
      </c>
      <c r="J47" s="214">
        <f>VLOOKUP(TBLBAHANKELUAR[[#This Row],[NAMA BAHAN]],TBLREKAPBAHAN[[NAMA BAHAN]:[MODAL SATUAN]],4,FALSE)</f>
        <v>18</v>
      </c>
      <c r="K47" s="150">
        <f>VLOOKUP(TBLBAHANKELUAR[[#This Row],[KODE BAHAN]],[4]!TBLKEBABAYAMMEDIUM[#Data],10,FALSE)</f>
        <v>25</v>
      </c>
      <c r="L47" s="215">
        <f>SUMIF(TBLPRODUKKELUARJUNI[NAMA PRODUK],TBLBAHANKELUAR[[#This Row],[NAMA PRODUK]],TBLPRODUKKELUARJUNI[JUMLAH TERJUAL])</f>
        <v>4</v>
      </c>
      <c r="M47" s="215">
        <f>TBLBAHANKELUAR[[#This Row],[KEB. BAHAN]]*TBLBAHANKELUAR[[#This Row],[JUMLAH KEB. BAHAN KELUAR]]</f>
        <v>100</v>
      </c>
      <c r="N47" s="214">
        <f>TBLBAHANKELUAR[[#This Row],[MODAL SATUAN]]*TBLBAHANKELUAR[[#This Row],[TOTAL BAHAN KELUAR]]</f>
        <v>1800</v>
      </c>
    </row>
    <row r="48" spans="1:14" x14ac:dyDescent="0.3">
      <c r="A48" s="103">
        <v>2026</v>
      </c>
      <c r="B48" s="103" t="s">
        <v>577</v>
      </c>
      <c r="C48" s="211"/>
      <c r="D48" s="211"/>
      <c r="E48" s="3" t="s">
        <v>475</v>
      </c>
      <c r="F48" s="212">
        <v>3</v>
      </c>
      <c r="G48" s="213" t="str">
        <f>VLOOKUP(TBLBAHANKELUAR[[#This Row],[KODE BAHAN]],[4]!TBLKEBABAYAMMEDIUM[#Data],2,FALSE)</f>
        <v>SAOS BBQ GRAM</v>
      </c>
      <c r="H48" s="214">
        <f>VLOOKUP(TBLBAHANKELUAR[[#This Row],[NAMA BAHAN]],TBLREKAPBAHAN[[NAMA BAHAN]:[MODAL SATUAN]],2,FALSE)</f>
        <v>12000</v>
      </c>
      <c r="I48" s="214">
        <f>VLOOKUP(TBLBAHANKELUAR[[#This Row],[NAMA BAHAN]],TBLREKAPBAHAN[[NAMA BAHAN]:[MODAL SATUAN]],3,FALSE)</f>
        <v>250</v>
      </c>
      <c r="J48" s="214">
        <f>VLOOKUP(TBLBAHANKELUAR[[#This Row],[NAMA BAHAN]],TBLREKAPBAHAN[[NAMA BAHAN]:[MODAL SATUAN]],4,FALSE)</f>
        <v>48</v>
      </c>
      <c r="K48" s="150">
        <f>VLOOKUP(TBLBAHANKELUAR[[#This Row],[KODE BAHAN]],[4]!TBLKEBABAYAMMEDIUM[#Data],10,FALSE)</f>
        <v>7</v>
      </c>
      <c r="L48" s="215">
        <f>SUMIF(TBLPRODUKKELUARJUNI[NAMA PRODUK],TBLBAHANKELUAR[[#This Row],[NAMA PRODUK]],TBLPRODUKKELUARJUNI[JUMLAH TERJUAL])</f>
        <v>4</v>
      </c>
      <c r="M48" s="215">
        <f>TBLBAHANKELUAR[[#This Row],[KEB. BAHAN]]*TBLBAHANKELUAR[[#This Row],[JUMLAH KEB. BAHAN KELUAR]]</f>
        <v>28</v>
      </c>
      <c r="N48" s="214">
        <f>TBLBAHANKELUAR[[#This Row],[MODAL SATUAN]]*TBLBAHANKELUAR[[#This Row],[TOTAL BAHAN KELUAR]]</f>
        <v>1344</v>
      </c>
    </row>
    <row r="49" spans="1:14" x14ac:dyDescent="0.3">
      <c r="A49" s="103">
        <v>2026</v>
      </c>
      <c r="B49" s="103" t="s">
        <v>577</v>
      </c>
      <c r="C49" s="211"/>
      <c r="D49" s="211"/>
      <c r="E49" s="3" t="s">
        <v>475</v>
      </c>
      <c r="F49" s="212">
        <v>4</v>
      </c>
      <c r="G49" s="213" t="str">
        <f>VLOOKUP(TBLBAHANKELUAR[[#This Row],[KODE BAHAN]],[4]!TBLKEBABAYAMMEDIUM[#Data],2,FALSE)</f>
        <v>MAYONAIS GRAM</v>
      </c>
      <c r="H49" s="214">
        <f>VLOOKUP(TBLBAHANKELUAR[[#This Row],[NAMA BAHAN]],TBLREKAPBAHAN[[NAMA BAHAN]:[MODAL SATUAN]],2,FALSE)</f>
        <v>50000</v>
      </c>
      <c r="I49" s="214">
        <f>VLOOKUP(TBLBAHANKELUAR[[#This Row],[NAMA BAHAN]],TBLREKAPBAHAN[[NAMA BAHAN]:[MODAL SATUAN]],3,FALSE)</f>
        <v>1000</v>
      </c>
      <c r="J49" s="214">
        <f>VLOOKUP(TBLBAHANKELUAR[[#This Row],[NAMA BAHAN]],TBLREKAPBAHAN[[NAMA BAHAN]:[MODAL SATUAN]],4,FALSE)</f>
        <v>50</v>
      </c>
      <c r="K49" s="150">
        <f>VLOOKUP(TBLBAHANKELUAR[[#This Row],[KODE BAHAN]],[4]!TBLKEBABAYAMMEDIUM[#Data],10,FALSE)</f>
        <v>10</v>
      </c>
      <c r="L49" s="215">
        <f>SUMIF(TBLPRODUKKELUARJUNI[NAMA PRODUK],TBLBAHANKELUAR[[#This Row],[NAMA PRODUK]],TBLPRODUKKELUARJUNI[JUMLAH TERJUAL])</f>
        <v>4</v>
      </c>
      <c r="M49" s="215">
        <f>TBLBAHANKELUAR[[#This Row],[KEB. BAHAN]]*TBLBAHANKELUAR[[#This Row],[JUMLAH KEB. BAHAN KELUAR]]</f>
        <v>40</v>
      </c>
      <c r="N49" s="214">
        <f>TBLBAHANKELUAR[[#This Row],[MODAL SATUAN]]*TBLBAHANKELUAR[[#This Row],[TOTAL BAHAN KELUAR]]</f>
        <v>2000</v>
      </c>
    </row>
    <row r="50" spans="1:14" x14ac:dyDescent="0.3">
      <c r="A50" s="103">
        <v>2026</v>
      </c>
      <c r="B50" s="103" t="s">
        <v>577</v>
      </c>
      <c r="C50" s="211"/>
      <c r="D50" s="211"/>
      <c r="E50" s="3" t="s">
        <v>475</v>
      </c>
      <c r="F50" s="212">
        <v>5</v>
      </c>
      <c r="G50" s="213" t="str">
        <f>VLOOKUP(TBLBAHANKELUAR[[#This Row],[KODE BAHAN]],[4]!TBLKEBABAYAMMEDIUM[#Data],2,FALSE)</f>
        <v>SAOS SPAGHETI GRAM</v>
      </c>
      <c r="H50" s="214">
        <f>VLOOKUP(TBLBAHANKELUAR[[#This Row],[NAMA BAHAN]],TBLREKAPBAHAN[[NAMA BAHAN]:[MODAL SATUAN]],2,FALSE)</f>
        <v>12000</v>
      </c>
      <c r="I50" s="214">
        <f>VLOOKUP(TBLBAHANKELUAR[[#This Row],[NAMA BAHAN]],TBLREKAPBAHAN[[NAMA BAHAN]:[MODAL SATUAN]],3,FALSE)</f>
        <v>250</v>
      </c>
      <c r="J50" s="214">
        <f>VLOOKUP(TBLBAHANKELUAR[[#This Row],[NAMA BAHAN]],TBLREKAPBAHAN[[NAMA BAHAN]:[MODAL SATUAN]],4,FALSE)</f>
        <v>48</v>
      </c>
      <c r="K50" s="150">
        <f>VLOOKUP(TBLBAHANKELUAR[[#This Row],[KODE BAHAN]],[4]!TBLKEBABAYAMMEDIUM[#Data],10,FALSE)</f>
        <v>7</v>
      </c>
      <c r="L50" s="215">
        <f>SUMIF(TBLPRODUKKELUARJUNI[NAMA PRODUK],TBLBAHANKELUAR[[#This Row],[NAMA PRODUK]],TBLPRODUKKELUARJUNI[JUMLAH TERJUAL])</f>
        <v>4</v>
      </c>
      <c r="M50" s="215">
        <f>TBLBAHANKELUAR[[#This Row],[KEB. BAHAN]]*TBLBAHANKELUAR[[#This Row],[JUMLAH KEB. BAHAN KELUAR]]</f>
        <v>28</v>
      </c>
      <c r="N50" s="214">
        <f>TBLBAHANKELUAR[[#This Row],[MODAL SATUAN]]*TBLBAHANKELUAR[[#This Row],[TOTAL BAHAN KELUAR]]</f>
        <v>1344</v>
      </c>
    </row>
    <row r="51" spans="1:14" x14ac:dyDescent="0.3">
      <c r="A51" s="103">
        <v>2026</v>
      </c>
      <c r="B51" s="103" t="s">
        <v>577</v>
      </c>
      <c r="C51" s="211"/>
      <c r="D51" s="211"/>
      <c r="E51" s="3" t="s">
        <v>475</v>
      </c>
      <c r="F51" s="212">
        <v>6</v>
      </c>
      <c r="G51" s="213" t="str">
        <f>VLOOKUP(TBLBAHANKELUAR[[#This Row],[KODE BAHAN]],[4]!TBLKEBABAYAMMEDIUM[#Data],2,FALSE)</f>
        <v>AYAM SUWIR</v>
      </c>
      <c r="H51" s="214">
        <f>VLOOKUP(TBLBAHANKELUAR[[#This Row],[NAMA BAHAN]],TBLREKAPBAHAN[[NAMA BAHAN]:[MODAL SATUAN]],2,FALSE)</f>
        <v>45000</v>
      </c>
      <c r="I51" s="214">
        <f>VLOOKUP(TBLBAHANKELUAR[[#This Row],[NAMA BAHAN]],TBLREKAPBAHAN[[NAMA BAHAN]:[MODAL SATUAN]],3,FALSE)</f>
        <v>400</v>
      </c>
      <c r="J51" s="214">
        <f>VLOOKUP(TBLBAHANKELUAR[[#This Row],[NAMA BAHAN]],TBLREKAPBAHAN[[NAMA BAHAN]:[MODAL SATUAN]],4,FALSE)</f>
        <v>112.5</v>
      </c>
      <c r="K51" s="150">
        <f>VLOOKUP(TBLBAHANKELUAR[[#This Row],[KODE BAHAN]],[4]!TBLKEBABAYAMMEDIUM[#Data],10,FALSE)</f>
        <v>30</v>
      </c>
      <c r="L51" s="215">
        <f>SUMIF(TBLPRODUKKELUARJUNI[NAMA PRODUK],TBLBAHANKELUAR[[#This Row],[NAMA PRODUK]],TBLPRODUKKELUARJUNI[JUMLAH TERJUAL])</f>
        <v>4</v>
      </c>
      <c r="M51" s="215">
        <f>TBLBAHANKELUAR[[#This Row],[KEB. BAHAN]]*TBLBAHANKELUAR[[#This Row],[JUMLAH KEB. BAHAN KELUAR]]</f>
        <v>120</v>
      </c>
      <c r="N51" s="214">
        <f>TBLBAHANKELUAR[[#This Row],[MODAL SATUAN]]*TBLBAHANKELUAR[[#This Row],[TOTAL BAHAN KELUAR]]</f>
        <v>13500</v>
      </c>
    </row>
    <row r="52" spans="1:14" x14ac:dyDescent="0.3">
      <c r="A52" s="103">
        <v>2026</v>
      </c>
      <c r="B52" s="103" t="s">
        <v>577</v>
      </c>
      <c r="C52" s="211"/>
      <c r="D52" s="211"/>
      <c r="E52" s="3" t="s">
        <v>475</v>
      </c>
      <c r="F52" s="212">
        <v>7</v>
      </c>
      <c r="G52" s="213" t="str">
        <f>VLOOKUP(TBLBAHANKELUAR[[#This Row],[KODE BAHAN]],[4]!TBLKEBABAYAMMEDIUM[#Data],2,FALSE)</f>
        <v>KULIT KEBAB 19/20 CM</v>
      </c>
      <c r="H52" s="214">
        <f>VLOOKUP(TBLBAHANKELUAR[[#This Row],[NAMA BAHAN]],TBLREKAPBAHAN[[NAMA BAHAN]:[MODAL SATUAN]],2,FALSE)</f>
        <v>29000</v>
      </c>
      <c r="I52" s="214">
        <f>VLOOKUP(TBLBAHANKELUAR[[#This Row],[NAMA BAHAN]],TBLREKAPBAHAN[[NAMA BAHAN]:[MODAL SATUAN]],3,FALSE)</f>
        <v>20</v>
      </c>
      <c r="J52" s="214">
        <f>VLOOKUP(TBLBAHANKELUAR[[#This Row],[NAMA BAHAN]],TBLREKAPBAHAN[[NAMA BAHAN]:[MODAL SATUAN]],4,FALSE)</f>
        <v>1450</v>
      </c>
      <c r="K52" s="150">
        <f>VLOOKUP(TBLBAHANKELUAR[[#This Row],[KODE BAHAN]],[4]!TBLKEBABAYAMMEDIUM[#Data],10,FALSE)</f>
        <v>1</v>
      </c>
      <c r="L52" s="215">
        <f>SUMIF(TBLPRODUKKELUARJUNI[NAMA PRODUK],TBLBAHANKELUAR[[#This Row],[NAMA PRODUK]],TBLPRODUKKELUARJUNI[JUMLAH TERJUAL])</f>
        <v>4</v>
      </c>
      <c r="M52" s="215">
        <f>TBLBAHANKELUAR[[#This Row],[KEB. BAHAN]]*TBLBAHANKELUAR[[#This Row],[JUMLAH KEB. BAHAN KELUAR]]</f>
        <v>4</v>
      </c>
      <c r="N52" s="214">
        <f>TBLBAHANKELUAR[[#This Row],[MODAL SATUAN]]*TBLBAHANKELUAR[[#This Row],[TOTAL BAHAN KELUAR]]</f>
        <v>5800</v>
      </c>
    </row>
    <row r="53" spans="1:14" x14ac:dyDescent="0.3">
      <c r="A53" s="103">
        <v>2026</v>
      </c>
      <c r="B53" s="103" t="s">
        <v>577</v>
      </c>
      <c r="C53" s="211"/>
      <c r="D53" s="211"/>
      <c r="E53" s="3" t="s">
        <v>475</v>
      </c>
      <c r="F53" s="212">
        <v>8</v>
      </c>
      <c r="G53" s="213" t="str">
        <f>VLOOKUP(TBLBAHANKELUAR[[#This Row],[KODE BAHAN]],[4]!TBLKEBABAYAMMEDIUM[#Data],2,FALSE)</f>
        <v>SLADA</v>
      </c>
      <c r="H53" s="214">
        <f>VLOOKUP(TBLBAHANKELUAR[[#This Row],[NAMA BAHAN]],TBLREKAPBAHAN[[NAMA BAHAN]:[MODAL SATUAN]],2,FALSE)</f>
        <v>60000</v>
      </c>
      <c r="I53" s="214">
        <f>VLOOKUP(TBLBAHANKELUAR[[#This Row],[NAMA BAHAN]],TBLREKAPBAHAN[[NAMA BAHAN]:[MODAL SATUAN]],3,FALSE)</f>
        <v>50</v>
      </c>
      <c r="J53" s="214">
        <f>VLOOKUP(TBLBAHANKELUAR[[#This Row],[NAMA BAHAN]],TBLREKAPBAHAN[[NAMA BAHAN]:[MODAL SATUAN]],4,FALSE)</f>
        <v>1200</v>
      </c>
      <c r="K53" s="150">
        <f>VLOOKUP(TBLBAHANKELUAR[[#This Row],[KODE BAHAN]],[4]!TBLKEBABAYAMMEDIUM[#Data],10,FALSE)</f>
        <v>1</v>
      </c>
      <c r="L53" s="215">
        <f>SUMIF(TBLPRODUKKELUARJUNI[NAMA PRODUK],TBLBAHANKELUAR[[#This Row],[NAMA PRODUK]],TBLPRODUKKELUARJUNI[JUMLAH TERJUAL])</f>
        <v>4</v>
      </c>
      <c r="M53" s="215">
        <f>TBLBAHANKELUAR[[#This Row],[KEB. BAHAN]]*TBLBAHANKELUAR[[#This Row],[JUMLAH KEB. BAHAN KELUAR]]</f>
        <v>4</v>
      </c>
      <c r="N53" s="214">
        <f>TBLBAHANKELUAR[[#This Row],[MODAL SATUAN]]*TBLBAHANKELUAR[[#This Row],[TOTAL BAHAN KELUAR]]</f>
        <v>4800</v>
      </c>
    </row>
    <row r="54" spans="1:14" x14ac:dyDescent="0.3">
      <c r="A54" s="103">
        <v>2026</v>
      </c>
      <c r="B54" s="103" t="s">
        <v>577</v>
      </c>
      <c r="C54" s="211"/>
      <c r="D54" s="211"/>
      <c r="E54" s="3" t="s">
        <v>475</v>
      </c>
      <c r="F54" s="212">
        <v>9</v>
      </c>
      <c r="G54" s="213" t="str">
        <f>VLOOKUP(TBLBAHANKELUAR[[#This Row],[KODE BAHAN]],[4]!TBLKEBABAYAMMEDIUM[#Data],2,FALSE)</f>
        <v>MENTEGA</v>
      </c>
      <c r="H54" s="214">
        <f>VLOOKUP(TBLBAHANKELUAR[[#This Row],[NAMA BAHAN]],TBLREKAPBAHAN[[NAMA BAHAN]:[MODAL SATUAN]],2,FALSE)</f>
        <v>35000</v>
      </c>
      <c r="I54" s="214">
        <f>VLOOKUP(TBLBAHANKELUAR[[#This Row],[NAMA BAHAN]],TBLREKAPBAHAN[[NAMA BAHAN]:[MODAL SATUAN]],3,FALSE)</f>
        <v>1000</v>
      </c>
      <c r="J54" s="214">
        <f>VLOOKUP(TBLBAHANKELUAR[[#This Row],[NAMA BAHAN]],TBLREKAPBAHAN[[NAMA BAHAN]:[MODAL SATUAN]],4,FALSE)</f>
        <v>35</v>
      </c>
      <c r="K54" s="150">
        <f>VLOOKUP(TBLBAHANKELUAR[[#This Row],[KODE BAHAN]],[4]!TBLKEBABAYAMMEDIUM[#Data],10,FALSE)</f>
        <v>10</v>
      </c>
      <c r="L54" s="215">
        <f>SUMIF(TBLPRODUKKELUARJUNI[NAMA PRODUK],TBLBAHANKELUAR[[#This Row],[NAMA PRODUK]],TBLPRODUKKELUARJUNI[JUMLAH TERJUAL])</f>
        <v>4</v>
      </c>
      <c r="M54" s="215">
        <f>TBLBAHANKELUAR[[#This Row],[KEB. BAHAN]]*TBLBAHANKELUAR[[#This Row],[JUMLAH KEB. BAHAN KELUAR]]</f>
        <v>40</v>
      </c>
      <c r="N54" s="214">
        <f>TBLBAHANKELUAR[[#This Row],[MODAL SATUAN]]*TBLBAHANKELUAR[[#This Row],[TOTAL BAHAN KELUAR]]</f>
        <v>1400</v>
      </c>
    </row>
    <row r="55" spans="1:14" x14ac:dyDescent="0.3">
      <c r="A55" s="103">
        <v>2026</v>
      </c>
      <c r="B55" s="103" t="s">
        <v>577</v>
      </c>
      <c r="C55" s="211"/>
      <c r="D55" s="211"/>
      <c r="E55" s="3" t="s">
        <v>475</v>
      </c>
      <c r="F55" s="212">
        <v>10</v>
      </c>
      <c r="G55" s="213" t="str">
        <f>VLOOKUP(TBLBAHANKELUAR[[#This Row],[KODE BAHAN]],[4]!TBLKEBABAYAMMEDIUM[#Data],2,FALSE)</f>
        <v>GAS ELPIJI</v>
      </c>
      <c r="H55" s="214">
        <f>VLOOKUP(TBLBAHANKELUAR[[#This Row],[NAMA BAHAN]],TBLREKAPBAHAN[[NAMA BAHAN]:[MODAL SATUAN]],2,FALSE)</f>
        <v>23000</v>
      </c>
      <c r="I55" s="214">
        <f>VLOOKUP(TBLBAHANKELUAR[[#This Row],[NAMA BAHAN]],TBLREKAPBAHAN[[NAMA BAHAN]:[MODAL SATUAN]],3,FALSE)</f>
        <v>3000</v>
      </c>
      <c r="J55" s="214">
        <f>VLOOKUP(TBLBAHANKELUAR[[#This Row],[NAMA BAHAN]],TBLREKAPBAHAN[[NAMA BAHAN]:[MODAL SATUAN]],4,FALSE)</f>
        <v>7.666666666666667</v>
      </c>
      <c r="K55" s="150">
        <f>VLOOKUP(TBLBAHANKELUAR[[#This Row],[KODE BAHAN]],[4]!TBLKEBABAYAMMEDIUM[#Data],10,FALSE)</f>
        <v>10</v>
      </c>
      <c r="L55" s="215">
        <f>SUMIF(TBLPRODUKKELUARJUNI[NAMA PRODUK],TBLBAHANKELUAR[[#This Row],[NAMA PRODUK]],TBLPRODUKKELUARJUNI[JUMLAH TERJUAL])</f>
        <v>4</v>
      </c>
      <c r="M55" s="215">
        <f>TBLBAHANKELUAR[[#This Row],[KEB. BAHAN]]*TBLBAHANKELUAR[[#This Row],[JUMLAH KEB. BAHAN KELUAR]]</f>
        <v>40</v>
      </c>
      <c r="N55" s="214">
        <f>TBLBAHANKELUAR[[#This Row],[MODAL SATUAN]]*TBLBAHANKELUAR[[#This Row],[TOTAL BAHAN KELUAR]]</f>
        <v>306.66666666666669</v>
      </c>
    </row>
    <row r="56" spans="1:14" x14ac:dyDescent="0.3">
      <c r="A56" s="103">
        <v>2026</v>
      </c>
      <c r="B56" s="103" t="s">
        <v>577</v>
      </c>
      <c r="C56" s="211"/>
      <c r="D56" s="211"/>
      <c r="E56" s="3" t="s">
        <v>475</v>
      </c>
      <c r="F56" s="212">
        <v>11</v>
      </c>
      <c r="G56" s="213" t="str">
        <f>VLOOKUP(TBLBAHANKELUAR[[#This Row],[KODE BAHAN]],[4]!TBLKEBABAYAMMEDIUM[#Data],2,FALSE)</f>
        <v>KERTAS KEBAB</v>
      </c>
      <c r="H56" s="214">
        <f>VLOOKUP(TBLBAHANKELUAR[[#This Row],[NAMA BAHAN]],TBLREKAPBAHAN[[NAMA BAHAN]:[MODAL SATUAN]],2,FALSE)</f>
        <v>25000</v>
      </c>
      <c r="I56" s="214">
        <f>VLOOKUP(TBLBAHANKELUAR[[#This Row],[NAMA BAHAN]],TBLREKAPBAHAN[[NAMA BAHAN]:[MODAL SATUAN]],3,FALSE)</f>
        <v>100</v>
      </c>
      <c r="J56" s="214">
        <f>VLOOKUP(TBLBAHANKELUAR[[#This Row],[NAMA BAHAN]],TBLREKAPBAHAN[[NAMA BAHAN]:[MODAL SATUAN]],4,FALSE)</f>
        <v>250</v>
      </c>
      <c r="K56" s="150">
        <f>VLOOKUP(TBLBAHANKELUAR[[#This Row],[KODE BAHAN]],[4]!TBLKEBABAYAMMEDIUM[#Data],10,FALSE)</f>
        <v>1</v>
      </c>
      <c r="L56" s="215">
        <f>SUMIF(TBLPRODUKKELUARJUNI[NAMA PRODUK],TBLBAHANKELUAR[[#This Row],[NAMA PRODUK]],TBLPRODUKKELUARJUNI[JUMLAH TERJUAL])</f>
        <v>4</v>
      </c>
      <c r="M56" s="215">
        <f>TBLBAHANKELUAR[[#This Row],[KEB. BAHAN]]*TBLBAHANKELUAR[[#This Row],[JUMLAH KEB. BAHAN KELUAR]]</f>
        <v>4</v>
      </c>
      <c r="N56" s="214">
        <f>TBLBAHANKELUAR[[#This Row],[MODAL SATUAN]]*TBLBAHANKELUAR[[#This Row],[TOTAL BAHAN KELUAR]]</f>
        <v>1000</v>
      </c>
    </row>
    <row r="57" spans="1:14" x14ac:dyDescent="0.3">
      <c r="A57" s="103">
        <v>2026</v>
      </c>
      <c r="B57" s="103" t="s">
        <v>577</v>
      </c>
      <c r="C57" s="211"/>
      <c r="D57" s="211"/>
      <c r="E57" s="3" t="s">
        <v>475</v>
      </c>
      <c r="F57" s="212">
        <v>12</v>
      </c>
      <c r="G57" s="213" t="str">
        <f>VLOOKUP(TBLBAHANKELUAR[[#This Row],[KODE BAHAN]],[4]!TBLKEBABAYAMMEDIUM[#Data],2,FALSE)</f>
        <v>KRESEK 10 CM</v>
      </c>
      <c r="H57" s="214">
        <f>VLOOKUP(TBLBAHANKELUAR[[#This Row],[NAMA BAHAN]],TBLREKAPBAHAN[[NAMA BAHAN]:[MODAL SATUAN]],2,FALSE)</f>
        <v>5500</v>
      </c>
      <c r="I57" s="214">
        <f>VLOOKUP(TBLBAHANKELUAR[[#This Row],[NAMA BAHAN]],TBLREKAPBAHAN[[NAMA BAHAN]:[MODAL SATUAN]],3,FALSE)</f>
        <v>100</v>
      </c>
      <c r="J57" s="214">
        <f>VLOOKUP(TBLBAHANKELUAR[[#This Row],[NAMA BAHAN]],TBLREKAPBAHAN[[NAMA BAHAN]:[MODAL SATUAN]],4,FALSE)</f>
        <v>55</v>
      </c>
      <c r="K57" s="150">
        <f>VLOOKUP(TBLBAHANKELUAR[[#This Row],[KODE BAHAN]],[4]!TBLKEBABAYAMMEDIUM[#Data],10,FALSE)</f>
        <v>1</v>
      </c>
      <c r="L57" s="215">
        <f>SUMIF(TBLPRODUKKELUARJUNI[NAMA PRODUK],TBLBAHANKELUAR[[#This Row],[NAMA PRODUK]],TBLPRODUKKELUARJUNI[JUMLAH TERJUAL])</f>
        <v>4</v>
      </c>
      <c r="M57" s="215">
        <f>TBLBAHANKELUAR[[#This Row],[KEB. BAHAN]]*TBLBAHANKELUAR[[#This Row],[JUMLAH KEB. BAHAN KELUAR]]</f>
        <v>4</v>
      </c>
      <c r="N57" s="214">
        <f>TBLBAHANKELUAR[[#This Row],[MODAL SATUAN]]*TBLBAHANKELUAR[[#This Row],[TOTAL BAHAN KELUAR]]</f>
        <v>220</v>
      </c>
    </row>
    <row r="58" spans="1:14" x14ac:dyDescent="0.3">
      <c r="A58" s="103">
        <v>2026</v>
      </c>
      <c r="B58" s="103" t="s">
        <v>577</v>
      </c>
      <c r="C58" s="211"/>
      <c r="D58" s="211"/>
      <c r="E58" s="3" t="s">
        <v>474</v>
      </c>
      <c r="F58" s="212">
        <v>1</v>
      </c>
      <c r="G58" s="213" t="str">
        <f>VLOOKUP(TBLBAHANKELUAR[[#This Row],[KODE BAHAN]],[4]!TBLKEBABAYAMMEDIUM[#Data],2,FALSE)</f>
        <v>SAOS TOMAT GRAM</v>
      </c>
      <c r="H58" s="214">
        <f>VLOOKUP(TBLBAHANKELUAR[[#This Row],[NAMA BAHAN]],TBLREKAPBAHAN[[NAMA BAHAN]:[MODAL SATUAN]],2,FALSE)</f>
        <v>20000</v>
      </c>
      <c r="I58" s="214">
        <f>VLOOKUP(TBLBAHANKELUAR[[#This Row],[NAMA BAHAN]],TBLREKAPBAHAN[[NAMA BAHAN]:[MODAL SATUAN]],3,FALSE)</f>
        <v>1000</v>
      </c>
      <c r="J58" s="214">
        <f>VLOOKUP(TBLBAHANKELUAR[[#This Row],[NAMA BAHAN]],TBLREKAPBAHAN[[NAMA BAHAN]:[MODAL SATUAN]],4,FALSE)</f>
        <v>20</v>
      </c>
      <c r="K58" s="150">
        <f>VLOOKUP(TBLBAHANKELUAR[[#This Row],[KODE BAHAN]],[4]!TBLKEBABAYAMMEDIUM[#Data],8,FALSE)</f>
        <v>15</v>
      </c>
      <c r="L58" s="215">
        <f>SUMIF(TBLPRODUKKELUARJUNI[NAMA PRODUK],TBLBAHANKELUAR[[#This Row],[NAMA PRODUK]],TBLPRODUKKELUARJUNI[JUMLAH TERJUAL])</f>
        <v>1</v>
      </c>
      <c r="M58" s="215">
        <f>TBLBAHANKELUAR[[#This Row],[KEB. BAHAN]]*TBLBAHANKELUAR[[#This Row],[JUMLAH KEB. BAHAN KELUAR]]</f>
        <v>15</v>
      </c>
      <c r="N58" s="214">
        <f>TBLBAHANKELUAR[[#This Row],[MODAL SATUAN]]*TBLBAHANKELUAR[[#This Row],[TOTAL BAHAN KELUAR]]</f>
        <v>300</v>
      </c>
    </row>
    <row r="59" spans="1:14" x14ac:dyDescent="0.3">
      <c r="A59" s="103">
        <v>2026</v>
      </c>
      <c r="B59" s="103" t="s">
        <v>577</v>
      </c>
      <c r="C59" s="211"/>
      <c r="D59" s="211"/>
      <c r="E59" s="3" t="s">
        <v>474</v>
      </c>
      <c r="F59" s="212">
        <v>2</v>
      </c>
      <c r="G59" s="213" t="str">
        <f>VLOOKUP(TBLBAHANKELUAR[[#This Row],[KODE BAHAN]],[4]!TBLKEBABAYAMMEDIUM[#Data],2,FALSE)</f>
        <v>SAOS SAMBAL GRAM</v>
      </c>
      <c r="H59" s="214">
        <f>VLOOKUP(TBLBAHANKELUAR[[#This Row],[NAMA BAHAN]],TBLREKAPBAHAN[[NAMA BAHAN]:[MODAL SATUAN]],2,FALSE)</f>
        <v>18000</v>
      </c>
      <c r="I59" s="214">
        <f>VLOOKUP(TBLBAHANKELUAR[[#This Row],[NAMA BAHAN]],TBLREKAPBAHAN[[NAMA BAHAN]:[MODAL SATUAN]],3,FALSE)</f>
        <v>1000</v>
      </c>
      <c r="J59" s="214">
        <f>VLOOKUP(TBLBAHANKELUAR[[#This Row],[NAMA BAHAN]],TBLREKAPBAHAN[[NAMA BAHAN]:[MODAL SATUAN]],4,FALSE)</f>
        <v>18</v>
      </c>
      <c r="K59" s="150">
        <f>VLOOKUP(TBLBAHANKELUAR[[#This Row],[KODE BAHAN]],[4]!TBLKEBABAYAMMEDIUM[#Data],8,FALSE)</f>
        <v>0</v>
      </c>
      <c r="L59" s="215">
        <f>SUMIF(TBLPRODUKKELUARJUNI[NAMA PRODUK],TBLBAHANKELUAR[[#This Row],[NAMA PRODUK]],TBLPRODUKKELUARJUNI[JUMLAH TERJUAL])</f>
        <v>1</v>
      </c>
      <c r="M59" s="215">
        <f>TBLBAHANKELUAR[[#This Row],[KEB. BAHAN]]*TBLBAHANKELUAR[[#This Row],[JUMLAH KEB. BAHAN KELUAR]]</f>
        <v>0</v>
      </c>
      <c r="N59" s="214">
        <f>TBLBAHANKELUAR[[#This Row],[MODAL SATUAN]]*TBLBAHANKELUAR[[#This Row],[TOTAL BAHAN KELUAR]]</f>
        <v>0</v>
      </c>
    </row>
    <row r="60" spans="1:14" x14ac:dyDescent="0.3">
      <c r="A60" s="103">
        <v>2026</v>
      </c>
      <c r="B60" s="103" t="s">
        <v>577</v>
      </c>
      <c r="C60" s="211"/>
      <c r="D60" s="211"/>
      <c r="E60" s="3" t="s">
        <v>474</v>
      </c>
      <c r="F60" s="212">
        <v>3</v>
      </c>
      <c r="G60" s="213" t="str">
        <f>VLOOKUP(TBLBAHANKELUAR[[#This Row],[KODE BAHAN]],[4]!TBLKEBABAYAMMEDIUM[#Data],2,FALSE)</f>
        <v>SAOS BBQ GRAM</v>
      </c>
      <c r="H60" s="214">
        <f>VLOOKUP(TBLBAHANKELUAR[[#This Row],[NAMA BAHAN]],TBLREKAPBAHAN[[NAMA BAHAN]:[MODAL SATUAN]],2,FALSE)</f>
        <v>12000</v>
      </c>
      <c r="I60" s="214">
        <f>VLOOKUP(TBLBAHANKELUAR[[#This Row],[NAMA BAHAN]],TBLREKAPBAHAN[[NAMA BAHAN]:[MODAL SATUAN]],3,FALSE)</f>
        <v>250</v>
      </c>
      <c r="J60" s="214">
        <f>VLOOKUP(TBLBAHANKELUAR[[#This Row],[NAMA BAHAN]],TBLREKAPBAHAN[[NAMA BAHAN]:[MODAL SATUAN]],4,FALSE)</f>
        <v>48</v>
      </c>
      <c r="K60" s="150">
        <f>VLOOKUP(TBLBAHANKELUAR[[#This Row],[KODE BAHAN]],[4]!TBLKEBABAYAMMEDIUM[#Data],8,FALSE)</f>
        <v>7</v>
      </c>
      <c r="L60" s="215">
        <f>SUMIF(TBLPRODUKKELUARJUNI[NAMA PRODUK],TBLBAHANKELUAR[[#This Row],[NAMA PRODUK]],TBLPRODUKKELUARJUNI[JUMLAH TERJUAL])</f>
        <v>1</v>
      </c>
      <c r="M60" s="215">
        <f>TBLBAHANKELUAR[[#This Row],[KEB. BAHAN]]*TBLBAHANKELUAR[[#This Row],[JUMLAH KEB. BAHAN KELUAR]]</f>
        <v>7</v>
      </c>
      <c r="N60" s="214">
        <f>TBLBAHANKELUAR[[#This Row],[MODAL SATUAN]]*TBLBAHANKELUAR[[#This Row],[TOTAL BAHAN KELUAR]]</f>
        <v>336</v>
      </c>
    </row>
    <row r="61" spans="1:14" x14ac:dyDescent="0.3">
      <c r="A61" s="103">
        <v>2026</v>
      </c>
      <c r="B61" s="103" t="s">
        <v>577</v>
      </c>
      <c r="C61" s="211"/>
      <c r="D61" s="211"/>
      <c r="E61" s="3" t="s">
        <v>474</v>
      </c>
      <c r="F61" s="212">
        <v>4</v>
      </c>
      <c r="G61" s="213" t="str">
        <f>VLOOKUP(TBLBAHANKELUAR[[#This Row],[KODE BAHAN]],[4]!TBLKEBABAYAMMEDIUM[#Data],2,FALSE)</f>
        <v>MAYONAIS GRAM</v>
      </c>
      <c r="H61" s="214">
        <f>VLOOKUP(TBLBAHANKELUAR[[#This Row],[NAMA BAHAN]],TBLREKAPBAHAN[[NAMA BAHAN]:[MODAL SATUAN]],2,FALSE)</f>
        <v>50000</v>
      </c>
      <c r="I61" s="214">
        <f>VLOOKUP(TBLBAHANKELUAR[[#This Row],[NAMA BAHAN]],TBLREKAPBAHAN[[NAMA BAHAN]:[MODAL SATUAN]],3,FALSE)</f>
        <v>1000</v>
      </c>
      <c r="J61" s="214">
        <f>VLOOKUP(TBLBAHANKELUAR[[#This Row],[NAMA BAHAN]],TBLREKAPBAHAN[[NAMA BAHAN]:[MODAL SATUAN]],4,FALSE)</f>
        <v>50</v>
      </c>
      <c r="K61" s="150">
        <f>VLOOKUP(TBLBAHANKELUAR[[#This Row],[KODE BAHAN]],[4]!TBLKEBABAYAMMEDIUM[#Data],8,FALSE)</f>
        <v>15</v>
      </c>
      <c r="L61" s="215">
        <f>SUMIF(TBLPRODUKKELUARJUNI[NAMA PRODUK],TBLBAHANKELUAR[[#This Row],[NAMA PRODUK]],TBLPRODUKKELUARJUNI[JUMLAH TERJUAL])</f>
        <v>1</v>
      </c>
      <c r="M61" s="215">
        <f>TBLBAHANKELUAR[[#This Row],[KEB. BAHAN]]*TBLBAHANKELUAR[[#This Row],[JUMLAH KEB. BAHAN KELUAR]]</f>
        <v>15</v>
      </c>
      <c r="N61" s="214">
        <f>TBLBAHANKELUAR[[#This Row],[MODAL SATUAN]]*TBLBAHANKELUAR[[#This Row],[TOTAL BAHAN KELUAR]]</f>
        <v>750</v>
      </c>
    </row>
    <row r="62" spans="1:14" x14ac:dyDescent="0.3">
      <c r="A62" s="103">
        <v>2026</v>
      </c>
      <c r="B62" s="103" t="s">
        <v>577</v>
      </c>
      <c r="C62" s="211"/>
      <c r="D62" s="211"/>
      <c r="E62" s="3" t="s">
        <v>474</v>
      </c>
      <c r="F62" s="212">
        <v>5</v>
      </c>
      <c r="G62" s="213" t="str">
        <f>VLOOKUP(TBLBAHANKELUAR[[#This Row],[KODE BAHAN]],[4]!TBLKEBABAYAMMEDIUM[#Data],2,FALSE)</f>
        <v>SAOS SPAGHETI GRAM</v>
      </c>
      <c r="H62" s="214">
        <f>VLOOKUP(TBLBAHANKELUAR[[#This Row],[NAMA BAHAN]],TBLREKAPBAHAN[[NAMA BAHAN]:[MODAL SATUAN]],2,FALSE)</f>
        <v>12000</v>
      </c>
      <c r="I62" s="214">
        <f>VLOOKUP(TBLBAHANKELUAR[[#This Row],[NAMA BAHAN]],TBLREKAPBAHAN[[NAMA BAHAN]:[MODAL SATUAN]],3,FALSE)</f>
        <v>250</v>
      </c>
      <c r="J62" s="214">
        <f>VLOOKUP(TBLBAHANKELUAR[[#This Row],[NAMA BAHAN]],TBLREKAPBAHAN[[NAMA BAHAN]:[MODAL SATUAN]],4,FALSE)</f>
        <v>48</v>
      </c>
      <c r="K62" s="150">
        <f>VLOOKUP(TBLBAHANKELUAR[[#This Row],[KODE BAHAN]],[4]!TBLKEBABAYAMMEDIUM[#Data],8,FALSE)</f>
        <v>7</v>
      </c>
      <c r="L62" s="215">
        <f>SUMIF(TBLPRODUKKELUARJUNI[NAMA PRODUK],TBLBAHANKELUAR[[#This Row],[NAMA PRODUK]],TBLPRODUKKELUARJUNI[JUMLAH TERJUAL])</f>
        <v>1</v>
      </c>
      <c r="M62" s="215">
        <f>TBLBAHANKELUAR[[#This Row],[KEB. BAHAN]]*TBLBAHANKELUAR[[#This Row],[JUMLAH KEB. BAHAN KELUAR]]</f>
        <v>7</v>
      </c>
      <c r="N62" s="214">
        <f>TBLBAHANKELUAR[[#This Row],[MODAL SATUAN]]*TBLBAHANKELUAR[[#This Row],[TOTAL BAHAN KELUAR]]</f>
        <v>336</v>
      </c>
    </row>
    <row r="63" spans="1:14" x14ac:dyDescent="0.3">
      <c r="A63" s="103">
        <v>2026</v>
      </c>
      <c r="B63" s="103" t="s">
        <v>577</v>
      </c>
      <c r="C63" s="211"/>
      <c r="D63" s="211"/>
      <c r="E63" s="3" t="s">
        <v>474</v>
      </c>
      <c r="F63" s="212">
        <v>6</v>
      </c>
      <c r="G63" s="213" t="str">
        <f>VLOOKUP(TBLBAHANKELUAR[[#This Row],[KODE BAHAN]],[4]!TBLKEBABAYAMMEDIUM[#Data],2,FALSE)</f>
        <v>AYAM SUWIR</v>
      </c>
      <c r="H63" s="214">
        <f>VLOOKUP(TBLBAHANKELUAR[[#This Row],[NAMA BAHAN]],TBLREKAPBAHAN[[NAMA BAHAN]:[MODAL SATUAN]],2,FALSE)</f>
        <v>45000</v>
      </c>
      <c r="I63" s="214">
        <f>VLOOKUP(TBLBAHANKELUAR[[#This Row],[NAMA BAHAN]],TBLREKAPBAHAN[[NAMA BAHAN]:[MODAL SATUAN]],3,FALSE)</f>
        <v>400</v>
      </c>
      <c r="J63" s="214">
        <f>VLOOKUP(TBLBAHANKELUAR[[#This Row],[NAMA BAHAN]],TBLREKAPBAHAN[[NAMA BAHAN]:[MODAL SATUAN]],4,FALSE)</f>
        <v>112.5</v>
      </c>
      <c r="K63" s="150">
        <f>VLOOKUP(TBLBAHANKELUAR[[#This Row],[KODE BAHAN]],[4]!TBLKEBABAYAMMEDIUM[#Data],8,FALSE)</f>
        <v>30</v>
      </c>
      <c r="L63" s="215">
        <f>SUMIF(TBLPRODUKKELUARJUNI[NAMA PRODUK],TBLBAHANKELUAR[[#This Row],[NAMA PRODUK]],TBLPRODUKKELUARJUNI[JUMLAH TERJUAL])</f>
        <v>1</v>
      </c>
      <c r="M63" s="215">
        <f>TBLBAHANKELUAR[[#This Row],[KEB. BAHAN]]*TBLBAHANKELUAR[[#This Row],[JUMLAH KEB. BAHAN KELUAR]]</f>
        <v>30</v>
      </c>
      <c r="N63" s="214">
        <f>TBLBAHANKELUAR[[#This Row],[MODAL SATUAN]]*TBLBAHANKELUAR[[#This Row],[TOTAL BAHAN KELUAR]]</f>
        <v>3375</v>
      </c>
    </row>
    <row r="64" spans="1:14" x14ac:dyDescent="0.3">
      <c r="A64" s="103">
        <v>2026</v>
      </c>
      <c r="B64" s="103" t="s">
        <v>577</v>
      </c>
      <c r="C64" s="211"/>
      <c r="D64" s="211"/>
      <c r="E64" s="3" t="s">
        <v>474</v>
      </c>
      <c r="F64" s="212">
        <v>7</v>
      </c>
      <c r="G64" s="213" t="str">
        <f>VLOOKUP(TBLBAHANKELUAR[[#This Row],[KODE BAHAN]],[4]!TBLKEBABAYAMMEDIUM[#Data],2,FALSE)</f>
        <v>KULIT KEBAB 19/20 CM</v>
      </c>
      <c r="H64" s="214">
        <f>VLOOKUP(TBLBAHANKELUAR[[#This Row],[NAMA BAHAN]],TBLREKAPBAHAN[[NAMA BAHAN]:[MODAL SATUAN]],2,FALSE)</f>
        <v>29000</v>
      </c>
      <c r="I64" s="214">
        <f>VLOOKUP(TBLBAHANKELUAR[[#This Row],[NAMA BAHAN]],TBLREKAPBAHAN[[NAMA BAHAN]:[MODAL SATUAN]],3,FALSE)</f>
        <v>20</v>
      </c>
      <c r="J64" s="214">
        <f>VLOOKUP(TBLBAHANKELUAR[[#This Row],[NAMA BAHAN]],TBLREKAPBAHAN[[NAMA BAHAN]:[MODAL SATUAN]],4,FALSE)</f>
        <v>1450</v>
      </c>
      <c r="K64" s="150">
        <f>VLOOKUP(TBLBAHANKELUAR[[#This Row],[KODE BAHAN]],[4]!TBLKEBABAYAMMEDIUM[#Data],8,FALSE)</f>
        <v>1</v>
      </c>
      <c r="L64" s="215">
        <f>SUMIF(TBLPRODUKKELUARJUNI[NAMA PRODUK],TBLBAHANKELUAR[[#This Row],[NAMA PRODUK]],TBLPRODUKKELUARJUNI[JUMLAH TERJUAL])</f>
        <v>1</v>
      </c>
      <c r="M64" s="215">
        <f>TBLBAHANKELUAR[[#This Row],[KEB. BAHAN]]*TBLBAHANKELUAR[[#This Row],[JUMLAH KEB. BAHAN KELUAR]]</f>
        <v>1</v>
      </c>
      <c r="N64" s="214">
        <f>TBLBAHANKELUAR[[#This Row],[MODAL SATUAN]]*TBLBAHANKELUAR[[#This Row],[TOTAL BAHAN KELUAR]]</f>
        <v>1450</v>
      </c>
    </row>
    <row r="65" spans="1:14" x14ac:dyDescent="0.3">
      <c r="A65" s="103">
        <v>2026</v>
      </c>
      <c r="B65" s="103" t="s">
        <v>577</v>
      </c>
      <c r="C65" s="211"/>
      <c r="D65" s="211"/>
      <c r="E65" s="3" t="s">
        <v>474</v>
      </c>
      <c r="F65" s="212">
        <v>8</v>
      </c>
      <c r="G65" s="213" t="str">
        <f>VLOOKUP(TBLBAHANKELUAR[[#This Row],[KODE BAHAN]],[4]!TBLKEBABAYAMMEDIUM[#Data],2,FALSE)</f>
        <v>SLADA</v>
      </c>
      <c r="H65" s="214">
        <f>VLOOKUP(TBLBAHANKELUAR[[#This Row],[NAMA BAHAN]],TBLREKAPBAHAN[[NAMA BAHAN]:[MODAL SATUAN]],2,FALSE)</f>
        <v>60000</v>
      </c>
      <c r="I65" s="214">
        <f>VLOOKUP(TBLBAHANKELUAR[[#This Row],[NAMA BAHAN]],TBLREKAPBAHAN[[NAMA BAHAN]:[MODAL SATUAN]],3,FALSE)</f>
        <v>50</v>
      </c>
      <c r="J65" s="214">
        <f>VLOOKUP(TBLBAHANKELUAR[[#This Row],[NAMA BAHAN]],TBLREKAPBAHAN[[NAMA BAHAN]:[MODAL SATUAN]],4,FALSE)</f>
        <v>1200</v>
      </c>
      <c r="K65" s="150">
        <f>VLOOKUP(TBLBAHANKELUAR[[#This Row],[KODE BAHAN]],[4]!TBLKEBABAYAMMEDIUM[#Data],8,FALSE)</f>
        <v>1</v>
      </c>
      <c r="L65" s="215">
        <f>SUMIF(TBLPRODUKKELUARJUNI[NAMA PRODUK],TBLBAHANKELUAR[[#This Row],[NAMA PRODUK]],TBLPRODUKKELUARJUNI[JUMLAH TERJUAL])</f>
        <v>1</v>
      </c>
      <c r="M65" s="215">
        <f>TBLBAHANKELUAR[[#This Row],[KEB. BAHAN]]*TBLBAHANKELUAR[[#This Row],[JUMLAH KEB. BAHAN KELUAR]]</f>
        <v>1</v>
      </c>
      <c r="N65" s="214">
        <f>TBLBAHANKELUAR[[#This Row],[MODAL SATUAN]]*TBLBAHANKELUAR[[#This Row],[TOTAL BAHAN KELUAR]]</f>
        <v>1200</v>
      </c>
    </row>
    <row r="66" spans="1:14" x14ac:dyDescent="0.3">
      <c r="A66" s="103">
        <v>2026</v>
      </c>
      <c r="B66" s="103" t="s">
        <v>577</v>
      </c>
      <c r="C66" s="211"/>
      <c r="D66" s="211"/>
      <c r="E66" s="3" t="s">
        <v>474</v>
      </c>
      <c r="F66" s="212">
        <v>9</v>
      </c>
      <c r="G66" s="213" t="str">
        <f>VLOOKUP(TBLBAHANKELUAR[[#This Row],[KODE BAHAN]],[4]!TBLKEBABAYAMMEDIUM[#Data],2,FALSE)</f>
        <v>MENTEGA</v>
      </c>
      <c r="H66" s="214">
        <f>VLOOKUP(TBLBAHANKELUAR[[#This Row],[NAMA BAHAN]],TBLREKAPBAHAN[[NAMA BAHAN]:[MODAL SATUAN]],2,FALSE)</f>
        <v>35000</v>
      </c>
      <c r="I66" s="214">
        <f>VLOOKUP(TBLBAHANKELUAR[[#This Row],[NAMA BAHAN]],TBLREKAPBAHAN[[NAMA BAHAN]:[MODAL SATUAN]],3,FALSE)</f>
        <v>1000</v>
      </c>
      <c r="J66" s="214">
        <f>VLOOKUP(TBLBAHANKELUAR[[#This Row],[NAMA BAHAN]],TBLREKAPBAHAN[[NAMA BAHAN]:[MODAL SATUAN]],4,FALSE)</f>
        <v>35</v>
      </c>
      <c r="K66" s="150">
        <f>VLOOKUP(TBLBAHANKELUAR[[#This Row],[KODE BAHAN]],[4]!TBLKEBABAYAMMEDIUM[#Data],8,FALSE)</f>
        <v>10</v>
      </c>
      <c r="L66" s="215">
        <f>SUMIF(TBLPRODUKKELUARJUNI[NAMA PRODUK],TBLBAHANKELUAR[[#This Row],[NAMA PRODUK]],TBLPRODUKKELUARJUNI[JUMLAH TERJUAL])</f>
        <v>1</v>
      </c>
      <c r="M66" s="215">
        <f>TBLBAHANKELUAR[[#This Row],[KEB. BAHAN]]*TBLBAHANKELUAR[[#This Row],[JUMLAH KEB. BAHAN KELUAR]]</f>
        <v>10</v>
      </c>
      <c r="N66" s="214">
        <f>TBLBAHANKELUAR[[#This Row],[MODAL SATUAN]]*TBLBAHANKELUAR[[#This Row],[TOTAL BAHAN KELUAR]]</f>
        <v>350</v>
      </c>
    </row>
    <row r="67" spans="1:14" x14ac:dyDescent="0.3">
      <c r="A67" s="103">
        <v>2026</v>
      </c>
      <c r="B67" s="103" t="s">
        <v>577</v>
      </c>
      <c r="C67" s="211"/>
      <c r="D67" s="211"/>
      <c r="E67" s="3" t="s">
        <v>474</v>
      </c>
      <c r="F67" s="212">
        <v>10</v>
      </c>
      <c r="G67" s="213" t="str">
        <f>VLOOKUP(TBLBAHANKELUAR[[#This Row],[KODE BAHAN]],[4]!TBLKEBABAYAMMEDIUM[#Data],2,FALSE)</f>
        <v>GAS ELPIJI</v>
      </c>
      <c r="H67" s="214">
        <f>VLOOKUP(TBLBAHANKELUAR[[#This Row],[NAMA BAHAN]],TBLREKAPBAHAN[[NAMA BAHAN]:[MODAL SATUAN]],2,FALSE)</f>
        <v>23000</v>
      </c>
      <c r="I67" s="214">
        <f>VLOOKUP(TBLBAHANKELUAR[[#This Row],[NAMA BAHAN]],TBLREKAPBAHAN[[NAMA BAHAN]:[MODAL SATUAN]],3,FALSE)</f>
        <v>3000</v>
      </c>
      <c r="J67" s="214">
        <f>VLOOKUP(TBLBAHANKELUAR[[#This Row],[NAMA BAHAN]],TBLREKAPBAHAN[[NAMA BAHAN]:[MODAL SATUAN]],4,FALSE)</f>
        <v>7.666666666666667</v>
      </c>
      <c r="K67" s="150">
        <f>VLOOKUP(TBLBAHANKELUAR[[#This Row],[KODE BAHAN]],[4]!TBLKEBABAYAMMEDIUM[#Data],8,FALSE)</f>
        <v>10</v>
      </c>
      <c r="L67" s="215">
        <f>SUMIF(TBLPRODUKKELUARJUNI[NAMA PRODUK],TBLBAHANKELUAR[[#This Row],[NAMA PRODUK]],TBLPRODUKKELUARJUNI[JUMLAH TERJUAL])</f>
        <v>1</v>
      </c>
      <c r="M67" s="215">
        <f>TBLBAHANKELUAR[[#This Row],[KEB. BAHAN]]*TBLBAHANKELUAR[[#This Row],[JUMLAH KEB. BAHAN KELUAR]]</f>
        <v>10</v>
      </c>
      <c r="N67" s="214">
        <f>TBLBAHANKELUAR[[#This Row],[MODAL SATUAN]]*TBLBAHANKELUAR[[#This Row],[TOTAL BAHAN KELUAR]]</f>
        <v>76.666666666666671</v>
      </c>
    </row>
    <row r="68" spans="1:14" x14ac:dyDescent="0.3">
      <c r="A68" s="103">
        <v>2026</v>
      </c>
      <c r="B68" s="103" t="s">
        <v>577</v>
      </c>
      <c r="C68" s="211"/>
      <c r="D68" s="211"/>
      <c r="E68" s="3" t="s">
        <v>474</v>
      </c>
      <c r="F68" s="212">
        <v>11</v>
      </c>
      <c r="G68" s="213" t="str">
        <f>VLOOKUP(TBLBAHANKELUAR[[#This Row],[KODE BAHAN]],[4]!TBLKEBABAYAMMEDIUM[#Data],2,FALSE)</f>
        <v>KERTAS KEBAB</v>
      </c>
      <c r="H68" s="214">
        <f>VLOOKUP(TBLBAHANKELUAR[[#This Row],[NAMA BAHAN]],TBLREKAPBAHAN[[NAMA BAHAN]:[MODAL SATUAN]],2,FALSE)</f>
        <v>25000</v>
      </c>
      <c r="I68" s="214">
        <f>VLOOKUP(TBLBAHANKELUAR[[#This Row],[NAMA BAHAN]],TBLREKAPBAHAN[[NAMA BAHAN]:[MODAL SATUAN]],3,FALSE)</f>
        <v>100</v>
      </c>
      <c r="J68" s="214">
        <f>VLOOKUP(TBLBAHANKELUAR[[#This Row],[NAMA BAHAN]],TBLREKAPBAHAN[[NAMA BAHAN]:[MODAL SATUAN]],4,FALSE)</f>
        <v>250</v>
      </c>
      <c r="K68" s="150">
        <f>VLOOKUP(TBLBAHANKELUAR[[#This Row],[KODE BAHAN]],[4]!TBLKEBABAYAMMEDIUM[#Data],8,FALSE)</f>
        <v>1</v>
      </c>
      <c r="L68" s="215">
        <f>SUMIF(TBLPRODUKKELUARJUNI[NAMA PRODUK],TBLBAHANKELUAR[[#This Row],[NAMA PRODUK]],TBLPRODUKKELUARJUNI[JUMLAH TERJUAL])</f>
        <v>1</v>
      </c>
      <c r="M68" s="215">
        <f>TBLBAHANKELUAR[[#This Row],[KEB. BAHAN]]*TBLBAHANKELUAR[[#This Row],[JUMLAH KEB. BAHAN KELUAR]]</f>
        <v>1</v>
      </c>
      <c r="N68" s="214">
        <f>TBLBAHANKELUAR[[#This Row],[MODAL SATUAN]]*TBLBAHANKELUAR[[#This Row],[TOTAL BAHAN KELUAR]]</f>
        <v>250</v>
      </c>
    </row>
    <row r="69" spans="1:14" x14ac:dyDescent="0.3">
      <c r="A69" s="103">
        <v>2026</v>
      </c>
      <c r="B69" s="103" t="s">
        <v>577</v>
      </c>
      <c r="C69" s="211"/>
      <c r="D69" s="211"/>
      <c r="E69" s="3" t="s">
        <v>474</v>
      </c>
      <c r="F69" s="212">
        <v>12</v>
      </c>
      <c r="G69" s="213" t="str">
        <f>VLOOKUP(TBLBAHANKELUAR[[#This Row],[KODE BAHAN]],[4]!TBLKEBABAYAMMEDIUM[#Data],2,FALSE)</f>
        <v>KRESEK 10 CM</v>
      </c>
      <c r="H69" s="214">
        <f>VLOOKUP(TBLBAHANKELUAR[[#This Row],[NAMA BAHAN]],TBLREKAPBAHAN[[NAMA BAHAN]:[MODAL SATUAN]],2,FALSE)</f>
        <v>5500</v>
      </c>
      <c r="I69" s="214">
        <f>VLOOKUP(TBLBAHANKELUAR[[#This Row],[NAMA BAHAN]],TBLREKAPBAHAN[[NAMA BAHAN]:[MODAL SATUAN]],3,FALSE)</f>
        <v>100</v>
      </c>
      <c r="J69" s="214">
        <f>VLOOKUP(TBLBAHANKELUAR[[#This Row],[NAMA BAHAN]],TBLREKAPBAHAN[[NAMA BAHAN]:[MODAL SATUAN]],4,FALSE)</f>
        <v>55</v>
      </c>
      <c r="K69" s="150">
        <f>VLOOKUP(TBLBAHANKELUAR[[#This Row],[KODE BAHAN]],[4]!TBLKEBABAYAMMEDIUM[#Data],8,FALSE)</f>
        <v>1</v>
      </c>
      <c r="L69" s="215">
        <f>SUMIF(TBLPRODUKKELUARJUNI[NAMA PRODUK],TBLBAHANKELUAR[[#This Row],[NAMA PRODUK]],TBLPRODUKKELUARJUNI[JUMLAH TERJUAL])</f>
        <v>1</v>
      </c>
      <c r="M69" s="215">
        <f>TBLBAHANKELUAR[[#This Row],[KEB. BAHAN]]*TBLBAHANKELUAR[[#This Row],[JUMLAH KEB. BAHAN KELUAR]]</f>
        <v>1</v>
      </c>
      <c r="N69" s="214">
        <f>TBLBAHANKELUAR[[#This Row],[MODAL SATUAN]]*TBLBAHANKELUAR[[#This Row],[TOTAL BAHAN KELUAR]]</f>
        <v>55</v>
      </c>
    </row>
    <row r="70" spans="1:14" s="225" customFormat="1" x14ac:dyDescent="0.3">
      <c r="A70" s="218">
        <v>2026</v>
      </c>
      <c r="B70" s="219" t="s">
        <v>590</v>
      </c>
      <c r="C70" s="219"/>
      <c r="D70" s="219"/>
      <c r="E70" s="220" t="s">
        <v>377</v>
      </c>
      <c r="F70" s="221">
        <v>1</v>
      </c>
      <c r="G70" s="222" t="str">
        <f>VLOOKUP(TBLBAHANKELUAR[[#This Row],[KODE BAHAN]],[4]!TBLKEBABSOSYAMMEDIUM[#Data],2,FALSE)</f>
        <v>SAOS TOMAT GRAM</v>
      </c>
      <c r="H70" s="223">
        <f>VLOOKUP(TBLBAHANKELUAR[[#This Row],[NAMA BAHAN]],TBLREKAPBAHAN[[NAMA BAHAN]:[MODAL SATUAN]],2,FALSE)</f>
        <v>20000</v>
      </c>
      <c r="I70" s="223">
        <f>VLOOKUP(TBLBAHANKELUAR[[#This Row],[NAMA BAHAN]],TBLREKAPBAHAN[[NAMA BAHAN]:[MODAL SATUAN]],3,FALSE)</f>
        <v>1000</v>
      </c>
      <c r="J70" s="223">
        <f>VLOOKUP(TBLBAHANKELUAR[[#This Row],[NAMA BAHAN]],TBLREKAPBAHAN[[NAMA BAHAN]:[MODAL SATUAN]],4,FALSE)</f>
        <v>20</v>
      </c>
      <c r="K70" s="224">
        <f>VLOOKUP(TBLBAHANKELUAR[[#This Row],[KODE BAHAN]],[4]!TBLKEBABSOSYAMMEDIUM[#Data],8,FALSE)</f>
        <v>15</v>
      </c>
      <c r="L70" s="224">
        <f>SUMIF(TBLPRODUKKELUARJULI[NAMA PRODUK],TBLBAHANKELUAR[[#This Row],[NAMA PRODUK]],TBLPRODUKKELUARJULI[JUMLAH TERJUAL])</f>
        <v>9</v>
      </c>
      <c r="M70" s="224">
        <f>TBLBAHANKELUAR[[#This Row],[KEB. BAHAN]]*TBLBAHANKELUAR[[#This Row],[JUMLAH KEB. BAHAN KELUAR]]</f>
        <v>135</v>
      </c>
      <c r="N70" s="223">
        <f>TBLBAHANKELUAR[[#This Row],[MODAL SATUAN]]*TBLBAHANKELUAR[[#This Row],[TOTAL BAHAN KELUAR]]</f>
        <v>2700</v>
      </c>
    </row>
    <row r="71" spans="1:14" x14ac:dyDescent="0.3">
      <c r="A71" s="103">
        <v>2026</v>
      </c>
      <c r="B71" s="211" t="s">
        <v>590</v>
      </c>
      <c r="C71" s="211"/>
      <c r="D71" s="211"/>
      <c r="E71" s="3" t="s">
        <v>377</v>
      </c>
      <c r="F71" s="141">
        <v>2</v>
      </c>
      <c r="G71" s="213" t="str">
        <f>VLOOKUP(TBLBAHANKELUAR[[#This Row],[KODE BAHAN]],[4]!TBLKEBABSOSYAMMEDIUM[#Data],2,FALSE)</f>
        <v>SAOS SAMBAL GRAM</v>
      </c>
      <c r="H71" s="214">
        <f>VLOOKUP(TBLBAHANKELUAR[[#This Row],[NAMA BAHAN]],TBLREKAPBAHAN[[NAMA BAHAN]:[MODAL SATUAN]],2,FALSE)</f>
        <v>18000</v>
      </c>
      <c r="I71" s="214">
        <f>VLOOKUP(TBLBAHANKELUAR[[#This Row],[NAMA BAHAN]],TBLREKAPBAHAN[[NAMA BAHAN]:[MODAL SATUAN]],3,FALSE)</f>
        <v>1000</v>
      </c>
      <c r="J71" s="214">
        <f>VLOOKUP(TBLBAHANKELUAR[[#This Row],[NAMA BAHAN]],TBLREKAPBAHAN[[NAMA BAHAN]:[MODAL SATUAN]],4,FALSE)</f>
        <v>18</v>
      </c>
      <c r="K71" s="215">
        <f>VLOOKUP(TBLBAHANKELUAR[[#This Row],[KODE BAHAN]],[4]!TBLKEBABSOSYAMMEDIUM[#Data],8,FALSE)</f>
        <v>0</v>
      </c>
      <c r="L71" s="215">
        <f>SUMIF(TBLPRODUKKELUARJULI[NAMA PRODUK],TBLBAHANKELUAR[[#This Row],[NAMA PRODUK]],TBLPRODUKKELUARJULI[JUMLAH TERJUAL])</f>
        <v>9</v>
      </c>
      <c r="M71" s="215">
        <f>TBLBAHANKELUAR[[#This Row],[KEB. BAHAN]]*TBLBAHANKELUAR[[#This Row],[JUMLAH KEB. BAHAN KELUAR]]</f>
        <v>0</v>
      </c>
      <c r="N71" s="214">
        <f>TBLBAHANKELUAR[[#This Row],[MODAL SATUAN]]*TBLBAHANKELUAR[[#This Row],[TOTAL BAHAN KELUAR]]</f>
        <v>0</v>
      </c>
    </row>
    <row r="72" spans="1:14" x14ac:dyDescent="0.3">
      <c r="A72" s="103">
        <v>2026</v>
      </c>
      <c r="B72" s="211" t="s">
        <v>590</v>
      </c>
      <c r="C72" s="211"/>
      <c r="D72" s="211"/>
      <c r="E72" s="3" t="s">
        <v>377</v>
      </c>
      <c r="F72" s="141">
        <v>3</v>
      </c>
      <c r="G72" s="213" t="str">
        <f>VLOOKUP(TBLBAHANKELUAR[[#This Row],[KODE BAHAN]],[4]!TBLKEBABSOSYAMMEDIUM[#Data],2,FALSE)</f>
        <v>SAOS BBQ GRAM</v>
      </c>
      <c r="H72" s="214">
        <f>VLOOKUP(TBLBAHANKELUAR[[#This Row],[NAMA BAHAN]],TBLREKAPBAHAN[[NAMA BAHAN]:[MODAL SATUAN]],2,FALSE)</f>
        <v>12000</v>
      </c>
      <c r="I72" s="214">
        <f>VLOOKUP(TBLBAHANKELUAR[[#This Row],[NAMA BAHAN]],TBLREKAPBAHAN[[NAMA BAHAN]:[MODAL SATUAN]],3,FALSE)</f>
        <v>250</v>
      </c>
      <c r="J72" s="214">
        <f>VLOOKUP(TBLBAHANKELUAR[[#This Row],[NAMA BAHAN]],TBLREKAPBAHAN[[NAMA BAHAN]:[MODAL SATUAN]],4,FALSE)</f>
        <v>48</v>
      </c>
      <c r="K72" s="215">
        <f>VLOOKUP(TBLBAHANKELUAR[[#This Row],[KODE BAHAN]],[4]!TBLKEBABSOSYAMMEDIUM[#Data],8,FALSE)</f>
        <v>7</v>
      </c>
      <c r="L72" s="215">
        <f>SUMIF(TBLPRODUKKELUARJULI[NAMA PRODUK],TBLBAHANKELUAR[[#This Row],[NAMA PRODUK]],TBLPRODUKKELUARJULI[JUMLAH TERJUAL])</f>
        <v>9</v>
      </c>
      <c r="M72" s="215">
        <f>TBLBAHANKELUAR[[#This Row],[KEB. BAHAN]]*TBLBAHANKELUAR[[#This Row],[JUMLAH KEB. BAHAN KELUAR]]</f>
        <v>63</v>
      </c>
      <c r="N72" s="214">
        <f>TBLBAHANKELUAR[[#This Row],[MODAL SATUAN]]*TBLBAHANKELUAR[[#This Row],[TOTAL BAHAN KELUAR]]</f>
        <v>3024</v>
      </c>
    </row>
    <row r="73" spans="1:14" x14ac:dyDescent="0.3">
      <c r="A73" s="103">
        <v>2026</v>
      </c>
      <c r="B73" s="211" t="s">
        <v>590</v>
      </c>
      <c r="C73" s="211"/>
      <c r="D73" s="211"/>
      <c r="E73" s="3" t="s">
        <v>377</v>
      </c>
      <c r="F73" s="141">
        <v>4</v>
      </c>
      <c r="G73" s="213" t="str">
        <f>VLOOKUP(TBLBAHANKELUAR[[#This Row],[KODE BAHAN]],[4]!TBLKEBABSOSYAMMEDIUM[#Data],2,FALSE)</f>
        <v>MAYONAIS GRAM</v>
      </c>
      <c r="H73" s="214">
        <f>VLOOKUP(TBLBAHANKELUAR[[#This Row],[NAMA BAHAN]],TBLREKAPBAHAN[[NAMA BAHAN]:[MODAL SATUAN]],2,FALSE)</f>
        <v>50000</v>
      </c>
      <c r="I73" s="214">
        <f>VLOOKUP(TBLBAHANKELUAR[[#This Row],[NAMA BAHAN]],TBLREKAPBAHAN[[NAMA BAHAN]:[MODAL SATUAN]],3,FALSE)</f>
        <v>1000</v>
      </c>
      <c r="J73" s="214">
        <f>VLOOKUP(TBLBAHANKELUAR[[#This Row],[NAMA BAHAN]],TBLREKAPBAHAN[[NAMA BAHAN]:[MODAL SATUAN]],4,FALSE)</f>
        <v>50</v>
      </c>
      <c r="K73" s="215">
        <f>VLOOKUP(TBLBAHANKELUAR[[#This Row],[KODE BAHAN]],[4]!TBLKEBABSOSYAMMEDIUM[#Data],8,FALSE)</f>
        <v>15</v>
      </c>
      <c r="L73" s="215">
        <f>SUMIF(TBLPRODUKKELUARJULI[NAMA PRODUK],TBLBAHANKELUAR[[#This Row],[NAMA PRODUK]],TBLPRODUKKELUARJULI[JUMLAH TERJUAL])</f>
        <v>9</v>
      </c>
      <c r="M73" s="215">
        <f>TBLBAHANKELUAR[[#This Row],[KEB. BAHAN]]*TBLBAHANKELUAR[[#This Row],[JUMLAH KEB. BAHAN KELUAR]]</f>
        <v>135</v>
      </c>
      <c r="N73" s="214">
        <f>TBLBAHANKELUAR[[#This Row],[MODAL SATUAN]]*TBLBAHANKELUAR[[#This Row],[TOTAL BAHAN KELUAR]]</f>
        <v>6750</v>
      </c>
    </row>
    <row r="74" spans="1:14" x14ac:dyDescent="0.3">
      <c r="A74" s="103">
        <v>2026</v>
      </c>
      <c r="B74" s="211" t="s">
        <v>590</v>
      </c>
      <c r="C74" s="211"/>
      <c r="D74" s="211"/>
      <c r="E74" s="3" t="s">
        <v>377</v>
      </c>
      <c r="F74" s="141">
        <v>5</v>
      </c>
      <c r="G74" s="213" t="str">
        <f>VLOOKUP(TBLBAHANKELUAR[[#This Row],[KODE BAHAN]],[4]!TBLKEBABSOSYAMMEDIUM[#Data],2,FALSE)</f>
        <v>SAOS SPAGHETI GRAM</v>
      </c>
      <c r="H74" s="214">
        <f>VLOOKUP(TBLBAHANKELUAR[[#This Row],[NAMA BAHAN]],TBLREKAPBAHAN[[NAMA BAHAN]:[MODAL SATUAN]],2,FALSE)</f>
        <v>12000</v>
      </c>
      <c r="I74" s="214">
        <f>VLOOKUP(TBLBAHANKELUAR[[#This Row],[NAMA BAHAN]],TBLREKAPBAHAN[[NAMA BAHAN]:[MODAL SATUAN]],3,FALSE)</f>
        <v>250</v>
      </c>
      <c r="J74" s="214">
        <f>VLOOKUP(TBLBAHANKELUAR[[#This Row],[NAMA BAHAN]],TBLREKAPBAHAN[[NAMA BAHAN]:[MODAL SATUAN]],4,FALSE)</f>
        <v>48</v>
      </c>
      <c r="K74" s="215">
        <f>VLOOKUP(TBLBAHANKELUAR[[#This Row],[KODE BAHAN]],[4]!TBLKEBABSOSYAMMEDIUM[#Data],8,FALSE)</f>
        <v>7</v>
      </c>
      <c r="L74" s="215">
        <f>SUMIF(TBLPRODUKKELUARJULI[NAMA PRODUK],TBLBAHANKELUAR[[#This Row],[NAMA PRODUK]],TBLPRODUKKELUARJULI[JUMLAH TERJUAL])</f>
        <v>9</v>
      </c>
      <c r="M74" s="215">
        <f>TBLBAHANKELUAR[[#This Row],[KEB. BAHAN]]*TBLBAHANKELUAR[[#This Row],[JUMLAH KEB. BAHAN KELUAR]]</f>
        <v>63</v>
      </c>
      <c r="N74" s="214">
        <f>TBLBAHANKELUAR[[#This Row],[MODAL SATUAN]]*TBLBAHANKELUAR[[#This Row],[TOTAL BAHAN KELUAR]]</f>
        <v>3024</v>
      </c>
    </row>
    <row r="75" spans="1:14" x14ac:dyDescent="0.3">
      <c r="A75" s="103">
        <v>2026</v>
      </c>
      <c r="B75" s="211" t="s">
        <v>590</v>
      </c>
      <c r="C75" s="211"/>
      <c r="D75" s="211"/>
      <c r="E75" s="3" t="s">
        <v>377</v>
      </c>
      <c r="F75" s="141">
        <v>6</v>
      </c>
      <c r="G75" s="213" t="str">
        <f>VLOOKUP(TBLBAHANKELUAR[[#This Row],[KODE BAHAN]],[4]!TBLKEBABSOSYAMMEDIUM[#Data],2,FALSE)</f>
        <v>SOSIZ BATANG</v>
      </c>
      <c r="H75" s="214">
        <f>VLOOKUP(TBLBAHANKELUAR[[#This Row],[NAMA BAHAN]],TBLREKAPBAHAN[[NAMA BAHAN]:[MODAL SATUAN]],2,FALSE)</f>
        <v>35000</v>
      </c>
      <c r="I75" s="214">
        <f>VLOOKUP(TBLBAHANKELUAR[[#This Row],[NAMA BAHAN]],TBLREKAPBAHAN[[NAMA BAHAN]:[MODAL SATUAN]],3,FALSE)</f>
        <v>38</v>
      </c>
      <c r="J75" s="214">
        <f>VLOOKUP(TBLBAHANKELUAR[[#This Row],[NAMA BAHAN]],TBLREKAPBAHAN[[NAMA BAHAN]:[MODAL SATUAN]],4,FALSE)</f>
        <v>921.0526315789474</v>
      </c>
      <c r="K75" s="215">
        <f>VLOOKUP(TBLBAHANKELUAR[[#This Row],[KODE BAHAN]],[4]!TBLKEBABSOSYAMMEDIUM[#Data],8,FALSE)</f>
        <v>1</v>
      </c>
      <c r="L75" s="215">
        <f>SUMIF(TBLPRODUKKELUARJULI[NAMA PRODUK],TBLBAHANKELUAR[[#This Row],[NAMA PRODUK]],TBLPRODUKKELUARJULI[JUMLAH TERJUAL])</f>
        <v>9</v>
      </c>
      <c r="M75" s="215">
        <f>TBLBAHANKELUAR[[#This Row],[KEB. BAHAN]]*TBLBAHANKELUAR[[#This Row],[JUMLAH KEB. BAHAN KELUAR]]</f>
        <v>9</v>
      </c>
      <c r="N75" s="214">
        <f>TBLBAHANKELUAR[[#This Row],[MODAL SATUAN]]*TBLBAHANKELUAR[[#This Row],[TOTAL BAHAN KELUAR]]</f>
        <v>8289.4736842105267</v>
      </c>
    </row>
    <row r="76" spans="1:14" x14ac:dyDescent="0.3">
      <c r="A76" s="103">
        <v>2026</v>
      </c>
      <c r="B76" s="211" t="s">
        <v>590</v>
      </c>
      <c r="C76" s="211"/>
      <c r="D76" s="211"/>
      <c r="E76" s="3" t="s">
        <v>377</v>
      </c>
      <c r="F76" s="141">
        <v>7</v>
      </c>
      <c r="G76" s="213" t="str">
        <f>VLOOKUP(TBLBAHANKELUAR[[#This Row],[KODE BAHAN]],[4]!TBLKEBABSOSYAMMEDIUM[#Data],2,FALSE)</f>
        <v>AYAM SUWIR</v>
      </c>
      <c r="H76" s="214">
        <f>VLOOKUP(TBLBAHANKELUAR[[#This Row],[NAMA BAHAN]],TBLREKAPBAHAN[[NAMA BAHAN]:[MODAL SATUAN]],2,FALSE)</f>
        <v>45000</v>
      </c>
      <c r="I76" s="214">
        <f>VLOOKUP(TBLBAHANKELUAR[[#This Row],[NAMA BAHAN]],TBLREKAPBAHAN[[NAMA BAHAN]:[MODAL SATUAN]],3,FALSE)</f>
        <v>400</v>
      </c>
      <c r="J76" s="214">
        <f>VLOOKUP(TBLBAHANKELUAR[[#This Row],[NAMA BAHAN]],TBLREKAPBAHAN[[NAMA BAHAN]:[MODAL SATUAN]],4,FALSE)</f>
        <v>112.5</v>
      </c>
      <c r="K76" s="215">
        <f>VLOOKUP(TBLBAHANKELUAR[[#This Row],[KODE BAHAN]],[4]!TBLKEBABSOSYAMMEDIUM[#Data],8,FALSE)</f>
        <v>20</v>
      </c>
      <c r="L76" s="215">
        <f>SUMIF(TBLPRODUKKELUARJULI[NAMA PRODUK],TBLBAHANKELUAR[[#This Row],[NAMA PRODUK]],TBLPRODUKKELUARJULI[JUMLAH TERJUAL])</f>
        <v>9</v>
      </c>
      <c r="M76" s="215">
        <f>TBLBAHANKELUAR[[#This Row],[KEB. BAHAN]]*TBLBAHANKELUAR[[#This Row],[JUMLAH KEB. BAHAN KELUAR]]</f>
        <v>180</v>
      </c>
      <c r="N76" s="214">
        <f>TBLBAHANKELUAR[[#This Row],[MODAL SATUAN]]*TBLBAHANKELUAR[[#This Row],[TOTAL BAHAN KELUAR]]</f>
        <v>20250</v>
      </c>
    </row>
    <row r="77" spans="1:14" x14ac:dyDescent="0.3">
      <c r="A77" s="103">
        <v>2026</v>
      </c>
      <c r="B77" s="211" t="s">
        <v>590</v>
      </c>
      <c r="C77" s="211"/>
      <c r="D77" s="211"/>
      <c r="E77" s="3" t="s">
        <v>377</v>
      </c>
      <c r="F77" s="141">
        <v>8</v>
      </c>
      <c r="G77" s="213" t="str">
        <f>VLOOKUP(TBLBAHANKELUAR[[#This Row],[KODE BAHAN]],[4]!TBLKEBABSOSYAMMEDIUM[#Data],2,FALSE)</f>
        <v>KULIT KEBAB 19/20 CM</v>
      </c>
      <c r="H77" s="214">
        <f>VLOOKUP(TBLBAHANKELUAR[[#This Row],[NAMA BAHAN]],TBLREKAPBAHAN[[NAMA BAHAN]:[MODAL SATUAN]],2,FALSE)</f>
        <v>29000</v>
      </c>
      <c r="I77" s="214">
        <f>VLOOKUP(TBLBAHANKELUAR[[#This Row],[NAMA BAHAN]],TBLREKAPBAHAN[[NAMA BAHAN]:[MODAL SATUAN]],3,FALSE)</f>
        <v>20</v>
      </c>
      <c r="J77" s="214">
        <f>VLOOKUP(TBLBAHANKELUAR[[#This Row],[NAMA BAHAN]],TBLREKAPBAHAN[[NAMA BAHAN]:[MODAL SATUAN]],4,FALSE)</f>
        <v>1450</v>
      </c>
      <c r="K77" s="215">
        <f>VLOOKUP(TBLBAHANKELUAR[[#This Row],[KODE BAHAN]],[4]!TBLKEBABSOSYAMMEDIUM[#Data],8,FALSE)</f>
        <v>1</v>
      </c>
      <c r="L77" s="215">
        <f>SUMIF(TBLPRODUKKELUARJULI[NAMA PRODUK],TBLBAHANKELUAR[[#This Row],[NAMA PRODUK]],TBLPRODUKKELUARJULI[JUMLAH TERJUAL])</f>
        <v>9</v>
      </c>
      <c r="M77" s="215">
        <f>TBLBAHANKELUAR[[#This Row],[KEB. BAHAN]]*TBLBAHANKELUAR[[#This Row],[JUMLAH KEB. BAHAN KELUAR]]</f>
        <v>9</v>
      </c>
      <c r="N77" s="214">
        <f>TBLBAHANKELUAR[[#This Row],[MODAL SATUAN]]*TBLBAHANKELUAR[[#This Row],[TOTAL BAHAN KELUAR]]</f>
        <v>13050</v>
      </c>
    </row>
    <row r="78" spans="1:14" x14ac:dyDescent="0.3">
      <c r="A78" s="103">
        <v>2026</v>
      </c>
      <c r="B78" s="211" t="s">
        <v>590</v>
      </c>
      <c r="C78" s="211"/>
      <c r="D78" s="211"/>
      <c r="E78" s="3" t="s">
        <v>377</v>
      </c>
      <c r="F78" s="141">
        <v>9</v>
      </c>
      <c r="G78" s="213" t="str">
        <f>VLOOKUP(TBLBAHANKELUAR[[#This Row],[KODE BAHAN]],[4]!TBLKEBABSOSYAMMEDIUM[#Data],2,FALSE)</f>
        <v>SLADA</v>
      </c>
      <c r="H78" s="214">
        <f>VLOOKUP(TBLBAHANKELUAR[[#This Row],[NAMA BAHAN]],TBLREKAPBAHAN[[NAMA BAHAN]:[MODAL SATUAN]],2,FALSE)</f>
        <v>60000</v>
      </c>
      <c r="I78" s="214">
        <f>VLOOKUP(TBLBAHANKELUAR[[#This Row],[NAMA BAHAN]],TBLREKAPBAHAN[[NAMA BAHAN]:[MODAL SATUAN]],3,FALSE)</f>
        <v>50</v>
      </c>
      <c r="J78" s="214">
        <f>VLOOKUP(TBLBAHANKELUAR[[#This Row],[NAMA BAHAN]],TBLREKAPBAHAN[[NAMA BAHAN]:[MODAL SATUAN]],4,FALSE)</f>
        <v>1200</v>
      </c>
      <c r="K78" s="215">
        <f>VLOOKUP(TBLBAHANKELUAR[[#This Row],[KODE BAHAN]],[4]!TBLKEBABSOSYAMMEDIUM[#Data],8,FALSE)</f>
        <v>1</v>
      </c>
      <c r="L78" s="215">
        <f>SUMIF(TBLPRODUKKELUARJULI[NAMA PRODUK],TBLBAHANKELUAR[[#This Row],[NAMA PRODUK]],TBLPRODUKKELUARJULI[JUMLAH TERJUAL])</f>
        <v>9</v>
      </c>
      <c r="M78" s="215">
        <f>TBLBAHANKELUAR[[#This Row],[KEB. BAHAN]]*TBLBAHANKELUAR[[#This Row],[JUMLAH KEB. BAHAN KELUAR]]</f>
        <v>9</v>
      </c>
      <c r="N78" s="214">
        <f>TBLBAHANKELUAR[[#This Row],[MODAL SATUAN]]*TBLBAHANKELUAR[[#This Row],[TOTAL BAHAN KELUAR]]</f>
        <v>10800</v>
      </c>
    </row>
    <row r="79" spans="1:14" x14ac:dyDescent="0.3">
      <c r="A79" s="103">
        <v>2026</v>
      </c>
      <c r="B79" s="211" t="s">
        <v>590</v>
      </c>
      <c r="C79" s="211"/>
      <c r="D79" s="211"/>
      <c r="E79" s="3" t="s">
        <v>377</v>
      </c>
      <c r="F79" s="141">
        <v>10</v>
      </c>
      <c r="G79" s="213" t="str">
        <f>VLOOKUP(TBLBAHANKELUAR[[#This Row],[KODE BAHAN]],[4]!TBLKEBABSOSYAMMEDIUM[#Data],2,FALSE)</f>
        <v>MENTEGA</v>
      </c>
      <c r="H79" s="214">
        <f>VLOOKUP(TBLBAHANKELUAR[[#This Row],[NAMA BAHAN]],TBLREKAPBAHAN[[NAMA BAHAN]:[MODAL SATUAN]],2,FALSE)</f>
        <v>35000</v>
      </c>
      <c r="I79" s="214">
        <f>VLOOKUP(TBLBAHANKELUAR[[#This Row],[NAMA BAHAN]],TBLREKAPBAHAN[[NAMA BAHAN]:[MODAL SATUAN]],3,FALSE)</f>
        <v>1000</v>
      </c>
      <c r="J79" s="214">
        <f>VLOOKUP(TBLBAHANKELUAR[[#This Row],[NAMA BAHAN]],TBLREKAPBAHAN[[NAMA BAHAN]:[MODAL SATUAN]],4,FALSE)</f>
        <v>35</v>
      </c>
      <c r="K79" s="215">
        <f>VLOOKUP(TBLBAHANKELUAR[[#This Row],[KODE BAHAN]],[4]!TBLKEBABSOSYAMMEDIUM[#Data],8,FALSE)</f>
        <v>10</v>
      </c>
      <c r="L79" s="215">
        <f>SUMIF(TBLPRODUKKELUARJULI[NAMA PRODUK],TBLBAHANKELUAR[[#This Row],[NAMA PRODUK]],TBLPRODUKKELUARJULI[JUMLAH TERJUAL])</f>
        <v>9</v>
      </c>
      <c r="M79" s="215">
        <f>TBLBAHANKELUAR[[#This Row],[KEB. BAHAN]]*TBLBAHANKELUAR[[#This Row],[JUMLAH KEB. BAHAN KELUAR]]</f>
        <v>90</v>
      </c>
      <c r="N79" s="214">
        <f>TBLBAHANKELUAR[[#This Row],[MODAL SATUAN]]*TBLBAHANKELUAR[[#This Row],[TOTAL BAHAN KELUAR]]</f>
        <v>3150</v>
      </c>
    </row>
    <row r="80" spans="1:14" x14ac:dyDescent="0.3">
      <c r="A80" s="103">
        <v>2026</v>
      </c>
      <c r="B80" s="211" t="s">
        <v>590</v>
      </c>
      <c r="C80" s="211"/>
      <c r="D80" s="211"/>
      <c r="E80" s="3" t="s">
        <v>377</v>
      </c>
      <c r="F80" s="141">
        <v>11</v>
      </c>
      <c r="G80" s="213" t="str">
        <f>VLOOKUP(TBLBAHANKELUAR[[#This Row],[KODE BAHAN]],[4]!TBLKEBABSOSYAMMEDIUM[#Data],2,FALSE)</f>
        <v>GAS ELPIJI</v>
      </c>
      <c r="H80" s="214">
        <f>VLOOKUP(TBLBAHANKELUAR[[#This Row],[NAMA BAHAN]],TBLREKAPBAHAN[[NAMA BAHAN]:[MODAL SATUAN]],2,FALSE)</f>
        <v>23000</v>
      </c>
      <c r="I80" s="214">
        <f>VLOOKUP(TBLBAHANKELUAR[[#This Row],[NAMA BAHAN]],TBLREKAPBAHAN[[NAMA BAHAN]:[MODAL SATUAN]],3,FALSE)</f>
        <v>3000</v>
      </c>
      <c r="J80" s="214">
        <f>VLOOKUP(TBLBAHANKELUAR[[#This Row],[NAMA BAHAN]],TBLREKAPBAHAN[[NAMA BAHAN]:[MODAL SATUAN]],4,FALSE)</f>
        <v>7.666666666666667</v>
      </c>
      <c r="K80" s="215">
        <f>VLOOKUP(TBLBAHANKELUAR[[#This Row],[KODE BAHAN]],[4]!TBLKEBABSOSYAMMEDIUM[#Data],8,FALSE)</f>
        <v>10</v>
      </c>
      <c r="L80" s="215">
        <f>SUMIF(TBLPRODUKKELUARJULI[NAMA PRODUK],TBLBAHANKELUAR[[#This Row],[NAMA PRODUK]],TBLPRODUKKELUARJULI[JUMLAH TERJUAL])</f>
        <v>9</v>
      </c>
      <c r="M80" s="215">
        <f>TBLBAHANKELUAR[[#This Row],[KEB. BAHAN]]*TBLBAHANKELUAR[[#This Row],[JUMLAH KEB. BAHAN KELUAR]]</f>
        <v>90</v>
      </c>
      <c r="N80" s="214">
        <f>TBLBAHANKELUAR[[#This Row],[MODAL SATUAN]]*TBLBAHANKELUAR[[#This Row],[TOTAL BAHAN KELUAR]]</f>
        <v>690</v>
      </c>
    </row>
    <row r="81" spans="1:14" x14ac:dyDescent="0.3">
      <c r="A81" s="103">
        <v>2026</v>
      </c>
      <c r="B81" s="211" t="s">
        <v>590</v>
      </c>
      <c r="C81" s="211"/>
      <c r="D81" s="211"/>
      <c r="E81" s="3" t="s">
        <v>377</v>
      </c>
      <c r="F81" s="141">
        <v>12</v>
      </c>
      <c r="G81" s="213" t="str">
        <f>VLOOKUP(TBLBAHANKELUAR[[#This Row],[KODE BAHAN]],[4]!TBLKEBABSOSYAMMEDIUM[#Data],2,FALSE)</f>
        <v>KERTAS KEBAB</v>
      </c>
      <c r="H81" s="214">
        <f>VLOOKUP(TBLBAHANKELUAR[[#This Row],[NAMA BAHAN]],TBLREKAPBAHAN[[NAMA BAHAN]:[MODAL SATUAN]],2,FALSE)</f>
        <v>25000</v>
      </c>
      <c r="I81" s="214">
        <f>VLOOKUP(TBLBAHANKELUAR[[#This Row],[NAMA BAHAN]],TBLREKAPBAHAN[[NAMA BAHAN]:[MODAL SATUAN]],3,FALSE)</f>
        <v>100</v>
      </c>
      <c r="J81" s="214">
        <f>VLOOKUP(TBLBAHANKELUAR[[#This Row],[NAMA BAHAN]],TBLREKAPBAHAN[[NAMA BAHAN]:[MODAL SATUAN]],4,FALSE)</f>
        <v>250</v>
      </c>
      <c r="K81" s="215">
        <f>VLOOKUP(TBLBAHANKELUAR[[#This Row],[KODE BAHAN]],[4]!TBLKEBABSOSYAMMEDIUM[#Data],8,FALSE)</f>
        <v>1</v>
      </c>
      <c r="L81" s="215">
        <f>SUMIF(TBLPRODUKKELUARJULI[NAMA PRODUK],TBLBAHANKELUAR[[#This Row],[NAMA PRODUK]],TBLPRODUKKELUARJULI[JUMLAH TERJUAL])</f>
        <v>9</v>
      </c>
      <c r="M81" s="215">
        <f>TBLBAHANKELUAR[[#This Row],[KEB. BAHAN]]*TBLBAHANKELUAR[[#This Row],[JUMLAH KEB. BAHAN KELUAR]]</f>
        <v>9</v>
      </c>
      <c r="N81" s="214">
        <f>TBLBAHANKELUAR[[#This Row],[MODAL SATUAN]]*TBLBAHANKELUAR[[#This Row],[TOTAL BAHAN KELUAR]]</f>
        <v>2250</v>
      </c>
    </row>
    <row r="82" spans="1:14" x14ac:dyDescent="0.3">
      <c r="A82" s="103">
        <v>2026</v>
      </c>
      <c r="B82" s="211" t="s">
        <v>590</v>
      </c>
      <c r="C82" s="211"/>
      <c r="D82" s="211"/>
      <c r="E82" s="3" t="s">
        <v>377</v>
      </c>
      <c r="F82" s="141">
        <v>13</v>
      </c>
      <c r="G82" s="213" t="str">
        <f>VLOOKUP(TBLBAHANKELUAR[[#This Row],[KODE BAHAN]],[4]!TBLKEBABSOSYAMMEDIUM[#Data],2,FALSE)</f>
        <v>KRESEK 10 CM</v>
      </c>
      <c r="H82" s="214">
        <f>VLOOKUP(TBLBAHANKELUAR[[#This Row],[NAMA BAHAN]],TBLREKAPBAHAN[[NAMA BAHAN]:[MODAL SATUAN]],2,FALSE)</f>
        <v>5500</v>
      </c>
      <c r="I82" s="214">
        <f>VLOOKUP(TBLBAHANKELUAR[[#This Row],[NAMA BAHAN]],TBLREKAPBAHAN[[NAMA BAHAN]:[MODAL SATUAN]],3,FALSE)</f>
        <v>100</v>
      </c>
      <c r="J82" s="214">
        <f>VLOOKUP(TBLBAHANKELUAR[[#This Row],[NAMA BAHAN]],TBLREKAPBAHAN[[NAMA BAHAN]:[MODAL SATUAN]],4,FALSE)</f>
        <v>55</v>
      </c>
      <c r="K82" s="215">
        <f>VLOOKUP(TBLBAHANKELUAR[[#This Row],[KODE BAHAN]],[4]!TBLKEBABSOSYAMMEDIUM[#Data],8,FALSE)</f>
        <v>1</v>
      </c>
      <c r="L82" s="215">
        <f>SUMIF(TBLPRODUKKELUARJULI[NAMA PRODUK],TBLBAHANKELUAR[[#This Row],[NAMA PRODUK]],TBLPRODUKKELUARJULI[JUMLAH TERJUAL])</f>
        <v>9</v>
      </c>
      <c r="M82" s="215">
        <f>TBLBAHANKELUAR[[#This Row],[KEB. BAHAN]]*TBLBAHANKELUAR[[#This Row],[JUMLAH KEB. BAHAN KELUAR]]</f>
        <v>9</v>
      </c>
      <c r="N82" s="214">
        <f>TBLBAHANKELUAR[[#This Row],[MODAL SATUAN]]*TBLBAHANKELUAR[[#This Row],[TOTAL BAHAN KELUAR]]</f>
        <v>495</v>
      </c>
    </row>
    <row r="83" spans="1:14" x14ac:dyDescent="0.3">
      <c r="A83" s="103">
        <v>2026</v>
      </c>
      <c r="B83" s="211" t="s">
        <v>590</v>
      </c>
      <c r="C83" s="211"/>
      <c r="D83" s="211"/>
      <c r="E83" s="3" t="s">
        <v>378</v>
      </c>
      <c r="F83" s="141">
        <v>1</v>
      </c>
      <c r="G83" s="213" t="str">
        <f>VLOOKUP(TBLBAHANKELUAR[[#This Row],[KODE BAHAN]],[4]!TBLKEBABSOSYAMMEDIUM[#Data],2,FALSE)</f>
        <v>SAOS TOMAT GRAM</v>
      </c>
      <c r="H83" s="214">
        <f>VLOOKUP(TBLBAHANKELUAR[[#This Row],[NAMA BAHAN]],TBLREKAPBAHAN[[NAMA BAHAN]:[MODAL SATUAN]],2,FALSE)</f>
        <v>20000</v>
      </c>
      <c r="I83" s="214">
        <f>VLOOKUP(TBLBAHANKELUAR[[#This Row],[NAMA BAHAN]],TBLREKAPBAHAN[[NAMA BAHAN]:[MODAL SATUAN]],3,FALSE)</f>
        <v>1000</v>
      </c>
      <c r="J83" s="214">
        <f>VLOOKUP(TBLBAHANKELUAR[[#This Row],[NAMA BAHAN]],TBLREKAPBAHAN[[NAMA BAHAN]:[MODAL SATUAN]],4,FALSE)</f>
        <v>20</v>
      </c>
      <c r="K83" s="215">
        <f>VLOOKUP(TBLBAHANKELUAR[[#This Row],[KODE BAHAN]],[4]!TBLKEBABSOSYAMMEDIUM[#Data],10,FALSE)</f>
        <v>0</v>
      </c>
      <c r="L83" s="215">
        <f>SUMIF(TBLPRODUKKELUARJULI[NAMA PRODUK],TBLBAHANKELUAR[[#This Row],[NAMA PRODUK]],TBLPRODUKKELUARJULI[JUMLAH TERJUAL])</f>
        <v>9</v>
      </c>
      <c r="M83" s="215">
        <f>TBLBAHANKELUAR[[#This Row],[KEB. BAHAN]]*TBLBAHANKELUAR[[#This Row],[JUMLAH KEB. BAHAN KELUAR]]</f>
        <v>0</v>
      </c>
      <c r="N83" s="214">
        <f>TBLBAHANKELUAR[[#This Row],[MODAL SATUAN]]*TBLBAHANKELUAR[[#This Row],[TOTAL BAHAN KELUAR]]</f>
        <v>0</v>
      </c>
    </row>
    <row r="84" spans="1:14" x14ac:dyDescent="0.3">
      <c r="A84" s="103">
        <v>2026</v>
      </c>
      <c r="B84" s="211" t="s">
        <v>590</v>
      </c>
      <c r="C84" s="211"/>
      <c r="D84" s="211"/>
      <c r="E84" s="3" t="s">
        <v>378</v>
      </c>
      <c r="F84" s="141">
        <v>2</v>
      </c>
      <c r="G84" s="213" t="str">
        <f>VLOOKUP(TBLBAHANKELUAR[[#This Row],[KODE BAHAN]],[4]!TBLKEBABSOSYAMMEDIUM[#Data],2,FALSE)</f>
        <v>SAOS SAMBAL GRAM</v>
      </c>
      <c r="H84" s="214">
        <f>VLOOKUP(TBLBAHANKELUAR[[#This Row],[NAMA BAHAN]],TBLREKAPBAHAN[[NAMA BAHAN]:[MODAL SATUAN]],2,FALSE)</f>
        <v>18000</v>
      </c>
      <c r="I84" s="214">
        <f>VLOOKUP(TBLBAHANKELUAR[[#This Row],[NAMA BAHAN]],TBLREKAPBAHAN[[NAMA BAHAN]:[MODAL SATUAN]],3,FALSE)</f>
        <v>1000</v>
      </c>
      <c r="J84" s="214">
        <f>VLOOKUP(TBLBAHANKELUAR[[#This Row],[NAMA BAHAN]],TBLREKAPBAHAN[[NAMA BAHAN]:[MODAL SATUAN]],4,FALSE)</f>
        <v>18</v>
      </c>
      <c r="K84" s="215">
        <f>VLOOKUP(TBLBAHANKELUAR[[#This Row],[KODE BAHAN]],[4]!TBLKEBABSOSYAMMEDIUM[#Data],10,FALSE)</f>
        <v>25</v>
      </c>
      <c r="L84" s="215">
        <f>SUMIF(TBLPRODUKKELUARJULI[NAMA PRODUK],TBLBAHANKELUAR[[#This Row],[NAMA PRODUK]],TBLPRODUKKELUARJULI[JUMLAH TERJUAL])</f>
        <v>9</v>
      </c>
      <c r="M84" s="215">
        <f>TBLBAHANKELUAR[[#This Row],[KEB. BAHAN]]*TBLBAHANKELUAR[[#This Row],[JUMLAH KEB. BAHAN KELUAR]]</f>
        <v>225</v>
      </c>
      <c r="N84" s="214">
        <f>TBLBAHANKELUAR[[#This Row],[MODAL SATUAN]]*TBLBAHANKELUAR[[#This Row],[TOTAL BAHAN KELUAR]]</f>
        <v>4050</v>
      </c>
    </row>
    <row r="85" spans="1:14" x14ac:dyDescent="0.3">
      <c r="A85" s="103">
        <v>2026</v>
      </c>
      <c r="B85" s="211" t="s">
        <v>590</v>
      </c>
      <c r="C85" s="211"/>
      <c r="D85" s="211"/>
      <c r="E85" s="3" t="s">
        <v>378</v>
      </c>
      <c r="F85" s="141">
        <v>3</v>
      </c>
      <c r="G85" s="213" t="str">
        <f>VLOOKUP(TBLBAHANKELUAR[[#This Row],[KODE BAHAN]],[4]!TBLKEBABSOSYAMMEDIUM[#Data],2,FALSE)</f>
        <v>SAOS BBQ GRAM</v>
      </c>
      <c r="H85" s="214">
        <f>VLOOKUP(TBLBAHANKELUAR[[#This Row],[NAMA BAHAN]],TBLREKAPBAHAN[[NAMA BAHAN]:[MODAL SATUAN]],2,FALSE)</f>
        <v>12000</v>
      </c>
      <c r="I85" s="214">
        <f>VLOOKUP(TBLBAHANKELUAR[[#This Row],[NAMA BAHAN]],TBLREKAPBAHAN[[NAMA BAHAN]:[MODAL SATUAN]],3,FALSE)</f>
        <v>250</v>
      </c>
      <c r="J85" s="214">
        <f>VLOOKUP(TBLBAHANKELUAR[[#This Row],[NAMA BAHAN]],TBLREKAPBAHAN[[NAMA BAHAN]:[MODAL SATUAN]],4,FALSE)</f>
        <v>48</v>
      </c>
      <c r="K85" s="215">
        <f>VLOOKUP(TBLBAHANKELUAR[[#This Row],[KODE BAHAN]],[4]!TBLKEBABSOSYAMMEDIUM[#Data],10,FALSE)</f>
        <v>7</v>
      </c>
      <c r="L85" s="215">
        <f>SUMIF(TBLPRODUKKELUARJULI[NAMA PRODUK],TBLBAHANKELUAR[[#This Row],[NAMA PRODUK]],TBLPRODUKKELUARJULI[JUMLAH TERJUAL])</f>
        <v>9</v>
      </c>
      <c r="M85" s="215">
        <f>TBLBAHANKELUAR[[#This Row],[KEB. BAHAN]]*TBLBAHANKELUAR[[#This Row],[JUMLAH KEB. BAHAN KELUAR]]</f>
        <v>63</v>
      </c>
      <c r="N85" s="214">
        <f>TBLBAHANKELUAR[[#This Row],[MODAL SATUAN]]*TBLBAHANKELUAR[[#This Row],[TOTAL BAHAN KELUAR]]</f>
        <v>3024</v>
      </c>
    </row>
    <row r="86" spans="1:14" x14ac:dyDescent="0.3">
      <c r="A86" s="103">
        <v>2026</v>
      </c>
      <c r="B86" s="211" t="s">
        <v>590</v>
      </c>
      <c r="C86" s="211"/>
      <c r="D86" s="211"/>
      <c r="E86" s="3" t="s">
        <v>378</v>
      </c>
      <c r="F86" s="141">
        <v>4</v>
      </c>
      <c r="G86" s="213" t="str">
        <f>VLOOKUP(TBLBAHANKELUAR[[#This Row],[KODE BAHAN]],[4]!TBLKEBABSOSYAMMEDIUM[#Data],2,FALSE)</f>
        <v>MAYONAIS GRAM</v>
      </c>
      <c r="H86" s="214">
        <f>VLOOKUP(TBLBAHANKELUAR[[#This Row],[NAMA BAHAN]],TBLREKAPBAHAN[[NAMA BAHAN]:[MODAL SATUAN]],2,FALSE)</f>
        <v>50000</v>
      </c>
      <c r="I86" s="214">
        <f>VLOOKUP(TBLBAHANKELUAR[[#This Row],[NAMA BAHAN]],TBLREKAPBAHAN[[NAMA BAHAN]:[MODAL SATUAN]],3,FALSE)</f>
        <v>1000</v>
      </c>
      <c r="J86" s="214">
        <f>VLOOKUP(TBLBAHANKELUAR[[#This Row],[NAMA BAHAN]],TBLREKAPBAHAN[[NAMA BAHAN]:[MODAL SATUAN]],4,FALSE)</f>
        <v>50</v>
      </c>
      <c r="K86" s="215">
        <f>VLOOKUP(TBLBAHANKELUAR[[#This Row],[KODE BAHAN]],[4]!TBLKEBABSOSYAMMEDIUM[#Data],10,FALSE)</f>
        <v>10</v>
      </c>
      <c r="L86" s="215">
        <f>SUMIF(TBLPRODUKKELUARJULI[NAMA PRODUK],TBLBAHANKELUAR[[#This Row],[NAMA PRODUK]],TBLPRODUKKELUARJULI[JUMLAH TERJUAL])</f>
        <v>9</v>
      </c>
      <c r="M86" s="215">
        <f>TBLBAHANKELUAR[[#This Row],[KEB. BAHAN]]*TBLBAHANKELUAR[[#This Row],[JUMLAH KEB. BAHAN KELUAR]]</f>
        <v>90</v>
      </c>
      <c r="N86" s="214">
        <f>TBLBAHANKELUAR[[#This Row],[MODAL SATUAN]]*TBLBAHANKELUAR[[#This Row],[TOTAL BAHAN KELUAR]]</f>
        <v>4500</v>
      </c>
    </row>
    <row r="87" spans="1:14" x14ac:dyDescent="0.3">
      <c r="A87" s="103">
        <v>2026</v>
      </c>
      <c r="B87" s="211" t="s">
        <v>590</v>
      </c>
      <c r="C87" s="211"/>
      <c r="D87" s="211"/>
      <c r="E87" s="3" t="s">
        <v>378</v>
      </c>
      <c r="F87" s="141">
        <v>5</v>
      </c>
      <c r="G87" s="213" t="str">
        <f>VLOOKUP(TBLBAHANKELUAR[[#This Row],[KODE BAHAN]],[4]!TBLKEBABSOSYAMMEDIUM[#Data],2,FALSE)</f>
        <v>SAOS SPAGHETI GRAM</v>
      </c>
      <c r="H87" s="214">
        <f>VLOOKUP(TBLBAHANKELUAR[[#This Row],[NAMA BAHAN]],TBLREKAPBAHAN[[NAMA BAHAN]:[MODAL SATUAN]],2,FALSE)</f>
        <v>12000</v>
      </c>
      <c r="I87" s="214">
        <f>VLOOKUP(TBLBAHANKELUAR[[#This Row],[NAMA BAHAN]],TBLREKAPBAHAN[[NAMA BAHAN]:[MODAL SATUAN]],3,FALSE)</f>
        <v>250</v>
      </c>
      <c r="J87" s="214">
        <f>VLOOKUP(TBLBAHANKELUAR[[#This Row],[NAMA BAHAN]],TBLREKAPBAHAN[[NAMA BAHAN]:[MODAL SATUAN]],4,FALSE)</f>
        <v>48</v>
      </c>
      <c r="K87" s="215">
        <f>VLOOKUP(TBLBAHANKELUAR[[#This Row],[KODE BAHAN]],[4]!TBLKEBABSOSYAMMEDIUM[#Data],10,FALSE)</f>
        <v>7</v>
      </c>
      <c r="L87" s="215">
        <f>SUMIF(TBLPRODUKKELUARJULI[NAMA PRODUK],TBLBAHANKELUAR[[#This Row],[NAMA PRODUK]],TBLPRODUKKELUARJULI[JUMLAH TERJUAL])</f>
        <v>9</v>
      </c>
      <c r="M87" s="215">
        <f>TBLBAHANKELUAR[[#This Row],[KEB. BAHAN]]*TBLBAHANKELUAR[[#This Row],[JUMLAH KEB. BAHAN KELUAR]]</f>
        <v>63</v>
      </c>
      <c r="N87" s="214">
        <f>TBLBAHANKELUAR[[#This Row],[MODAL SATUAN]]*TBLBAHANKELUAR[[#This Row],[TOTAL BAHAN KELUAR]]</f>
        <v>3024</v>
      </c>
    </row>
    <row r="88" spans="1:14" x14ac:dyDescent="0.3">
      <c r="A88" s="103">
        <v>2026</v>
      </c>
      <c r="B88" s="211" t="s">
        <v>590</v>
      </c>
      <c r="C88" s="211"/>
      <c r="D88" s="211"/>
      <c r="E88" s="3" t="s">
        <v>378</v>
      </c>
      <c r="F88" s="141">
        <v>6</v>
      </c>
      <c r="G88" s="213" t="str">
        <f>VLOOKUP(TBLBAHANKELUAR[[#This Row],[KODE BAHAN]],[4]!TBLKEBABSOSYAMMEDIUM[#Data],2,FALSE)</f>
        <v>SOSIZ BATANG</v>
      </c>
      <c r="H88" s="214">
        <f>VLOOKUP(TBLBAHANKELUAR[[#This Row],[NAMA BAHAN]],TBLREKAPBAHAN[[NAMA BAHAN]:[MODAL SATUAN]],2,FALSE)</f>
        <v>35000</v>
      </c>
      <c r="I88" s="214">
        <f>VLOOKUP(TBLBAHANKELUAR[[#This Row],[NAMA BAHAN]],TBLREKAPBAHAN[[NAMA BAHAN]:[MODAL SATUAN]],3,FALSE)</f>
        <v>38</v>
      </c>
      <c r="J88" s="214">
        <f>VLOOKUP(TBLBAHANKELUAR[[#This Row],[NAMA BAHAN]],TBLREKAPBAHAN[[NAMA BAHAN]:[MODAL SATUAN]],4,FALSE)</f>
        <v>921.0526315789474</v>
      </c>
      <c r="K88" s="215">
        <f>VLOOKUP(TBLBAHANKELUAR[[#This Row],[KODE BAHAN]],[4]!TBLKEBABSOSYAMMEDIUM[#Data],10,FALSE)</f>
        <v>1</v>
      </c>
      <c r="L88" s="215">
        <f>SUMIF(TBLPRODUKKELUARJULI[NAMA PRODUK],TBLBAHANKELUAR[[#This Row],[NAMA PRODUK]],TBLPRODUKKELUARJULI[JUMLAH TERJUAL])</f>
        <v>9</v>
      </c>
      <c r="M88" s="215">
        <f>TBLBAHANKELUAR[[#This Row],[KEB. BAHAN]]*TBLBAHANKELUAR[[#This Row],[JUMLAH KEB. BAHAN KELUAR]]</f>
        <v>9</v>
      </c>
      <c r="N88" s="214">
        <f>TBLBAHANKELUAR[[#This Row],[MODAL SATUAN]]*TBLBAHANKELUAR[[#This Row],[TOTAL BAHAN KELUAR]]</f>
        <v>8289.4736842105267</v>
      </c>
    </row>
    <row r="89" spans="1:14" x14ac:dyDescent="0.3">
      <c r="A89" s="103">
        <v>2026</v>
      </c>
      <c r="B89" s="211" t="s">
        <v>590</v>
      </c>
      <c r="C89" s="211"/>
      <c r="D89" s="211"/>
      <c r="E89" s="3" t="s">
        <v>378</v>
      </c>
      <c r="F89" s="141">
        <v>7</v>
      </c>
      <c r="G89" s="213" t="str">
        <f>VLOOKUP(TBLBAHANKELUAR[[#This Row],[KODE BAHAN]],[4]!TBLKEBABSOSYAMMEDIUM[#Data],2,FALSE)</f>
        <v>AYAM SUWIR</v>
      </c>
      <c r="H89" s="214">
        <f>VLOOKUP(TBLBAHANKELUAR[[#This Row],[NAMA BAHAN]],TBLREKAPBAHAN[[NAMA BAHAN]:[MODAL SATUAN]],2,FALSE)</f>
        <v>45000</v>
      </c>
      <c r="I89" s="214">
        <f>VLOOKUP(TBLBAHANKELUAR[[#This Row],[NAMA BAHAN]],TBLREKAPBAHAN[[NAMA BAHAN]:[MODAL SATUAN]],3,FALSE)</f>
        <v>400</v>
      </c>
      <c r="J89" s="214">
        <f>VLOOKUP(TBLBAHANKELUAR[[#This Row],[NAMA BAHAN]],TBLREKAPBAHAN[[NAMA BAHAN]:[MODAL SATUAN]],4,FALSE)</f>
        <v>112.5</v>
      </c>
      <c r="K89" s="215">
        <f>VLOOKUP(TBLBAHANKELUAR[[#This Row],[KODE BAHAN]],[4]!TBLKEBABSOSYAMMEDIUM[#Data],10,FALSE)</f>
        <v>20</v>
      </c>
      <c r="L89" s="215">
        <f>SUMIF(TBLPRODUKKELUARJULI[NAMA PRODUK],TBLBAHANKELUAR[[#This Row],[NAMA PRODUK]],TBLPRODUKKELUARJULI[JUMLAH TERJUAL])</f>
        <v>9</v>
      </c>
      <c r="M89" s="215">
        <f>TBLBAHANKELUAR[[#This Row],[KEB. BAHAN]]*TBLBAHANKELUAR[[#This Row],[JUMLAH KEB. BAHAN KELUAR]]</f>
        <v>180</v>
      </c>
      <c r="N89" s="214">
        <f>TBLBAHANKELUAR[[#This Row],[MODAL SATUAN]]*TBLBAHANKELUAR[[#This Row],[TOTAL BAHAN KELUAR]]</f>
        <v>20250</v>
      </c>
    </row>
    <row r="90" spans="1:14" x14ac:dyDescent="0.3">
      <c r="A90" s="103">
        <v>2026</v>
      </c>
      <c r="B90" s="211" t="s">
        <v>590</v>
      </c>
      <c r="C90" s="211"/>
      <c r="D90" s="211"/>
      <c r="E90" s="3" t="s">
        <v>378</v>
      </c>
      <c r="F90" s="141">
        <v>8</v>
      </c>
      <c r="G90" s="213" t="str">
        <f>VLOOKUP(TBLBAHANKELUAR[[#This Row],[KODE BAHAN]],[4]!TBLKEBABSOSYAMMEDIUM[#Data],2,FALSE)</f>
        <v>KULIT KEBAB 19/20 CM</v>
      </c>
      <c r="H90" s="214">
        <f>VLOOKUP(TBLBAHANKELUAR[[#This Row],[NAMA BAHAN]],TBLREKAPBAHAN[[NAMA BAHAN]:[MODAL SATUAN]],2,FALSE)</f>
        <v>29000</v>
      </c>
      <c r="I90" s="214">
        <f>VLOOKUP(TBLBAHANKELUAR[[#This Row],[NAMA BAHAN]],TBLREKAPBAHAN[[NAMA BAHAN]:[MODAL SATUAN]],3,FALSE)</f>
        <v>20</v>
      </c>
      <c r="J90" s="214">
        <f>VLOOKUP(TBLBAHANKELUAR[[#This Row],[NAMA BAHAN]],TBLREKAPBAHAN[[NAMA BAHAN]:[MODAL SATUAN]],4,FALSE)</f>
        <v>1450</v>
      </c>
      <c r="K90" s="215">
        <f>VLOOKUP(TBLBAHANKELUAR[[#This Row],[KODE BAHAN]],[4]!TBLKEBABSOSYAMMEDIUM[#Data],10,FALSE)</f>
        <v>1</v>
      </c>
      <c r="L90" s="215">
        <f>SUMIF(TBLPRODUKKELUARJULI[NAMA PRODUK],TBLBAHANKELUAR[[#This Row],[NAMA PRODUK]],TBLPRODUKKELUARJULI[JUMLAH TERJUAL])</f>
        <v>9</v>
      </c>
      <c r="M90" s="215">
        <f>TBLBAHANKELUAR[[#This Row],[KEB. BAHAN]]*TBLBAHANKELUAR[[#This Row],[JUMLAH KEB. BAHAN KELUAR]]</f>
        <v>9</v>
      </c>
      <c r="N90" s="214">
        <f>TBLBAHANKELUAR[[#This Row],[MODAL SATUAN]]*TBLBAHANKELUAR[[#This Row],[TOTAL BAHAN KELUAR]]</f>
        <v>13050</v>
      </c>
    </row>
    <row r="91" spans="1:14" x14ac:dyDescent="0.3">
      <c r="A91" s="103">
        <v>2026</v>
      </c>
      <c r="B91" s="211" t="s">
        <v>590</v>
      </c>
      <c r="C91" s="211"/>
      <c r="D91" s="211"/>
      <c r="E91" s="3" t="s">
        <v>378</v>
      </c>
      <c r="F91" s="141">
        <v>9</v>
      </c>
      <c r="G91" s="213" t="str">
        <f>VLOOKUP(TBLBAHANKELUAR[[#This Row],[KODE BAHAN]],[4]!TBLKEBABSOSYAMMEDIUM[#Data],2,FALSE)</f>
        <v>SLADA</v>
      </c>
      <c r="H91" s="214">
        <f>VLOOKUP(TBLBAHANKELUAR[[#This Row],[NAMA BAHAN]],TBLREKAPBAHAN[[NAMA BAHAN]:[MODAL SATUAN]],2,FALSE)</f>
        <v>60000</v>
      </c>
      <c r="I91" s="214">
        <f>VLOOKUP(TBLBAHANKELUAR[[#This Row],[NAMA BAHAN]],TBLREKAPBAHAN[[NAMA BAHAN]:[MODAL SATUAN]],3,FALSE)</f>
        <v>50</v>
      </c>
      <c r="J91" s="214">
        <f>VLOOKUP(TBLBAHANKELUAR[[#This Row],[NAMA BAHAN]],TBLREKAPBAHAN[[NAMA BAHAN]:[MODAL SATUAN]],4,FALSE)</f>
        <v>1200</v>
      </c>
      <c r="K91" s="215">
        <f>VLOOKUP(TBLBAHANKELUAR[[#This Row],[KODE BAHAN]],[4]!TBLKEBABSOSYAMMEDIUM[#Data],10,FALSE)</f>
        <v>1</v>
      </c>
      <c r="L91" s="215">
        <f>SUMIF(TBLPRODUKKELUARJULI[NAMA PRODUK],TBLBAHANKELUAR[[#This Row],[NAMA PRODUK]],TBLPRODUKKELUARJULI[JUMLAH TERJUAL])</f>
        <v>9</v>
      </c>
      <c r="M91" s="215">
        <f>TBLBAHANKELUAR[[#This Row],[KEB. BAHAN]]*TBLBAHANKELUAR[[#This Row],[JUMLAH KEB. BAHAN KELUAR]]</f>
        <v>9</v>
      </c>
      <c r="N91" s="214">
        <f>TBLBAHANKELUAR[[#This Row],[MODAL SATUAN]]*TBLBAHANKELUAR[[#This Row],[TOTAL BAHAN KELUAR]]</f>
        <v>10800</v>
      </c>
    </row>
    <row r="92" spans="1:14" x14ac:dyDescent="0.3">
      <c r="A92" s="103">
        <v>2026</v>
      </c>
      <c r="B92" s="211" t="s">
        <v>590</v>
      </c>
      <c r="C92" s="211"/>
      <c r="D92" s="211"/>
      <c r="E92" s="3" t="s">
        <v>378</v>
      </c>
      <c r="F92" s="141">
        <v>10</v>
      </c>
      <c r="G92" s="213" t="str">
        <f>VLOOKUP(TBLBAHANKELUAR[[#This Row],[KODE BAHAN]],[4]!TBLKEBABSOSYAMMEDIUM[#Data],2,FALSE)</f>
        <v>MENTEGA</v>
      </c>
      <c r="H92" s="214">
        <f>VLOOKUP(TBLBAHANKELUAR[[#This Row],[NAMA BAHAN]],TBLREKAPBAHAN[[NAMA BAHAN]:[MODAL SATUAN]],2,FALSE)</f>
        <v>35000</v>
      </c>
      <c r="I92" s="214">
        <f>VLOOKUP(TBLBAHANKELUAR[[#This Row],[NAMA BAHAN]],TBLREKAPBAHAN[[NAMA BAHAN]:[MODAL SATUAN]],3,FALSE)</f>
        <v>1000</v>
      </c>
      <c r="J92" s="214">
        <f>VLOOKUP(TBLBAHANKELUAR[[#This Row],[NAMA BAHAN]],TBLREKAPBAHAN[[NAMA BAHAN]:[MODAL SATUAN]],4,FALSE)</f>
        <v>35</v>
      </c>
      <c r="K92" s="215">
        <f>VLOOKUP(TBLBAHANKELUAR[[#This Row],[KODE BAHAN]],[4]!TBLKEBABSOSYAMMEDIUM[#Data],10,FALSE)</f>
        <v>10</v>
      </c>
      <c r="L92" s="215">
        <f>SUMIF(TBLPRODUKKELUARJULI[NAMA PRODUK],TBLBAHANKELUAR[[#This Row],[NAMA PRODUK]],TBLPRODUKKELUARJULI[JUMLAH TERJUAL])</f>
        <v>9</v>
      </c>
      <c r="M92" s="215">
        <f>TBLBAHANKELUAR[[#This Row],[KEB. BAHAN]]*TBLBAHANKELUAR[[#This Row],[JUMLAH KEB. BAHAN KELUAR]]</f>
        <v>90</v>
      </c>
      <c r="N92" s="214">
        <f>TBLBAHANKELUAR[[#This Row],[MODAL SATUAN]]*TBLBAHANKELUAR[[#This Row],[TOTAL BAHAN KELUAR]]</f>
        <v>3150</v>
      </c>
    </row>
    <row r="93" spans="1:14" x14ac:dyDescent="0.3">
      <c r="A93" s="103">
        <v>2026</v>
      </c>
      <c r="B93" s="211" t="s">
        <v>590</v>
      </c>
      <c r="C93" s="211"/>
      <c r="D93" s="211"/>
      <c r="E93" s="3" t="s">
        <v>378</v>
      </c>
      <c r="F93" s="141">
        <v>11</v>
      </c>
      <c r="G93" s="213" t="str">
        <f>VLOOKUP(TBLBAHANKELUAR[[#This Row],[KODE BAHAN]],[4]!TBLKEBABSOSYAMMEDIUM[#Data],2,FALSE)</f>
        <v>GAS ELPIJI</v>
      </c>
      <c r="H93" s="214">
        <f>VLOOKUP(TBLBAHANKELUAR[[#This Row],[NAMA BAHAN]],TBLREKAPBAHAN[[NAMA BAHAN]:[MODAL SATUAN]],2,FALSE)</f>
        <v>23000</v>
      </c>
      <c r="I93" s="214">
        <f>VLOOKUP(TBLBAHANKELUAR[[#This Row],[NAMA BAHAN]],TBLREKAPBAHAN[[NAMA BAHAN]:[MODAL SATUAN]],3,FALSE)</f>
        <v>3000</v>
      </c>
      <c r="J93" s="214">
        <f>VLOOKUP(TBLBAHANKELUAR[[#This Row],[NAMA BAHAN]],TBLREKAPBAHAN[[NAMA BAHAN]:[MODAL SATUAN]],4,FALSE)</f>
        <v>7.666666666666667</v>
      </c>
      <c r="K93" s="215">
        <f>VLOOKUP(TBLBAHANKELUAR[[#This Row],[KODE BAHAN]],[4]!TBLKEBABSOSYAMMEDIUM[#Data],10,FALSE)</f>
        <v>10</v>
      </c>
      <c r="L93" s="215">
        <f>SUMIF(TBLPRODUKKELUARJULI[NAMA PRODUK],TBLBAHANKELUAR[[#This Row],[NAMA PRODUK]],TBLPRODUKKELUARJULI[JUMLAH TERJUAL])</f>
        <v>9</v>
      </c>
      <c r="M93" s="215">
        <f>TBLBAHANKELUAR[[#This Row],[KEB. BAHAN]]*TBLBAHANKELUAR[[#This Row],[JUMLAH KEB. BAHAN KELUAR]]</f>
        <v>90</v>
      </c>
      <c r="N93" s="214">
        <f>TBLBAHANKELUAR[[#This Row],[MODAL SATUAN]]*TBLBAHANKELUAR[[#This Row],[TOTAL BAHAN KELUAR]]</f>
        <v>690</v>
      </c>
    </row>
    <row r="94" spans="1:14" x14ac:dyDescent="0.3">
      <c r="A94" s="103">
        <v>2026</v>
      </c>
      <c r="B94" s="211" t="s">
        <v>590</v>
      </c>
      <c r="C94" s="211"/>
      <c r="D94" s="211"/>
      <c r="E94" s="3" t="s">
        <v>378</v>
      </c>
      <c r="F94" s="141">
        <v>12</v>
      </c>
      <c r="G94" s="213" t="str">
        <f>VLOOKUP(TBLBAHANKELUAR[[#This Row],[KODE BAHAN]],[4]!TBLKEBABSOSYAMMEDIUM[#Data],2,FALSE)</f>
        <v>KERTAS KEBAB</v>
      </c>
      <c r="H94" s="214">
        <f>VLOOKUP(TBLBAHANKELUAR[[#This Row],[NAMA BAHAN]],TBLREKAPBAHAN[[NAMA BAHAN]:[MODAL SATUAN]],2,FALSE)</f>
        <v>25000</v>
      </c>
      <c r="I94" s="214">
        <f>VLOOKUP(TBLBAHANKELUAR[[#This Row],[NAMA BAHAN]],TBLREKAPBAHAN[[NAMA BAHAN]:[MODAL SATUAN]],3,FALSE)</f>
        <v>100</v>
      </c>
      <c r="J94" s="214">
        <f>VLOOKUP(TBLBAHANKELUAR[[#This Row],[NAMA BAHAN]],TBLREKAPBAHAN[[NAMA BAHAN]:[MODAL SATUAN]],4,FALSE)</f>
        <v>250</v>
      </c>
      <c r="K94" s="215">
        <f>VLOOKUP(TBLBAHANKELUAR[[#This Row],[KODE BAHAN]],[4]!TBLKEBABSOSYAMMEDIUM[#Data],10,FALSE)</f>
        <v>1</v>
      </c>
      <c r="L94" s="215">
        <f>SUMIF(TBLPRODUKKELUARJULI[NAMA PRODUK],TBLBAHANKELUAR[[#This Row],[NAMA PRODUK]],TBLPRODUKKELUARJULI[JUMLAH TERJUAL])</f>
        <v>9</v>
      </c>
      <c r="M94" s="215">
        <f>TBLBAHANKELUAR[[#This Row],[KEB. BAHAN]]*TBLBAHANKELUAR[[#This Row],[JUMLAH KEB. BAHAN KELUAR]]</f>
        <v>9</v>
      </c>
      <c r="N94" s="214">
        <f>TBLBAHANKELUAR[[#This Row],[MODAL SATUAN]]*TBLBAHANKELUAR[[#This Row],[TOTAL BAHAN KELUAR]]</f>
        <v>2250</v>
      </c>
    </row>
    <row r="95" spans="1:14" x14ac:dyDescent="0.3">
      <c r="A95" s="103">
        <v>2026</v>
      </c>
      <c r="B95" s="211" t="s">
        <v>590</v>
      </c>
      <c r="C95" s="211"/>
      <c r="D95" s="211"/>
      <c r="E95" s="3" t="s">
        <v>378</v>
      </c>
      <c r="F95" s="141">
        <v>13</v>
      </c>
      <c r="G95" s="213" t="str">
        <f>VLOOKUP(TBLBAHANKELUAR[[#This Row],[KODE BAHAN]],[4]!TBLKEBABSOSYAMMEDIUM[#Data],2,FALSE)</f>
        <v>KRESEK 10 CM</v>
      </c>
      <c r="H95" s="214">
        <f>VLOOKUP(TBLBAHANKELUAR[[#This Row],[NAMA BAHAN]],TBLREKAPBAHAN[[NAMA BAHAN]:[MODAL SATUAN]],2,FALSE)</f>
        <v>5500</v>
      </c>
      <c r="I95" s="214">
        <f>VLOOKUP(TBLBAHANKELUAR[[#This Row],[NAMA BAHAN]],TBLREKAPBAHAN[[NAMA BAHAN]:[MODAL SATUAN]],3,FALSE)</f>
        <v>100</v>
      </c>
      <c r="J95" s="214">
        <f>VLOOKUP(TBLBAHANKELUAR[[#This Row],[NAMA BAHAN]],TBLREKAPBAHAN[[NAMA BAHAN]:[MODAL SATUAN]],4,FALSE)</f>
        <v>55</v>
      </c>
      <c r="K95" s="215">
        <f>VLOOKUP(TBLBAHANKELUAR[[#This Row],[KODE BAHAN]],[4]!TBLKEBABSOSYAMMEDIUM[#Data],10,FALSE)</f>
        <v>1</v>
      </c>
      <c r="L95" s="215">
        <f>SUMIF(TBLPRODUKKELUARJULI[NAMA PRODUK],TBLBAHANKELUAR[[#This Row],[NAMA PRODUK]],TBLPRODUKKELUARJULI[JUMLAH TERJUAL])</f>
        <v>9</v>
      </c>
      <c r="M95" s="215">
        <f>TBLBAHANKELUAR[[#This Row],[KEB. BAHAN]]*TBLBAHANKELUAR[[#This Row],[JUMLAH KEB. BAHAN KELUAR]]</f>
        <v>9</v>
      </c>
      <c r="N95" s="214">
        <f>TBLBAHANKELUAR[[#This Row],[MODAL SATUAN]]*TBLBAHANKELUAR[[#This Row],[TOTAL BAHAN KELUAR]]</f>
        <v>495</v>
      </c>
    </row>
    <row r="96" spans="1:14" x14ac:dyDescent="0.3">
      <c r="A96" s="103">
        <v>2026</v>
      </c>
      <c r="B96" s="211" t="s">
        <v>590</v>
      </c>
      <c r="C96" s="211"/>
      <c r="D96" s="211"/>
      <c r="E96" s="3" t="s">
        <v>373</v>
      </c>
      <c r="F96" s="132">
        <v>1</v>
      </c>
      <c r="G96" s="213" t="str">
        <f>VLOOKUP(TBLBAHANKELUAR[[#This Row],[KODE BAHAN]],[4]!TBLKEBABSOSYAMKECIL[#Data],2,FALSE)</f>
        <v>SAOS TOMAT GRAM</v>
      </c>
      <c r="H96" s="214">
        <f>VLOOKUP(TBLBAHANKELUAR[[#This Row],[NAMA BAHAN]],TBLREKAPBAHAN[[NAMA BAHAN]:[MODAL SATUAN]],2,FALSE)</f>
        <v>20000</v>
      </c>
      <c r="I96" s="214">
        <f>VLOOKUP(TBLBAHANKELUAR[[#This Row],[NAMA BAHAN]],TBLREKAPBAHAN[[NAMA BAHAN]:[MODAL SATUAN]],3,FALSE)</f>
        <v>1000</v>
      </c>
      <c r="J96" s="214">
        <f>VLOOKUP(TBLBAHANKELUAR[[#This Row],[NAMA BAHAN]],TBLREKAPBAHAN[[NAMA BAHAN]:[MODAL SATUAN]],4,FALSE)</f>
        <v>20</v>
      </c>
      <c r="K96" s="215">
        <f>VLOOKUP(TBLBAHANKELUAR[[#This Row],[KODE BAHAN]],[4]!TBLKEBABSOSYAMKECIL[#Data],8,FALSE)</f>
        <v>10</v>
      </c>
      <c r="L96" s="215">
        <f>SUMIF(TBLPRODUKKELUARJULI[NAMA PRODUK],TBLBAHANKELUAR[[#This Row],[NAMA PRODUK]],TBLPRODUKKELUARJULI[JUMLAH TERJUAL])</f>
        <v>58</v>
      </c>
      <c r="M96" s="215">
        <f>TBLBAHANKELUAR[[#This Row],[KEB. BAHAN]]*TBLBAHANKELUAR[[#This Row],[JUMLAH KEB. BAHAN KELUAR]]</f>
        <v>580</v>
      </c>
      <c r="N96" s="214">
        <f>TBLBAHANKELUAR[[#This Row],[MODAL SATUAN]]*TBLBAHANKELUAR[[#This Row],[TOTAL BAHAN KELUAR]]</f>
        <v>11600</v>
      </c>
    </row>
    <row r="97" spans="1:14" x14ac:dyDescent="0.3">
      <c r="A97" s="103">
        <v>2026</v>
      </c>
      <c r="B97" s="211" t="s">
        <v>590</v>
      </c>
      <c r="C97" s="211"/>
      <c r="D97" s="211"/>
      <c r="E97" s="3" t="s">
        <v>373</v>
      </c>
      <c r="F97" s="132">
        <v>2</v>
      </c>
      <c r="G97" s="213" t="str">
        <f>VLOOKUP(TBLBAHANKELUAR[[#This Row],[KODE BAHAN]],[4]!TBLKEBABSOSYAMKECIL[#Data],2,FALSE)</f>
        <v>SAOS SAMBAL GRAM</v>
      </c>
      <c r="H97" s="214">
        <f>VLOOKUP(TBLBAHANKELUAR[[#This Row],[NAMA BAHAN]],TBLREKAPBAHAN[[NAMA BAHAN]:[MODAL SATUAN]],2,FALSE)</f>
        <v>18000</v>
      </c>
      <c r="I97" s="214">
        <f>VLOOKUP(TBLBAHANKELUAR[[#This Row],[NAMA BAHAN]],TBLREKAPBAHAN[[NAMA BAHAN]:[MODAL SATUAN]],3,FALSE)</f>
        <v>1000</v>
      </c>
      <c r="J97" s="214">
        <f>VLOOKUP(TBLBAHANKELUAR[[#This Row],[NAMA BAHAN]],TBLREKAPBAHAN[[NAMA BAHAN]:[MODAL SATUAN]],4,FALSE)</f>
        <v>18</v>
      </c>
      <c r="K97" s="215">
        <f>VLOOKUP(TBLBAHANKELUAR[[#This Row],[KODE BAHAN]],[4]!TBLKEBABSOSYAMKECIL[#Data],8,FALSE)</f>
        <v>0</v>
      </c>
      <c r="L97" s="215">
        <f>SUMIF(TBLPRODUKKELUARJULI[NAMA PRODUK],TBLBAHANKELUAR[[#This Row],[NAMA PRODUK]],TBLPRODUKKELUARJULI[JUMLAH TERJUAL])</f>
        <v>58</v>
      </c>
      <c r="M97" s="215">
        <f>TBLBAHANKELUAR[[#This Row],[KEB. BAHAN]]*TBLBAHANKELUAR[[#This Row],[JUMLAH KEB. BAHAN KELUAR]]</f>
        <v>0</v>
      </c>
      <c r="N97" s="214">
        <f>TBLBAHANKELUAR[[#This Row],[MODAL SATUAN]]*TBLBAHANKELUAR[[#This Row],[TOTAL BAHAN KELUAR]]</f>
        <v>0</v>
      </c>
    </row>
    <row r="98" spans="1:14" x14ac:dyDescent="0.3">
      <c r="A98" s="103">
        <v>2026</v>
      </c>
      <c r="B98" s="211" t="s">
        <v>590</v>
      </c>
      <c r="C98" s="211"/>
      <c r="D98" s="211"/>
      <c r="E98" s="3" t="s">
        <v>373</v>
      </c>
      <c r="F98" s="132">
        <v>3</v>
      </c>
      <c r="G98" s="213" t="str">
        <f>VLOOKUP(TBLBAHANKELUAR[[#This Row],[KODE BAHAN]],[4]!TBLKEBABSOSYAMKECIL[#Data],2,FALSE)</f>
        <v>SAOS BBQ GRAM</v>
      </c>
      <c r="H98" s="214">
        <f>VLOOKUP(TBLBAHANKELUAR[[#This Row],[NAMA BAHAN]],TBLREKAPBAHAN[[NAMA BAHAN]:[MODAL SATUAN]],2,FALSE)</f>
        <v>12000</v>
      </c>
      <c r="I98" s="214">
        <f>VLOOKUP(TBLBAHANKELUAR[[#This Row],[NAMA BAHAN]],TBLREKAPBAHAN[[NAMA BAHAN]:[MODAL SATUAN]],3,FALSE)</f>
        <v>250</v>
      </c>
      <c r="J98" s="214">
        <f>VLOOKUP(TBLBAHANKELUAR[[#This Row],[NAMA BAHAN]],TBLREKAPBAHAN[[NAMA BAHAN]:[MODAL SATUAN]],4,FALSE)</f>
        <v>48</v>
      </c>
      <c r="K98" s="215">
        <f>VLOOKUP(TBLBAHANKELUAR[[#This Row],[KODE BAHAN]],[4]!TBLKEBABSOSYAMKECIL[#Data],8,FALSE)</f>
        <v>5</v>
      </c>
      <c r="L98" s="215">
        <f>SUMIF(TBLPRODUKKELUARJULI[NAMA PRODUK],TBLBAHANKELUAR[[#This Row],[NAMA PRODUK]],TBLPRODUKKELUARJULI[JUMLAH TERJUAL])</f>
        <v>58</v>
      </c>
      <c r="M98" s="215">
        <f>TBLBAHANKELUAR[[#This Row],[KEB. BAHAN]]*TBLBAHANKELUAR[[#This Row],[JUMLAH KEB. BAHAN KELUAR]]</f>
        <v>290</v>
      </c>
      <c r="N98" s="214">
        <f>TBLBAHANKELUAR[[#This Row],[MODAL SATUAN]]*TBLBAHANKELUAR[[#This Row],[TOTAL BAHAN KELUAR]]</f>
        <v>13920</v>
      </c>
    </row>
    <row r="99" spans="1:14" x14ac:dyDescent="0.3">
      <c r="A99" s="103">
        <v>2026</v>
      </c>
      <c r="B99" s="211" t="s">
        <v>590</v>
      </c>
      <c r="C99" s="211"/>
      <c r="D99" s="211"/>
      <c r="E99" s="3" t="s">
        <v>373</v>
      </c>
      <c r="F99" s="132">
        <v>4</v>
      </c>
      <c r="G99" s="213" t="str">
        <f>VLOOKUP(TBLBAHANKELUAR[[#This Row],[KODE BAHAN]],[4]!TBLKEBABSOSYAMKECIL[#Data],2,FALSE)</f>
        <v>MAYONAIS GRAM</v>
      </c>
      <c r="H99" s="214">
        <f>VLOOKUP(TBLBAHANKELUAR[[#This Row],[NAMA BAHAN]],TBLREKAPBAHAN[[NAMA BAHAN]:[MODAL SATUAN]],2,FALSE)</f>
        <v>50000</v>
      </c>
      <c r="I99" s="214">
        <f>VLOOKUP(TBLBAHANKELUAR[[#This Row],[NAMA BAHAN]],TBLREKAPBAHAN[[NAMA BAHAN]:[MODAL SATUAN]],3,FALSE)</f>
        <v>1000</v>
      </c>
      <c r="J99" s="214">
        <f>VLOOKUP(TBLBAHANKELUAR[[#This Row],[NAMA BAHAN]],TBLREKAPBAHAN[[NAMA BAHAN]:[MODAL SATUAN]],4,FALSE)</f>
        <v>50</v>
      </c>
      <c r="K99" s="215">
        <f>VLOOKUP(TBLBAHANKELUAR[[#This Row],[KODE BAHAN]],[4]!TBLKEBABSOSYAMKECIL[#Data],8,FALSE)</f>
        <v>7</v>
      </c>
      <c r="L99" s="215">
        <f>SUMIF(TBLPRODUKKELUARJULI[NAMA PRODUK],TBLBAHANKELUAR[[#This Row],[NAMA PRODUK]],TBLPRODUKKELUARJULI[JUMLAH TERJUAL])</f>
        <v>58</v>
      </c>
      <c r="M99" s="215">
        <f>TBLBAHANKELUAR[[#This Row],[KEB. BAHAN]]*TBLBAHANKELUAR[[#This Row],[JUMLAH KEB. BAHAN KELUAR]]</f>
        <v>406</v>
      </c>
      <c r="N99" s="214">
        <f>TBLBAHANKELUAR[[#This Row],[MODAL SATUAN]]*TBLBAHANKELUAR[[#This Row],[TOTAL BAHAN KELUAR]]</f>
        <v>20300</v>
      </c>
    </row>
    <row r="100" spans="1:14" x14ac:dyDescent="0.3">
      <c r="A100" s="103">
        <v>2026</v>
      </c>
      <c r="B100" s="211" t="s">
        <v>590</v>
      </c>
      <c r="C100" s="211"/>
      <c r="D100" s="211"/>
      <c r="E100" s="3" t="s">
        <v>373</v>
      </c>
      <c r="F100" s="132">
        <v>5</v>
      </c>
      <c r="G100" s="213" t="str">
        <f>VLOOKUP(TBLBAHANKELUAR[[#This Row],[KODE BAHAN]],[4]!TBLKEBABSOSYAMKECIL[#Data],2,FALSE)</f>
        <v>SAOS SPAGHETI GRAM</v>
      </c>
      <c r="H100" s="214">
        <f>VLOOKUP(TBLBAHANKELUAR[[#This Row],[NAMA BAHAN]],TBLREKAPBAHAN[[NAMA BAHAN]:[MODAL SATUAN]],2,FALSE)</f>
        <v>12000</v>
      </c>
      <c r="I100" s="214">
        <f>VLOOKUP(TBLBAHANKELUAR[[#This Row],[NAMA BAHAN]],TBLREKAPBAHAN[[NAMA BAHAN]:[MODAL SATUAN]],3,FALSE)</f>
        <v>250</v>
      </c>
      <c r="J100" s="214">
        <f>VLOOKUP(TBLBAHANKELUAR[[#This Row],[NAMA BAHAN]],TBLREKAPBAHAN[[NAMA BAHAN]:[MODAL SATUAN]],4,FALSE)</f>
        <v>48</v>
      </c>
      <c r="K100" s="215">
        <f>VLOOKUP(TBLBAHANKELUAR[[#This Row],[KODE BAHAN]],[4]!TBLKEBABSOSYAMKECIL[#Data],8,FALSE)</f>
        <v>5</v>
      </c>
      <c r="L100" s="215">
        <f>SUMIF(TBLPRODUKKELUARJULI[NAMA PRODUK],TBLBAHANKELUAR[[#This Row],[NAMA PRODUK]],TBLPRODUKKELUARJULI[JUMLAH TERJUAL])</f>
        <v>58</v>
      </c>
      <c r="M100" s="215">
        <f>TBLBAHANKELUAR[[#This Row],[KEB. BAHAN]]*TBLBAHANKELUAR[[#This Row],[JUMLAH KEB. BAHAN KELUAR]]</f>
        <v>290</v>
      </c>
      <c r="N100" s="214">
        <f>TBLBAHANKELUAR[[#This Row],[MODAL SATUAN]]*TBLBAHANKELUAR[[#This Row],[TOTAL BAHAN KELUAR]]</f>
        <v>13920</v>
      </c>
    </row>
    <row r="101" spans="1:14" x14ac:dyDescent="0.3">
      <c r="A101" s="103">
        <v>2026</v>
      </c>
      <c r="B101" s="211" t="s">
        <v>590</v>
      </c>
      <c r="C101" s="211"/>
      <c r="D101" s="211"/>
      <c r="E101" s="3" t="s">
        <v>373</v>
      </c>
      <c r="F101" s="132">
        <v>6</v>
      </c>
      <c r="G101" s="213" t="str">
        <f>VLOOKUP(TBLBAHANKELUAR[[#This Row],[KODE BAHAN]],[4]!TBLKEBABSOSYAMKECIL[#Data],2,FALSE)</f>
        <v>SOSIZ BATANG</v>
      </c>
      <c r="H101" s="214">
        <f>VLOOKUP(TBLBAHANKELUAR[[#This Row],[NAMA BAHAN]],TBLREKAPBAHAN[[NAMA BAHAN]:[MODAL SATUAN]],2,FALSE)</f>
        <v>35000</v>
      </c>
      <c r="I101" s="214">
        <f>VLOOKUP(TBLBAHANKELUAR[[#This Row],[NAMA BAHAN]],TBLREKAPBAHAN[[NAMA BAHAN]:[MODAL SATUAN]],3,FALSE)</f>
        <v>38</v>
      </c>
      <c r="J101" s="214">
        <f>VLOOKUP(TBLBAHANKELUAR[[#This Row],[NAMA BAHAN]],TBLREKAPBAHAN[[NAMA BAHAN]:[MODAL SATUAN]],4,FALSE)</f>
        <v>921.0526315789474</v>
      </c>
      <c r="K101" s="215">
        <f>VLOOKUP(TBLBAHANKELUAR[[#This Row],[KODE BAHAN]],[4]!TBLKEBABSOSYAMKECIL[#Data],8,FALSE)</f>
        <v>0.5</v>
      </c>
      <c r="L101" s="215">
        <f>SUMIF(TBLPRODUKKELUARJULI[NAMA PRODUK],TBLBAHANKELUAR[[#This Row],[NAMA PRODUK]],TBLPRODUKKELUARJULI[JUMLAH TERJUAL])</f>
        <v>58</v>
      </c>
      <c r="M101" s="215">
        <f>TBLBAHANKELUAR[[#This Row],[KEB. BAHAN]]*TBLBAHANKELUAR[[#This Row],[JUMLAH KEB. BAHAN KELUAR]]</f>
        <v>29</v>
      </c>
      <c r="N101" s="214">
        <f>TBLBAHANKELUAR[[#This Row],[MODAL SATUAN]]*TBLBAHANKELUAR[[#This Row],[TOTAL BAHAN KELUAR]]</f>
        <v>26710.526315789473</v>
      </c>
    </row>
    <row r="102" spans="1:14" x14ac:dyDescent="0.3">
      <c r="A102" s="103">
        <v>2026</v>
      </c>
      <c r="B102" s="211" t="s">
        <v>590</v>
      </c>
      <c r="C102" s="211"/>
      <c r="D102" s="211"/>
      <c r="E102" s="3" t="s">
        <v>373</v>
      </c>
      <c r="F102" s="132">
        <v>7</v>
      </c>
      <c r="G102" s="213" t="str">
        <f>VLOOKUP(TBLBAHANKELUAR[[#This Row],[KODE BAHAN]],[4]!TBLKEBABSOSYAMKECIL[#Data],2,FALSE)</f>
        <v>AYAM SUWIR</v>
      </c>
      <c r="H102" s="214">
        <f>VLOOKUP(TBLBAHANKELUAR[[#This Row],[NAMA BAHAN]],TBLREKAPBAHAN[[NAMA BAHAN]:[MODAL SATUAN]],2,FALSE)</f>
        <v>45000</v>
      </c>
      <c r="I102" s="214">
        <f>VLOOKUP(TBLBAHANKELUAR[[#This Row],[NAMA BAHAN]],TBLREKAPBAHAN[[NAMA BAHAN]:[MODAL SATUAN]],3,FALSE)</f>
        <v>400</v>
      </c>
      <c r="J102" s="214">
        <f>VLOOKUP(TBLBAHANKELUAR[[#This Row],[NAMA BAHAN]],TBLREKAPBAHAN[[NAMA BAHAN]:[MODAL SATUAN]],4,FALSE)</f>
        <v>112.5</v>
      </c>
      <c r="K102" s="215">
        <f>VLOOKUP(TBLBAHANKELUAR[[#This Row],[KODE BAHAN]],[4]!TBLKEBABSOSYAMKECIL[#Data],8,FALSE)</f>
        <v>12</v>
      </c>
      <c r="L102" s="215">
        <f>SUMIF(TBLPRODUKKELUARJULI[NAMA PRODUK],TBLBAHANKELUAR[[#This Row],[NAMA PRODUK]],TBLPRODUKKELUARJULI[JUMLAH TERJUAL])</f>
        <v>58</v>
      </c>
      <c r="M102" s="215">
        <f>TBLBAHANKELUAR[[#This Row],[KEB. BAHAN]]*TBLBAHANKELUAR[[#This Row],[JUMLAH KEB. BAHAN KELUAR]]</f>
        <v>696</v>
      </c>
      <c r="N102" s="214">
        <f>TBLBAHANKELUAR[[#This Row],[MODAL SATUAN]]*TBLBAHANKELUAR[[#This Row],[TOTAL BAHAN KELUAR]]</f>
        <v>78300</v>
      </c>
    </row>
    <row r="103" spans="1:14" x14ac:dyDescent="0.3">
      <c r="A103" s="103">
        <v>2026</v>
      </c>
      <c r="B103" s="211" t="s">
        <v>590</v>
      </c>
      <c r="C103" s="211"/>
      <c r="D103" s="211"/>
      <c r="E103" s="3" t="s">
        <v>373</v>
      </c>
      <c r="F103" s="132">
        <v>8</v>
      </c>
      <c r="G103" s="213" t="str">
        <f>VLOOKUP(TBLBAHANKELUAR[[#This Row],[KODE BAHAN]],[4]!TBLKEBABSOSYAMKECIL[#Data],2,FALSE)</f>
        <v>KULIT KEBAB 17/18 CM</v>
      </c>
      <c r="H103" s="214">
        <f>VLOOKUP(TBLBAHANKELUAR[[#This Row],[NAMA BAHAN]],TBLREKAPBAHAN[[NAMA BAHAN]:[MODAL SATUAN]],2,FALSE)</f>
        <v>27000</v>
      </c>
      <c r="I103" s="214">
        <f>VLOOKUP(TBLBAHANKELUAR[[#This Row],[NAMA BAHAN]],TBLREKAPBAHAN[[NAMA BAHAN]:[MODAL SATUAN]],3,FALSE)</f>
        <v>20</v>
      </c>
      <c r="J103" s="214">
        <f>VLOOKUP(TBLBAHANKELUAR[[#This Row],[NAMA BAHAN]],TBLREKAPBAHAN[[NAMA BAHAN]:[MODAL SATUAN]],4,FALSE)</f>
        <v>1350</v>
      </c>
      <c r="K103" s="215">
        <f>VLOOKUP(TBLBAHANKELUAR[[#This Row],[KODE BAHAN]],[4]!TBLKEBABSOSYAMKECIL[#Data],8,FALSE)</f>
        <v>1</v>
      </c>
      <c r="L103" s="215">
        <f>SUMIF(TBLPRODUKKELUARJULI[NAMA PRODUK],TBLBAHANKELUAR[[#This Row],[NAMA PRODUK]],TBLPRODUKKELUARJULI[JUMLAH TERJUAL])</f>
        <v>58</v>
      </c>
      <c r="M103" s="215">
        <f>TBLBAHANKELUAR[[#This Row],[KEB. BAHAN]]*TBLBAHANKELUAR[[#This Row],[JUMLAH KEB. BAHAN KELUAR]]</f>
        <v>58</v>
      </c>
      <c r="N103" s="214">
        <f>TBLBAHANKELUAR[[#This Row],[MODAL SATUAN]]*TBLBAHANKELUAR[[#This Row],[TOTAL BAHAN KELUAR]]</f>
        <v>78300</v>
      </c>
    </row>
    <row r="104" spans="1:14" x14ac:dyDescent="0.3">
      <c r="A104" s="103">
        <v>2026</v>
      </c>
      <c r="B104" s="211" t="s">
        <v>590</v>
      </c>
      <c r="C104" s="211"/>
      <c r="D104" s="211"/>
      <c r="E104" s="3" t="s">
        <v>373</v>
      </c>
      <c r="F104" s="132">
        <v>9</v>
      </c>
      <c r="G104" s="213" t="str">
        <f>VLOOKUP(TBLBAHANKELUAR[[#This Row],[KODE BAHAN]],[4]!TBLKEBABSOSYAMKECIL[#Data],2,FALSE)</f>
        <v>SLADA</v>
      </c>
      <c r="H104" s="214">
        <f>VLOOKUP(TBLBAHANKELUAR[[#This Row],[NAMA BAHAN]],TBLREKAPBAHAN[[NAMA BAHAN]:[MODAL SATUAN]],2,FALSE)</f>
        <v>60000</v>
      </c>
      <c r="I104" s="214">
        <f>VLOOKUP(TBLBAHANKELUAR[[#This Row],[NAMA BAHAN]],TBLREKAPBAHAN[[NAMA BAHAN]:[MODAL SATUAN]],3,FALSE)</f>
        <v>50</v>
      </c>
      <c r="J104" s="214">
        <f>VLOOKUP(TBLBAHANKELUAR[[#This Row],[NAMA BAHAN]],TBLREKAPBAHAN[[NAMA BAHAN]:[MODAL SATUAN]],4,FALSE)</f>
        <v>1200</v>
      </c>
      <c r="K104" s="215">
        <f>VLOOKUP(TBLBAHANKELUAR[[#This Row],[KODE BAHAN]],[4]!TBLKEBABSOSYAMKECIL[#Data],8,FALSE)</f>
        <v>1</v>
      </c>
      <c r="L104" s="215">
        <f>SUMIF(TBLPRODUKKELUARJULI[NAMA PRODUK],TBLBAHANKELUAR[[#This Row],[NAMA PRODUK]],TBLPRODUKKELUARJULI[JUMLAH TERJUAL])</f>
        <v>58</v>
      </c>
      <c r="M104" s="215">
        <f>TBLBAHANKELUAR[[#This Row],[KEB. BAHAN]]*TBLBAHANKELUAR[[#This Row],[JUMLAH KEB. BAHAN KELUAR]]</f>
        <v>58</v>
      </c>
      <c r="N104" s="214">
        <f>TBLBAHANKELUAR[[#This Row],[MODAL SATUAN]]*TBLBAHANKELUAR[[#This Row],[TOTAL BAHAN KELUAR]]</f>
        <v>69600</v>
      </c>
    </row>
    <row r="105" spans="1:14" x14ac:dyDescent="0.3">
      <c r="A105" s="103">
        <v>2026</v>
      </c>
      <c r="B105" s="211" t="s">
        <v>590</v>
      </c>
      <c r="C105" s="211"/>
      <c r="D105" s="211"/>
      <c r="E105" s="3" t="s">
        <v>373</v>
      </c>
      <c r="F105" s="132">
        <v>10</v>
      </c>
      <c r="G105" s="213" t="str">
        <f>VLOOKUP(TBLBAHANKELUAR[[#This Row],[KODE BAHAN]],[4]!TBLKEBABSOSYAMKECIL[#Data],2,FALSE)</f>
        <v>MENTEGA</v>
      </c>
      <c r="H105" s="214">
        <f>VLOOKUP(TBLBAHANKELUAR[[#This Row],[NAMA BAHAN]],TBLREKAPBAHAN[[NAMA BAHAN]:[MODAL SATUAN]],2,FALSE)</f>
        <v>35000</v>
      </c>
      <c r="I105" s="214">
        <f>VLOOKUP(TBLBAHANKELUAR[[#This Row],[NAMA BAHAN]],TBLREKAPBAHAN[[NAMA BAHAN]:[MODAL SATUAN]],3,FALSE)</f>
        <v>1000</v>
      </c>
      <c r="J105" s="214">
        <f>VLOOKUP(TBLBAHANKELUAR[[#This Row],[NAMA BAHAN]],TBLREKAPBAHAN[[NAMA BAHAN]:[MODAL SATUAN]],4,FALSE)</f>
        <v>35</v>
      </c>
      <c r="K105" s="215">
        <f>VLOOKUP(TBLBAHANKELUAR[[#This Row],[KODE BAHAN]],[4]!TBLKEBABSOSYAMKECIL[#Data],8,FALSE)</f>
        <v>10</v>
      </c>
      <c r="L105" s="215">
        <f>SUMIF(TBLPRODUKKELUARJULI[NAMA PRODUK],TBLBAHANKELUAR[[#This Row],[NAMA PRODUK]],TBLPRODUKKELUARJULI[JUMLAH TERJUAL])</f>
        <v>58</v>
      </c>
      <c r="M105" s="215">
        <f>TBLBAHANKELUAR[[#This Row],[KEB. BAHAN]]*TBLBAHANKELUAR[[#This Row],[JUMLAH KEB. BAHAN KELUAR]]</f>
        <v>580</v>
      </c>
      <c r="N105" s="214">
        <f>TBLBAHANKELUAR[[#This Row],[MODAL SATUAN]]*TBLBAHANKELUAR[[#This Row],[TOTAL BAHAN KELUAR]]</f>
        <v>20300</v>
      </c>
    </row>
    <row r="106" spans="1:14" x14ac:dyDescent="0.3">
      <c r="A106" s="103">
        <v>2026</v>
      </c>
      <c r="B106" s="211" t="s">
        <v>590</v>
      </c>
      <c r="C106" s="211"/>
      <c r="D106" s="211"/>
      <c r="E106" s="3" t="s">
        <v>373</v>
      </c>
      <c r="F106" s="132">
        <v>11</v>
      </c>
      <c r="G106" s="213" t="str">
        <f>VLOOKUP(TBLBAHANKELUAR[[#This Row],[KODE BAHAN]],[4]!TBLKEBABSOSYAMKECIL[#Data],2,FALSE)</f>
        <v>GAS ELPIJI</v>
      </c>
      <c r="H106" s="214">
        <f>VLOOKUP(TBLBAHANKELUAR[[#This Row],[NAMA BAHAN]],TBLREKAPBAHAN[[NAMA BAHAN]:[MODAL SATUAN]],2,FALSE)</f>
        <v>23000</v>
      </c>
      <c r="I106" s="214">
        <f>VLOOKUP(TBLBAHANKELUAR[[#This Row],[NAMA BAHAN]],TBLREKAPBAHAN[[NAMA BAHAN]:[MODAL SATUAN]],3,FALSE)</f>
        <v>3000</v>
      </c>
      <c r="J106" s="214">
        <f>VLOOKUP(TBLBAHANKELUAR[[#This Row],[NAMA BAHAN]],TBLREKAPBAHAN[[NAMA BAHAN]:[MODAL SATUAN]],4,FALSE)</f>
        <v>7.666666666666667</v>
      </c>
      <c r="K106" s="215">
        <f>VLOOKUP(TBLBAHANKELUAR[[#This Row],[KODE BAHAN]],[4]!TBLKEBABSOSYAMKECIL[#Data],8,FALSE)</f>
        <v>10</v>
      </c>
      <c r="L106" s="215">
        <f>SUMIF(TBLPRODUKKELUARJULI[NAMA PRODUK],TBLBAHANKELUAR[[#This Row],[NAMA PRODUK]],TBLPRODUKKELUARJULI[JUMLAH TERJUAL])</f>
        <v>58</v>
      </c>
      <c r="M106" s="215">
        <f>TBLBAHANKELUAR[[#This Row],[KEB. BAHAN]]*TBLBAHANKELUAR[[#This Row],[JUMLAH KEB. BAHAN KELUAR]]</f>
        <v>580</v>
      </c>
      <c r="N106" s="214">
        <f>TBLBAHANKELUAR[[#This Row],[MODAL SATUAN]]*TBLBAHANKELUAR[[#This Row],[TOTAL BAHAN KELUAR]]</f>
        <v>4446.666666666667</v>
      </c>
    </row>
    <row r="107" spans="1:14" x14ac:dyDescent="0.3">
      <c r="A107" s="103">
        <v>2026</v>
      </c>
      <c r="B107" s="211" t="s">
        <v>590</v>
      </c>
      <c r="C107" s="211"/>
      <c r="D107" s="211"/>
      <c r="E107" s="3" t="s">
        <v>373</v>
      </c>
      <c r="F107" s="132">
        <v>12</v>
      </c>
      <c r="G107" s="213" t="str">
        <f>VLOOKUP(TBLBAHANKELUAR[[#This Row],[KODE BAHAN]],[4]!TBLKEBABSOSYAMKECIL[#Data],2,FALSE)</f>
        <v>KERTAS KEBAB</v>
      </c>
      <c r="H107" s="214">
        <f>VLOOKUP(TBLBAHANKELUAR[[#This Row],[NAMA BAHAN]],TBLREKAPBAHAN[[NAMA BAHAN]:[MODAL SATUAN]],2,FALSE)</f>
        <v>25000</v>
      </c>
      <c r="I107" s="214">
        <f>VLOOKUP(TBLBAHANKELUAR[[#This Row],[NAMA BAHAN]],TBLREKAPBAHAN[[NAMA BAHAN]:[MODAL SATUAN]],3,FALSE)</f>
        <v>100</v>
      </c>
      <c r="J107" s="214">
        <f>VLOOKUP(TBLBAHANKELUAR[[#This Row],[NAMA BAHAN]],TBLREKAPBAHAN[[NAMA BAHAN]:[MODAL SATUAN]],4,FALSE)</f>
        <v>250</v>
      </c>
      <c r="K107" s="215">
        <f>VLOOKUP(TBLBAHANKELUAR[[#This Row],[KODE BAHAN]],[4]!TBLKEBABSOSYAMKECIL[#Data],8,FALSE)</f>
        <v>1</v>
      </c>
      <c r="L107" s="215">
        <f>SUMIF(TBLPRODUKKELUARJULI[NAMA PRODUK],TBLBAHANKELUAR[[#This Row],[NAMA PRODUK]],TBLPRODUKKELUARJULI[JUMLAH TERJUAL])</f>
        <v>58</v>
      </c>
      <c r="M107" s="215">
        <f>TBLBAHANKELUAR[[#This Row],[KEB. BAHAN]]*TBLBAHANKELUAR[[#This Row],[JUMLAH KEB. BAHAN KELUAR]]</f>
        <v>58</v>
      </c>
      <c r="N107" s="214">
        <f>TBLBAHANKELUAR[[#This Row],[MODAL SATUAN]]*TBLBAHANKELUAR[[#This Row],[TOTAL BAHAN KELUAR]]</f>
        <v>14500</v>
      </c>
    </row>
    <row r="108" spans="1:14" x14ac:dyDescent="0.3">
      <c r="A108" s="103">
        <v>2026</v>
      </c>
      <c r="B108" s="211" t="s">
        <v>590</v>
      </c>
      <c r="C108" s="211"/>
      <c r="D108" s="211"/>
      <c r="E108" s="3" t="s">
        <v>373</v>
      </c>
      <c r="F108" s="132">
        <v>13</v>
      </c>
      <c r="G108" s="213" t="str">
        <f>VLOOKUP(TBLBAHANKELUAR[[#This Row],[KODE BAHAN]],[4]!TBLKEBABSOSYAMKECIL[#Data],2,FALSE)</f>
        <v>KRESEK 10 CM</v>
      </c>
      <c r="H108" s="214">
        <f>VLOOKUP(TBLBAHANKELUAR[[#This Row],[NAMA BAHAN]],TBLREKAPBAHAN[[NAMA BAHAN]:[MODAL SATUAN]],2,FALSE)</f>
        <v>5500</v>
      </c>
      <c r="I108" s="214">
        <f>VLOOKUP(TBLBAHANKELUAR[[#This Row],[NAMA BAHAN]],TBLREKAPBAHAN[[NAMA BAHAN]:[MODAL SATUAN]],3,FALSE)</f>
        <v>100</v>
      </c>
      <c r="J108" s="214">
        <f>VLOOKUP(TBLBAHANKELUAR[[#This Row],[NAMA BAHAN]],TBLREKAPBAHAN[[NAMA BAHAN]:[MODAL SATUAN]],4,FALSE)</f>
        <v>55</v>
      </c>
      <c r="K108" s="215">
        <f>VLOOKUP(TBLBAHANKELUAR[[#This Row],[KODE BAHAN]],[4]!TBLKEBABSOSYAMKECIL[#Data],8,FALSE)</f>
        <v>1</v>
      </c>
      <c r="L108" s="215">
        <f>SUMIF(TBLPRODUKKELUARJULI[NAMA PRODUK],TBLBAHANKELUAR[[#This Row],[NAMA PRODUK]],TBLPRODUKKELUARJULI[JUMLAH TERJUAL])</f>
        <v>58</v>
      </c>
      <c r="M108" s="215">
        <f>TBLBAHANKELUAR[[#This Row],[KEB. BAHAN]]*TBLBAHANKELUAR[[#This Row],[JUMLAH KEB. BAHAN KELUAR]]</f>
        <v>58</v>
      </c>
      <c r="N108" s="214">
        <f>TBLBAHANKELUAR[[#This Row],[MODAL SATUAN]]*TBLBAHANKELUAR[[#This Row],[TOTAL BAHAN KELUAR]]</f>
        <v>3190</v>
      </c>
    </row>
    <row r="109" spans="1:14" x14ac:dyDescent="0.3">
      <c r="A109" s="103">
        <v>2026</v>
      </c>
      <c r="B109" s="211" t="s">
        <v>590</v>
      </c>
      <c r="C109" s="211"/>
      <c r="D109" s="211"/>
      <c r="E109" s="18" t="s">
        <v>374</v>
      </c>
      <c r="F109" s="132">
        <v>1</v>
      </c>
      <c r="G109" s="213" t="str">
        <f>VLOOKUP(TBLBAHANKELUAR[[#This Row],[KODE BAHAN]],[4]!TBLKEBABSOSYAMKECIL[#Data],2,FALSE)</f>
        <v>SAOS TOMAT GRAM</v>
      </c>
      <c r="H109" s="214">
        <f>VLOOKUP(TBLBAHANKELUAR[[#This Row],[NAMA BAHAN]],TBLREKAPBAHAN[[NAMA BAHAN]:[MODAL SATUAN]],2,FALSE)</f>
        <v>20000</v>
      </c>
      <c r="I109" s="214">
        <f>VLOOKUP(TBLBAHANKELUAR[[#This Row],[NAMA BAHAN]],TBLREKAPBAHAN[[NAMA BAHAN]:[MODAL SATUAN]],3,FALSE)</f>
        <v>1000</v>
      </c>
      <c r="J109" s="214">
        <f>VLOOKUP(TBLBAHANKELUAR[[#This Row],[NAMA BAHAN]],TBLREKAPBAHAN[[NAMA BAHAN]:[MODAL SATUAN]],4,FALSE)</f>
        <v>20</v>
      </c>
      <c r="K109" s="215">
        <f>VLOOKUP(TBLBAHANKELUAR[[#This Row],[KODE BAHAN]],[4]!TBLKEBABSOSYAMKECIL[#Data],10,FALSE)</f>
        <v>0</v>
      </c>
      <c r="L109" s="215">
        <f>SUMIF(TBLPRODUKKELUARJULI[NAMA PRODUK],TBLBAHANKELUAR[[#This Row],[NAMA PRODUK]],TBLPRODUKKELUARJULI[JUMLAH TERJUAL])</f>
        <v>61</v>
      </c>
      <c r="M109" s="215">
        <f>TBLBAHANKELUAR[[#This Row],[KEB. BAHAN]]*TBLBAHANKELUAR[[#This Row],[JUMLAH KEB. BAHAN KELUAR]]</f>
        <v>0</v>
      </c>
      <c r="N109" s="214">
        <f>TBLBAHANKELUAR[[#This Row],[MODAL SATUAN]]*TBLBAHANKELUAR[[#This Row],[TOTAL BAHAN KELUAR]]</f>
        <v>0</v>
      </c>
    </row>
    <row r="110" spans="1:14" x14ac:dyDescent="0.3">
      <c r="A110" s="103">
        <v>2026</v>
      </c>
      <c r="B110" s="211" t="s">
        <v>590</v>
      </c>
      <c r="C110" s="211"/>
      <c r="D110" s="211"/>
      <c r="E110" s="18" t="s">
        <v>374</v>
      </c>
      <c r="F110" s="132">
        <v>2</v>
      </c>
      <c r="G110" s="213" t="str">
        <f>VLOOKUP(TBLBAHANKELUAR[[#This Row],[KODE BAHAN]],[4]!TBLKEBABSOSYAMKECIL[#Data],2,FALSE)</f>
        <v>SAOS SAMBAL GRAM</v>
      </c>
      <c r="H110" s="214">
        <f>VLOOKUP(TBLBAHANKELUAR[[#This Row],[NAMA BAHAN]],TBLREKAPBAHAN[[NAMA BAHAN]:[MODAL SATUAN]],2,FALSE)</f>
        <v>18000</v>
      </c>
      <c r="I110" s="214">
        <f>VLOOKUP(TBLBAHANKELUAR[[#This Row],[NAMA BAHAN]],TBLREKAPBAHAN[[NAMA BAHAN]:[MODAL SATUAN]],3,FALSE)</f>
        <v>1000</v>
      </c>
      <c r="J110" s="214">
        <f>VLOOKUP(TBLBAHANKELUAR[[#This Row],[NAMA BAHAN]],TBLREKAPBAHAN[[NAMA BAHAN]:[MODAL SATUAN]],4,FALSE)</f>
        <v>18</v>
      </c>
      <c r="K110" s="215">
        <f>VLOOKUP(TBLBAHANKELUAR[[#This Row],[KODE BAHAN]],[4]!TBLKEBABSOSYAMKECIL[#Data],10,FALSE)</f>
        <v>15</v>
      </c>
      <c r="L110" s="215">
        <f>SUMIF(TBLPRODUKKELUARJULI[NAMA PRODUK],TBLBAHANKELUAR[[#This Row],[NAMA PRODUK]],TBLPRODUKKELUARJULI[JUMLAH TERJUAL])</f>
        <v>61</v>
      </c>
      <c r="M110" s="215">
        <f>TBLBAHANKELUAR[[#This Row],[KEB. BAHAN]]*TBLBAHANKELUAR[[#This Row],[JUMLAH KEB. BAHAN KELUAR]]</f>
        <v>915</v>
      </c>
      <c r="N110" s="214">
        <f>TBLBAHANKELUAR[[#This Row],[MODAL SATUAN]]*TBLBAHANKELUAR[[#This Row],[TOTAL BAHAN KELUAR]]</f>
        <v>16470</v>
      </c>
    </row>
    <row r="111" spans="1:14" x14ac:dyDescent="0.3">
      <c r="A111" s="103">
        <v>2026</v>
      </c>
      <c r="B111" s="211" t="s">
        <v>590</v>
      </c>
      <c r="C111" s="211"/>
      <c r="D111" s="211"/>
      <c r="E111" s="18" t="s">
        <v>374</v>
      </c>
      <c r="F111" s="119">
        <v>3</v>
      </c>
      <c r="G111" s="213" t="str">
        <f>VLOOKUP(TBLBAHANKELUAR[[#This Row],[KODE BAHAN]],[4]!TBLKEBABSOSYAMKECIL[#Data],2,FALSE)</f>
        <v>SAOS BBQ GRAM</v>
      </c>
      <c r="H111" s="214">
        <f>VLOOKUP(TBLBAHANKELUAR[[#This Row],[NAMA BAHAN]],TBLREKAPBAHAN[[NAMA BAHAN]:[MODAL SATUAN]],2,FALSE)</f>
        <v>12000</v>
      </c>
      <c r="I111" s="214">
        <f>VLOOKUP(TBLBAHANKELUAR[[#This Row],[NAMA BAHAN]],TBLREKAPBAHAN[[NAMA BAHAN]:[MODAL SATUAN]],3,FALSE)</f>
        <v>250</v>
      </c>
      <c r="J111" s="214">
        <f>VLOOKUP(TBLBAHANKELUAR[[#This Row],[NAMA BAHAN]],TBLREKAPBAHAN[[NAMA BAHAN]:[MODAL SATUAN]],4,FALSE)</f>
        <v>48</v>
      </c>
      <c r="K111" s="215">
        <f>VLOOKUP(TBLBAHANKELUAR[[#This Row],[KODE BAHAN]],[4]!TBLKEBABSOSYAMKECIL[#Data],10,FALSE)</f>
        <v>5</v>
      </c>
      <c r="L111" s="215">
        <f>SUMIF(TBLPRODUKKELUARJULI[NAMA PRODUK],TBLBAHANKELUAR[[#This Row],[NAMA PRODUK]],TBLPRODUKKELUARJULI[JUMLAH TERJUAL])</f>
        <v>61</v>
      </c>
      <c r="M111" s="215">
        <f>TBLBAHANKELUAR[[#This Row],[KEB. BAHAN]]*TBLBAHANKELUAR[[#This Row],[JUMLAH KEB. BAHAN KELUAR]]</f>
        <v>305</v>
      </c>
      <c r="N111" s="214">
        <f>TBLBAHANKELUAR[[#This Row],[MODAL SATUAN]]*TBLBAHANKELUAR[[#This Row],[TOTAL BAHAN KELUAR]]</f>
        <v>14640</v>
      </c>
    </row>
    <row r="112" spans="1:14" x14ac:dyDescent="0.3">
      <c r="A112" s="103">
        <v>2026</v>
      </c>
      <c r="B112" s="211" t="s">
        <v>590</v>
      </c>
      <c r="C112" s="211"/>
      <c r="D112" s="211"/>
      <c r="E112" s="18" t="s">
        <v>374</v>
      </c>
      <c r="F112" s="119">
        <v>4</v>
      </c>
      <c r="G112" s="213" t="str">
        <f>VLOOKUP(TBLBAHANKELUAR[[#This Row],[KODE BAHAN]],[4]!TBLKEBABSOSYAMKECIL[#Data],2,FALSE)</f>
        <v>MAYONAIS GRAM</v>
      </c>
      <c r="H112" s="214">
        <f>VLOOKUP(TBLBAHANKELUAR[[#This Row],[NAMA BAHAN]],TBLREKAPBAHAN[[NAMA BAHAN]:[MODAL SATUAN]],2,FALSE)</f>
        <v>50000</v>
      </c>
      <c r="I112" s="214">
        <f>VLOOKUP(TBLBAHANKELUAR[[#This Row],[NAMA BAHAN]],TBLREKAPBAHAN[[NAMA BAHAN]:[MODAL SATUAN]],3,FALSE)</f>
        <v>1000</v>
      </c>
      <c r="J112" s="214">
        <f>VLOOKUP(TBLBAHANKELUAR[[#This Row],[NAMA BAHAN]],TBLREKAPBAHAN[[NAMA BAHAN]:[MODAL SATUAN]],4,FALSE)</f>
        <v>50</v>
      </c>
      <c r="K112" s="215">
        <f>VLOOKUP(TBLBAHANKELUAR[[#This Row],[KODE BAHAN]],[4]!TBLKEBABSOSYAMKECIL[#Data],10,FALSE)</f>
        <v>7</v>
      </c>
      <c r="L112" s="215">
        <f>SUMIF(TBLPRODUKKELUARJULI[NAMA PRODUK],TBLBAHANKELUAR[[#This Row],[NAMA PRODUK]],TBLPRODUKKELUARJULI[JUMLAH TERJUAL])</f>
        <v>61</v>
      </c>
      <c r="M112" s="215">
        <f>TBLBAHANKELUAR[[#This Row],[KEB. BAHAN]]*TBLBAHANKELUAR[[#This Row],[JUMLAH KEB. BAHAN KELUAR]]</f>
        <v>427</v>
      </c>
      <c r="N112" s="214">
        <f>TBLBAHANKELUAR[[#This Row],[MODAL SATUAN]]*TBLBAHANKELUAR[[#This Row],[TOTAL BAHAN KELUAR]]</f>
        <v>21350</v>
      </c>
    </row>
    <row r="113" spans="1:14" x14ac:dyDescent="0.3">
      <c r="A113" s="103">
        <v>2026</v>
      </c>
      <c r="B113" s="211" t="s">
        <v>590</v>
      </c>
      <c r="C113" s="211"/>
      <c r="D113" s="211"/>
      <c r="E113" s="18" t="s">
        <v>374</v>
      </c>
      <c r="F113" s="132">
        <v>5</v>
      </c>
      <c r="G113" s="213" t="str">
        <f>VLOOKUP(TBLBAHANKELUAR[[#This Row],[KODE BAHAN]],[4]!TBLKEBABSOSYAMKECIL[#Data],2,FALSE)</f>
        <v>SAOS SPAGHETI GRAM</v>
      </c>
      <c r="H113" s="214">
        <f>VLOOKUP(TBLBAHANKELUAR[[#This Row],[NAMA BAHAN]],TBLREKAPBAHAN[[NAMA BAHAN]:[MODAL SATUAN]],2,FALSE)</f>
        <v>12000</v>
      </c>
      <c r="I113" s="214">
        <f>VLOOKUP(TBLBAHANKELUAR[[#This Row],[NAMA BAHAN]],TBLREKAPBAHAN[[NAMA BAHAN]:[MODAL SATUAN]],3,FALSE)</f>
        <v>250</v>
      </c>
      <c r="J113" s="214">
        <f>VLOOKUP(TBLBAHANKELUAR[[#This Row],[NAMA BAHAN]],TBLREKAPBAHAN[[NAMA BAHAN]:[MODAL SATUAN]],4,FALSE)</f>
        <v>48</v>
      </c>
      <c r="K113" s="215">
        <f>VLOOKUP(TBLBAHANKELUAR[[#This Row],[KODE BAHAN]],[4]!TBLKEBABSOSYAMKECIL[#Data],10,FALSE)</f>
        <v>5</v>
      </c>
      <c r="L113" s="215">
        <f>SUMIF(TBLPRODUKKELUARJULI[NAMA PRODUK],TBLBAHANKELUAR[[#This Row],[NAMA PRODUK]],TBLPRODUKKELUARJULI[JUMLAH TERJUAL])</f>
        <v>61</v>
      </c>
      <c r="M113" s="215">
        <f>TBLBAHANKELUAR[[#This Row],[KEB. BAHAN]]*TBLBAHANKELUAR[[#This Row],[JUMLAH KEB. BAHAN KELUAR]]</f>
        <v>305</v>
      </c>
      <c r="N113" s="214">
        <f>TBLBAHANKELUAR[[#This Row],[MODAL SATUAN]]*TBLBAHANKELUAR[[#This Row],[TOTAL BAHAN KELUAR]]</f>
        <v>14640</v>
      </c>
    </row>
    <row r="114" spans="1:14" x14ac:dyDescent="0.3">
      <c r="A114" s="103">
        <v>2026</v>
      </c>
      <c r="B114" s="211" t="s">
        <v>590</v>
      </c>
      <c r="C114" s="211"/>
      <c r="D114" s="211"/>
      <c r="E114" s="18" t="s">
        <v>374</v>
      </c>
      <c r="F114" s="132">
        <v>6</v>
      </c>
      <c r="G114" s="213" t="str">
        <f>VLOOKUP(TBLBAHANKELUAR[[#This Row],[KODE BAHAN]],[4]!TBLKEBABSOSYAMKECIL[#Data],2,FALSE)</f>
        <v>SOSIZ BATANG</v>
      </c>
      <c r="H114" s="214">
        <f>VLOOKUP(TBLBAHANKELUAR[[#This Row],[NAMA BAHAN]],TBLREKAPBAHAN[[NAMA BAHAN]:[MODAL SATUAN]],2,FALSE)</f>
        <v>35000</v>
      </c>
      <c r="I114" s="214">
        <f>VLOOKUP(TBLBAHANKELUAR[[#This Row],[NAMA BAHAN]],TBLREKAPBAHAN[[NAMA BAHAN]:[MODAL SATUAN]],3,FALSE)</f>
        <v>38</v>
      </c>
      <c r="J114" s="214">
        <f>VLOOKUP(TBLBAHANKELUAR[[#This Row],[NAMA BAHAN]],TBLREKAPBAHAN[[NAMA BAHAN]:[MODAL SATUAN]],4,FALSE)</f>
        <v>921.0526315789474</v>
      </c>
      <c r="K114" s="215">
        <f>VLOOKUP(TBLBAHANKELUAR[[#This Row],[KODE BAHAN]],[4]!TBLKEBABSOSYAMKECIL[#Data],10,FALSE)</f>
        <v>0.5</v>
      </c>
      <c r="L114" s="215">
        <f>SUMIF(TBLPRODUKKELUARJULI[NAMA PRODUK],TBLBAHANKELUAR[[#This Row],[NAMA PRODUK]],TBLPRODUKKELUARJULI[JUMLAH TERJUAL])</f>
        <v>61</v>
      </c>
      <c r="M114" s="215">
        <f>TBLBAHANKELUAR[[#This Row],[KEB. BAHAN]]*TBLBAHANKELUAR[[#This Row],[JUMLAH KEB. BAHAN KELUAR]]</f>
        <v>30.5</v>
      </c>
      <c r="N114" s="214">
        <f>TBLBAHANKELUAR[[#This Row],[MODAL SATUAN]]*TBLBAHANKELUAR[[#This Row],[TOTAL BAHAN KELUAR]]</f>
        <v>28092.105263157897</v>
      </c>
    </row>
    <row r="115" spans="1:14" x14ac:dyDescent="0.3">
      <c r="A115" s="103">
        <v>2026</v>
      </c>
      <c r="B115" s="211" t="s">
        <v>590</v>
      </c>
      <c r="C115" s="211"/>
      <c r="D115" s="211"/>
      <c r="E115" s="18" t="s">
        <v>374</v>
      </c>
      <c r="F115" s="119">
        <v>7</v>
      </c>
      <c r="G115" s="213" t="str">
        <f>VLOOKUP(TBLBAHANKELUAR[[#This Row],[KODE BAHAN]],[4]!TBLKEBABSOSYAMKECIL[#Data],2,FALSE)</f>
        <v>AYAM SUWIR</v>
      </c>
      <c r="H115" s="214">
        <f>VLOOKUP(TBLBAHANKELUAR[[#This Row],[NAMA BAHAN]],TBLREKAPBAHAN[[NAMA BAHAN]:[MODAL SATUAN]],2,FALSE)</f>
        <v>45000</v>
      </c>
      <c r="I115" s="214">
        <f>VLOOKUP(TBLBAHANKELUAR[[#This Row],[NAMA BAHAN]],TBLREKAPBAHAN[[NAMA BAHAN]:[MODAL SATUAN]],3,FALSE)</f>
        <v>400</v>
      </c>
      <c r="J115" s="214">
        <f>VLOOKUP(TBLBAHANKELUAR[[#This Row],[NAMA BAHAN]],TBLREKAPBAHAN[[NAMA BAHAN]:[MODAL SATUAN]],4,FALSE)</f>
        <v>112.5</v>
      </c>
      <c r="K115" s="215">
        <f>VLOOKUP(TBLBAHANKELUAR[[#This Row],[KODE BAHAN]],[4]!TBLKEBABSOSYAMKECIL[#Data],10,FALSE)</f>
        <v>12</v>
      </c>
      <c r="L115" s="215">
        <f>SUMIF(TBLPRODUKKELUARJULI[NAMA PRODUK],TBLBAHANKELUAR[[#This Row],[NAMA PRODUK]],TBLPRODUKKELUARJULI[JUMLAH TERJUAL])</f>
        <v>61</v>
      </c>
      <c r="M115" s="215">
        <f>TBLBAHANKELUAR[[#This Row],[KEB. BAHAN]]*TBLBAHANKELUAR[[#This Row],[JUMLAH KEB. BAHAN KELUAR]]</f>
        <v>732</v>
      </c>
      <c r="N115" s="214">
        <f>TBLBAHANKELUAR[[#This Row],[MODAL SATUAN]]*TBLBAHANKELUAR[[#This Row],[TOTAL BAHAN KELUAR]]</f>
        <v>82350</v>
      </c>
    </row>
    <row r="116" spans="1:14" x14ac:dyDescent="0.3">
      <c r="A116" s="103">
        <v>2026</v>
      </c>
      <c r="B116" s="211" t="s">
        <v>590</v>
      </c>
      <c r="C116" s="211"/>
      <c r="D116" s="211"/>
      <c r="E116" s="18" t="s">
        <v>374</v>
      </c>
      <c r="F116" s="119">
        <v>8</v>
      </c>
      <c r="G116" s="213" t="str">
        <f>VLOOKUP(TBLBAHANKELUAR[[#This Row],[KODE BAHAN]],[4]!TBLKEBABSOSYAMKECIL[#Data],2,FALSE)</f>
        <v>KULIT KEBAB 17/18 CM</v>
      </c>
      <c r="H116" s="214">
        <f>VLOOKUP(TBLBAHANKELUAR[[#This Row],[NAMA BAHAN]],TBLREKAPBAHAN[[NAMA BAHAN]:[MODAL SATUAN]],2,FALSE)</f>
        <v>27000</v>
      </c>
      <c r="I116" s="214">
        <f>VLOOKUP(TBLBAHANKELUAR[[#This Row],[NAMA BAHAN]],TBLREKAPBAHAN[[NAMA BAHAN]:[MODAL SATUAN]],3,FALSE)</f>
        <v>20</v>
      </c>
      <c r="J116" s="214">
        <f>VLOOKUP(TBLBAHANKELUAR[[#This Row],[NAMA BAHAN]],TBLREKAPBAHAN[[NAMA BAHAN]:[MODAL SATUAN]],4,FALSE)</f>
        <v>1350</v>
      </c>
      <c r="K116" s="215">
        <f>VLOOKUP(TBLBAHANKELUAR[[#This Row],[KODE BAHAN]],[4]!TBLKEBABSOSYAMKECIL[#Data],10,FALSE)</f>
        <v>1</v>
      </c>
      <c r="L116" s="215">
        <f>SUMIF(TBLPRODUKKELUARJULI[NAMA PRODUK],TBLBAHANKELUAR[[#This Row],[NAMA PRODUK]],TBLPRODUKKELUARJULI[JUMLAH TERJUAL])</f>
        <v>61</v>
      </c>
      <c r="M116" s="215">
        <f>TBLBAHANKELUAR[[#This Row],[KEB. BAHAN]]*TBLBAHANKELUAR[[#This Row],[JUMLAH KEB. BAHAN KELUAR]]</f>
        <v>61</v>
      </c>
      <c r="N116" s="214">
        <f>TBLBAHANKELUAR[[#This Row],[MODAL SATUAN]]*TBLBAHANKELUAR[[#This Row],[TOTAL BAHAN KELUAR]]</f>
        <v>82350</v>
      </c>
    </row>
    <row r="117" spans="1:14" x14ac:dyDescent="0.3">
      <c r="A117" s="103">
        <v>2026</v>
      </c>
      <c r="B117" s="211" t="s">
        <v>590</v>
      </c>
      <c r="C117" s="211"/>
      <c r="D117" s="211"/>
      <c r="E117" s="18" t="s">
        <v>374</v>
      </c>
      <c r="F117" s="132">
        <v>9</v>
      </c>
      <c r="G117" s="213" t="str">
        <f>VLOOKUP(TBLBAHANKELUAR[[#This Row],[KODE BAHAN]],[4]!TBLKEBABSOSYAMKECIL[#Data],2,FALSE)</f>
        <v>SLADA</v>
      </c>
      <c r="H117" s="214">
        <f>VLOOKUP(TBLBAHANKELUAR[[#This Row],[NAMA BAHAN]],TBLREKAPBAHAN[[NAMA BAHAN]:[MODAL SATUAN]],2,FALSE)</f>
        <v>60000</v>
      </c>
      <c r="I117" s="214">
        <f>VLOOKUP(TBLBAHANKELUAR[[#This Row],[NAMA BAHAN]],TBLREKAPBAHAN[[NAMA BAHAN]:[MODAL SATUAN]],3,FALSE)</f>
        <v>50</v>
      </c>
      <c r="J117" s="214">
        <f>VLOOKUP(TBLBAHANKELUAR[[#This Row],[NAMA BAHAN]],TBLREKAPBAHAN[[NAMA BAHAN]:[MODAL SATUAN]],4,FALSE)</f>
        <v>1200</v>
      </c>
      <c r="K117" s="215">
        <f>VLOOKUP(TBLBAHANKELUAR[[#This Row],[KODE BAHAN]],[4]!TBLKEBABSOSYAMKECIL[#Data],10,FALSE)</f>
        <v>1</v>
      </c>
      <c r="L117" s="215">
        <f>SUMIF(TBLPRODUKKELUARJULI[NAMA PRODUK],TBLBAHANKELUAR[[#This Row],[NAMA PRODUK]],TBLPRODUKKELUARJULI[JUMLAH TERJUAL])</f>
        <v>61</v>
      </c>
      <c r="M117" s="215">
        <f>TBLBAHANKELUAR[[#This Row],[KEB. BAHAN]]*TBLBAHANKELUAR[[#This Row],[JUMLAH KEB. BAHAN KELUAR]]</f>
        <v>61</v>
      </c>
      <c r="N117" s="214">
        <f>TBLBAHANKELUAR[[#This Row],[MODAL SATUAN]]*TBLBAHANKELUAR[[#This Row],[TOTAL BAHAN KELUAR]]</f>
        <v>73200</v>
      </c>
    </row>
    <row r="118" spans="1:14" x14ac:dyDescent="0.3">
      <c r="A118" s="103">
        <v>2026</v>
      </c>
      <c r="B118" s="211" t="s">
        <v>590</v>
      </c>
      <c r="C118" s="211"/>
      <c r="D118" s="211"/>
      <c r="E118" s="18" t="s">
        <v>374</v>
      </c>
      <c r="F118" s="132">
        <v>10</v>
      </c>
      <c r="G118" s="213" t="str">
        <f>VLOOKUP(TBLBAHANKELUAR[[#This Row],[KODE BAHAN]],[4]!TBLKEBABSOSYAMKECIL[#Data],2,FALSE)</f>
        <v>MENTEGA</v>
      </c>
      <c r="H118" s="214">
        <f>VLOOKUP(TBLBAHANKELUAR[[#This Row],[NAMA BAHAN]],TBLREKAPBAHAN[[NAMA BAHAN]:[MODAL SATUAN]],2,FALSE)</f>
        <v>35000</v>
      </c>
      <c r="I118" s="214">
        <f>VLOOKUP(TBLBAHANKELUAR[[#This Row],[NAMA BAHAN]],TBLREKAPBAHAN[[NAMA BAHAN]:[MODAL SATUAN]],3,FALSE)</f>
        <v>1000</v>
      </c>
      <c r="J118" s="214">
        <f>VLOOKUP(TBLBAHANKELUAR[[#This Row],[NAMA BAHAN]],TBLREKAPBAHAN[[NAMA BAHAN]:[MODAL SATUAN]],4,FALSE)</f>
        <v>35</v>
      </c>
      <c r="K118" s="215">
        <f>VLOOKUP(TBLBAHANKELUAR[[#This Row],[KODE BAHAN]],[4]!TBLKEBABSOSYAMKECIL[#Data],10,FALSE)</f>
        <v>10</v>
      </c>
      <c r="L118" s="215">
        <f>SUMIF(TBLPRODUKKELUARJULI[NAMA PRODUK],TBLBAHANKELUAR[[#This Row],[NAMA PRODUK]],TBLPRODUKKELUARJULI[JUMLAH TERJUAL])</f>
        <v>61</v>
      </c>
      <c r="M118" s="215">
        <f>TBLBAHANKELUAR[[#This Row],[KEB. BAHAN]]*TBLBAHANKELUAR[[#This Row],[JUMLAH KEB. BAHAN KELUAR]]</f>
        <v>610</v>
      </c>
      <c r="N118" s="214">
        <f>TBLBAHANKELUAR[[#This Row],[MODAL SATUAN]]*TBLBAHANKELUAR[[#This Row],[TOTAL BAHAN KELUAR]]</f>
        <v>21350</v>
      </c>
    </row>
    <row r="119" spans="1:14" x14ac:dyDescent="0.3">
      <c r="A119" s="103">
        <v>2026</v>
      </c>
      <c r="B119" s="211" t="s">
        <v>590</v>
      </c>
      <c r="C119" s="211"/>
      <c r="D119" s="211"/>
      <c r="E119" s="18" t="s">
        <v>374</v>
      </c>
      <c r="F119" s="119">
        <v>11</v>
      </c>
      <c r="G119" s="213" t="str">
        <f>VLOOKUP(TBLBAHANKELUAR[[#This Row],[KODE BAHAN]],[4]!TBLKEBABSOSYAMKECIL[#Data],2,FALSE)</f>
        <v>GAS ELPIJI</v>
      </c>
      <c r="H119" s="214">
        <f>VLOOKUP(TBLBAHANKELUAR[[#This Row],[NAMA BAHAN]],TBLREKAPBAHAN[[NAMA BAHAN]:[MODAL SATUAN]],2,FALSE)</f>
        <v>23000</v>
      </c>
      <c r="I119" s="214">
        <f>VLOOKUP(TBLBAHANKELUAR[[#This Row],[NAMA BAHAN]],TBLREKAPBAHAN[[NAMA BAHAN]:[MODAL SATUAN]],3,FALSE)</f>
        <v>3000</v>
      </c>
      <c r="J119" s="214">
        <f>VLOOKUP(TBLBAHANKELUAR[[#This Row],[NAMA BAHAN]],TBLREKAPBAHAN[[NAMA BAHAN]:[MODAL SATUAN]],4,FALSE)</f>
        <v>7.666666666666667</v>
      </c>
      <c r="K119" s="215">
        <f>VLOOKUP(TBLBAHANKELUAR[[#This Row],[KODE BAHAN]],[4]!TBLKEBABSOSYAMKECIL[#Data],10,FALSE)</f>
        <v>10</v>
      </c>
      <c r="L119" s="215">
        <f>SUMIF(TBLPRODUKKELUARJULI[NAMA PRODUK],TBLBAHANKELUAR[[#This Row],[NAMA PRODUK]],TBLPRODUKKELUARJULI[JUMLAH TERJUAL])</f>
        <v>61</v>
      </c>
      <c r="M119" s="215">
        <f>TBLBAHANKELUAR[[#This Row],[KEB. BAHAN]]*TBLBAHANKELUAR[[#This Row],[JUMLAH KEB. BAHAN KELUAR]]</f>
        <v>610</v>
      </c>
      <c r="N119" s="214">
        <f>TBLBAHANKELUAR[[#This Row],[MODAL SATUAN]]*TBLBAHANKELUAR[[#This Row],[TOTAL BAHAN KELUAR]]</f>
        <v>4676.666666666667</v>
      </c>
    </row>
    <row r="120" spans="1:14" x14ac:dyDescent="0.3">
      <c r="A120" s="103">
        <v>2026</v>
      </c>
      <c r="B120" s="211" t="s">
        <v>590</v>
      </c>
      <c r="C120" s="211"/>
      <c r="D120" s="211"/>
      <c r="E120" s="18" t="s">
        <v>374</v>
      </c>
      <c r="F120" s="132">
        <v>12</v>
      </c>
      <c r="G120" s="213" t="str">
        <f>VLOOKUP(TBLBAHANKELUAR[[#This Row],[KODE BAHAN]],[4]!TBLKEBABSOSYAMKECIL[#Data],2,FALSE)</f>
        <v>KERTAS KEBAB</v>
      </c>
      <c r="H120" s="214">
        <f>VLOOKUP(TBLBAHANKELUAR[[#This Row],[NAMA BAHAN]],TBLREKAPBAHAN[[NAMA BAHAN]:[MODAL SATUAN]],2,FALSE)</f>
        <v>25000</v>
      </c>
      <c r="I120" s="214">
        <f>VLOOKUP(TBLBAHANKELUAR[[#This Row],[NAMA BAHAN]],TBLREKAPBAHAN[[NAMA BAHAN]:[MODAL SATUAN]],3,FALSE)</f>
        <v>100</v>
      </c>
      <c r="J120" s="214">
        <f>VLOOKUP(TBLBAHANKELUAR[[#This Row],[NAMA BAHAN]],TBLREKAPBAHAN[[NAMA BAHAN]:[MODAL SATUAN]],4,FALSE)</f>
        <v>250</v>
      </c>
      <c r="K120" s="215">
        <f>VLOOKUP(TBLBAHANKELUAR[[#This Row],[KODE BAHAN]],[4]!TBLKEBABSOSYAMKECIL[#Data],10,FALSE)</f>
        <v>1</v>
      </c>
      <c r="L120" s="215">
        <f>SUMIF(TBLPRODUKKELUARJULI[NAMA PRODUK],TBLBAHANKELUAR[[#This Row],[NAMA PRODUK]],TBLPRODUKKELUARJULI[JUMLAH TERJUAL])</f>
        <v>61</v>
      </c>
      <c r="M120" s="215">
        <f>TBLBAHANKELUAR[[#This Row],[KEB. BAHAN]]*TBLBAHANKELUAR[[#This Row],[JUMLAH KEB. BAHAN KELUAR]]</f>
        <v>61</v>
      </c>
      <c r="N120" s="214">
        <f>TBLBAHANKELUAR[[#This Row],[MODAL SATUAN]]*TBLBAHANKELUAR[[#This Row],[TOTAL BAHAN KELUAR]]</f>
        <v>15250</v>
      </c>
    </row>
    <row r="121" spans="1:14" x14ac:dyDescent="0.3">
      <c r="A121" s="103">
        <v>2026</v>
      </c>
      <c r="B121" s="211" t="s">
        <v>590</v>
      </c>
      <c r="C121" s="211"/>
      <c r="D121" s="211"/>
      <c r="E121" s="18" t="s">
        <v>374</v>
      </c>
      <c r="F121" s="132">
        <v>13</v>
      </c>
      <c r="G121" s="213" t="str">
        <f>VLOOKUP(TBLBAHANKELUAR[[#This Row],[KODE BAHAN]],[4]!TBLKEBABSOSYAMKECIL[#Data],2,FALSE)</f>
        <v>KRESEK 10 CM</v>
      </c>
      <c r="H121" s="214">
        <f>VLOOKUP(TBLBAHANKELUAR[[#This Row],[NAMA BAHAN]],TBLREKAPBAHAN[[NAMA BAHAN]:[MODAL SATUAN]],2,FALSE)</f>
        <v>5500</v>
      </c>
      <c r="I121" s="214">
        <f>VLOOKUP(TBLBAHANKELUAR[[#This Row],[NAMA BAHAN]],TBLREKAPBAHAN[[NAMA BAHAN]:[MODAL SATUAN]],3,FALSE)</f>
        <v>100</v>
      </c>
      <c r="J121" s="214">
        <f>VLOOKUP(TBLBAHANKELUAR[[#This Row],[NAMA BAHAN]],TBLREKAPBAHAN[[NAMA BAHAN]:[MODAL SATUAN]],4,FALSE)</f>
        <v>55</v>
      </c>
      <c r="K121" s="215">
        <f>VLOOKUP(TBLBAHANKELUAR[[#This Row],[KODE BAHAN]],[4]!TBLKEBABSOSYAMKECIL[#Data],10,FALSE)</f>
        <v>1</v>
      </c>
      <c r="L121" s="215">
        <f>SUMIF(TBLPRODUKKELUARJULI[NAMA PRODUK],TBLBAHANKELUAR[[#This Row],[NAMA PRODUK]],TBLPRODUKKELUARJULI[JUMLAH TERJUAL])</f>
        <v>61</v>
      </c>
      <c r="M121" s="215">
        <f>TBLBAHANKELUAR[[#This Row],[KEB. BAHAN]]*TBLBAHANKELUAR[[#This Row],[JUMLAH KEB. BAHAN KELUAR]]</f>
        <v>61</v>
      </c>
      <c r="N121" s="214">
        <f>TBLBAHANKELUAR[[#This Row],[MODAL SATUAN]]*TBLBAHANKELUAR[[#This Row],[TOTAL BAHAN KELUAR]]</f>
        <v>3355</v>
      </c>
    </row>
    <row r="122" spans="1:14" s="240" customFormat="1" x14ac:dyDescent="0.3">
      <c r="A122" s="121">
        <v>2026</v>
      </c>
      <c r="B122" s="235" t="s">
        <v>590</v>
      </c>
      <c r="C122" s="235"/>
      <c r="D122" s="235"/>
      <c r="E122" s="234" t="s">
        <v>596</v>
      </c>
      <c r="F122" s="236"/>
      <c r="G122" s="237" t="s">
        <v>579</v>
      </c>
      <c r="H122" s="238">
        <f>VLOOKUP(TBLBAHANKELUAR[[#This Row],[NAMA BAHAN]],TBLREKAPBAHAN[[NAMA BAHAN]:[MODAL SATUAN]],2,FALSE)</f>
        <v>27000</v>
      </c>
      <c r="I122" s="238">
        <f>VLOOKUP(TBLBAHANKELUAR[[#This Row],[NAMA BAHAN]],TBLREKAPBAHAN[[NAMA BAHAN]:[MODAL SATUAN]],3,FALSE)</f>
        <v>20</v>
      </c>
      <c r="J122" s="238">
        <f>VLOOKUP(TBLBAHANKELUAR[[#This Row],[NAMA BAHAN]],TBLREKAPBAHAN[[NAMA BAHAN]:[MODAL SATUAN]],4,FALSE)</f>
        <v>1350</v>
      </c>
      <c r="K122" s="239">
        <v>20</v>
      </c>
      <c r="L122" s="239">
        <v>1</v>
      </c>
      <c r="M122" s="239">
        <f>TBLBAHANKELUAR[[#This Row],[KEB. BAHAN]]*TBLBAHANKELUAR[[#This Row],[JUMLAH KEB. BAHAN KELUAR]]</f>
        <v>20</v>
      </c>
      <c r="N122" s="238">
        <f>TBLBAHANKELUAR[[#This Row],[MODAL SATUAN]]*TBLBAHANKELUAR[[#This Row],[TOTAL BAHAN KELUAR]]</f>
        <v>27000</v>
      </c>
    </row>
    <row r="123" spans="1:14" s="240" customFormat="1" x14ac:dyDescent="0.3">
      <c r="A123" s="121">
        <v>2026</v>
      </c>
      <c r="B123" s="235" t="s">
        <v>590</v>
      </c>
      <c r="C123" s="235"/>
      <c r="D123" s="235"/>
      <c r="E123" s="234" t="s">
        <v>596</v>
      </c>
      <c r="F123" s="236"/>
      <c r="G123" s="237" t="s">
        <v>332</v>
      </c>
      <c r="H123" s="238">
        <f>VLOOKUP(TBLBAHANKELUAR[[#This Row],[NAMA BAHAN]],TBLREKAPBAHAN[[NAMA BAHAN]:[MODAL SATUAN]],2,FALSE)</f>
        <v>29000</v>
      </c>
      <c r="I123" s="238">
        <f>VLOOKUP(TBLBAHANKELUAR[[#This Row],[NAMA BAHAN]],TBLREKAPBAHAN[[NAMA BAHAN]:[MODAL SATUAN]],3,FALSE)</f>
        <v>20</v>
      </c>
      <c r="J123" s="238">
        <f>VLOOKUP(TBLBAHANKELUAR[[#This Row],[NAMA BAHAN]],TBLREKAPBAHAN[[NAMA BAHAN]:[MODAL SATUAN]],4,FALSE)</f>
        <v>1450</v>
      </c>
      <c r="K123" s="239">
        <v>20</v>
      </c>
      <c r="L123" s="239">
        <v>1</v>
      </c>
      <c r="M123" s="239">
        <f>TBLBAHANKELUAR[[#This Row],[KEB. BAHAN]]*TBLBAHANKELUAR[[#This Row],[JUMLAH KEB. BAHAN KELUAR]]</f>
        <v>20</v>
      </c>
      <c r="N123" s="238">
        <f>TBLBAHANKELUAR[[#This Row],[MODAL SATUAN]]*TBLBAHANKELUAR[[#This Row],[TOTAL BAHAN KELUAR]]</f>
        <v>29000</v>
      </c>
    </row>
    <row r="124" spans="1:14" s="240" customFormat="1" x14ac:dyDescent="0.3">
      <c r="A124" s="121">
        <v>2026</v>
      </c>
      <c r="B124" s="235" t="s">
        <v>590</v>
      </c>
      <c r="C124" s="235"/>
      <c r="D124" s="235"/>
      <c r="E124" s="234" t="s">
        <v>596</v>
      </c>
      <c r="F124" s="236"/>
      <c r="G124" s="237" t="s">
        <v>330</v>
      </c>
      <c r="H124" s="238">
        <f>VLOOKUP(TBLBAHANKELUAR[[#This Row],[NAMA BAHAN]],TBLREKAPBAHAN[[NAMA BAHAN]:[MODAL SATUAN]],2,FALSE)</f>
        <v>35000</v>
      </c>
      <c r="I124" s="238">
        <f>VLOOKUP(TBLBAHANKELUAR[[#This Row],[NAMA BAHAN]],TBLREKAPBAHAN[[NAMA BAHAN]:[MODAL SATUAN]],3,FALSE)</f>
        <v>38</v>
      </c>
      <c r="J124" s="238">
        <f>VLOOKUP(TBLBAHANKELUAR[[#This Row],[NAMA BAHAN]],TBLREKAPBAHAN[[NAMA BAHAN]:[MODAL SATUAN]],4,FALSE)</f>
        <v>921.0526315789474</v>
      </c>
      <c r="K124" s="239">
        <v>20</v>
      </c>
      <c r="L124" s="239">
        <v>1</v>
      </c>
      <c r="M124" s="239">
        <f>TBLBAHANKELUAR[[#This Row],[KEB. BAHAN]]*TBLBAHANKELUAR[[#This Row],[JUMLAH KEB. BAHAN KELUAR]]</f>
        <v>20</v>
      </c>
      <c r="N124" s="238">
        <f>TBLBAHANKELUAR[[#This Row],[MODAL SATUAN]]*TBLBAHANKELUAR[[#This Row],[TOTAL BAHAN KELUAR]]</f>
        <v>18421.052631578947</v>
      </c>
    </row>
    <row r="125" spans="1:14" s="240" customFormat="1" x14ac:dyDescent="0.3">
      <c r="A125" s="121">
        <v>2026</v>
      </c>
      <c r="B125" s="235" t="s">
        <v>590</v>
      </c>
      <c r="C125" s="235"/>
      <c r="D125" s="235"/>
      <c r="E125" s="234" t="s">
        <v>596</v>
      </c>
      <c r="F125" s="236"/>
      <c r="G125" s="173" t="s">
        <v>343</v>
      </c>
      <c r="H125" s="238">
        <f>VLOOKUP(TBLBAHANKELUAR[[#This Row],[NAMA BAHAN]],TBLREKAPBAHAN[[NAMA BAHAN]:[MODAL SATUAN]],2,FALSE)</f>
        <v>14000</v>
      </c>
      <c r="I125" s="238">
        <f>VLOOKUP(TBLBAHANKELUAR[[#This Row],[NAMA BAHAN]],TBLREKAPBAHAN[[NAMA BAHAN]:[MODAL SATUAN]],3,FALSE)</f>
        <v>1000</v>
      </c>
      <c r="J125" s="238">
        <f>VLOOKUP(TBLBAHANKELUAR[[#This Row],[NAMA BAHAN]],TBLREKAPBAHAN[[NAMA BAHAN]:[MODAL SATUAN]],4,FALSE)</f>
        <v>14</v>
      </c>
      <c r="K125" s="239">
        <v>1000</v>
      </c>
      <c r="L125" s="239">
        <v>1</v>
      </c>
      <c r="M125" s="239">
        <f>TBLBAHANKELUAR[[#This Row],[KEB. BAHAN]]*TBLBAHANKELUAR[[#This Row],[JUMLAH KEB. BAHAN KELUAR]]</f>
        <v>1000</v>
      </c>
      <c r="N125" s="238">
        <f>TBLBAHANKELUAR[[#This Row],[MODAL SATUAN]]*TBLBAHANKELUAR[[#This Row],[TOTAL BAHAN KELUAR]]</f>
        <v>14000</v>
      </c>
    </row>
    <row r="126" spans="1:14" s="240" customFormat="1" x14ac:dyDescent="0.3">
      <c r="A126" s="121">
        <v>2026</v>
      </c>
      <c r="B126" s="235" t="s">
        <v>590</v>
      </c>
      <c r="C126" s="235"/>
      <c r="D126" s="235"/>
      <c r="E126" s="234" t="s">
        <v>596</v>
      </c>
      <c r="F126" s="236"/>
      <c r="G126" s="173" t="s">
        <v>342</v>
      </c>
      <c r="H126" s="238">
        <f>VLOOKUP(TBLBAHANKELUAR[[#This Row],[NAMA BAHAN]],TBLREKAPBAHAN[[NAMA BAHAN]:[MODAL SATUAN]],2,FALSE)</f>
        <v>14000</v>
      </c>
      <c r="I126" s="238">
        <f>VLOOKUP(TBLBAHANKELUAR[[#This Row],[NAMA BAHAN]],TBLREKAPBAHAN[[NAMA BAHAN]:[MODAL SATUAN]],3,FALSE)</f>
        <v>1000</v>
      </c>
      <c r="J126" s="238">
        <f>VLOOKUP(TBLBAHANKELUAR[[#This Row],[NAMA BAHAN]],TBLREKAPBAHAN[[NAMA BAHAN]:[MODAL SATUAN]],4,FALSE)</f>
        <v>14</v>
      </c>
      <c r="K126" s="239">
        <v>1200</v>
      </c>
      <c r="L126" s="239">
        <v>1</v>
      </c>
      <c r="M126" s="239">
        <f>TBLBAHANKELUAR[[#This Row],[KEB. BAHAN]]*TBLBAHANKELUAR[[#This Row],[JUMLAH KEB. BAHAN KELUAR]]</f>
        <v>1200</v>
      </c>
      <c r="N126" s="238">
        <f>TBLBAHANKELUAR[[#This Row],[MODAL SATUAN]]*TBLBAHANKELUAR[[#This Row],[TOTAL BAHAN KELUAR]]</f>
        <v>16800</v>
      </c>
    </row>
    <row r="127" spans="1:14" s="240" customFormat="1" x14ac:dyDescent="0.3">
      <c r="A127" s="121">
        <v>2026</v>
      </c>
      <c r="B127" s="235" t="s">
        <v>590</v>
      </c>
      <c r="C127" s="235"/>
      <c r="D127" s="235"/>
      <c r="E127" s="234" t="s">
        <v>596</v>
      </c>
      <c r="F127" s="236"/>
      <c r="G127" s="237" t="s">
        <v>151</v>
      </c>
      <c r="H127" s="238">
        <f>VLOOKUP(TBLBAHANKELUAR[[#This Row],[NAMA BAHAN]],TBLREKAPBAHAN[[NAMA BAHAN]:[MODAL SATUAN]],2,FALSE)</f>
        <v>20000</v>
      </c>
      <c r="I127" s="238">
        <f>VLOOKUP(TBLBAHANKELUAR[[#This Row],[NAMA BAHAN]],TBLREKAPBAHAN[[NAMA BAHAN]:[MODAL SATUAN]],3,FALSE)</f>
        <v>10</v>
      </c>
      <c r="J127" s="238">
        <f>VLOOKUP(TBLBAHANKELUAR[[#This Row],[NAMA BAHAN]],TBLREKAPBAHAN[[NAMA BAHAN]:[MODAL SATUAN]],4,FALSE)</f>
        <v>2000</v>
      </c>
      <c r="K127" s="239">
        <v>33</v>
      </c>
      <c r="L127" s="239">
        <v>1</v>
      </c>
      <c r="M127" s="239">
        <f>TBLBAHANKELUAR[[#This Row],[KEB. BAHAN]]*TBLBAHANKELUAR[[#This Row],[JUMLAH KEB. BAHAN KELUAR]]</f>
        <v>33</v>
      </c>
      <c r="N127" s="238">
        <f>TBLBAHANKELUAR[[#This Row],[MODAL SATUAN]]*TBLBAHANKELUAR[[#This Row],[TOTAL BAHAN KELUAR]]</f>
        <v>66000</v>
      </c>
    </row>
    <row r="128" spans="1:14" s="240" customFormat="1" x14ac:dyDescent="0.3">
      <c r="A128" s="121">
        <v>2026</v>
      </c>
      <c r="B128" s="235" t="s">
        <v>590</v>
      </c>
      <c r="C128" s="235"/>
      <c r="D128" s="235"/>
      <c r="E128" s="234" t="s">
        <v>596</v>
      </c>
      <c r="F128" s="236"/>
      <c r="G128" s="173" t="s">
        <v>324</v>
      </c>
      <c r="H128" s="238">
        <f>VLOOKUP(TBLBAHANKELUAR[[#This Row],[NAMA BAHAN]],TBLREKAPBAHAN[[NAMA BAHAN]:[MODAL SATUAN]],2,FALSE)</f>
        <v>50000</v>
      </c>
      <c r="I128" s="238">
        <f>VLOOKUP(TBLBAHANKELUAR[[#This Row],[NAMA BAHAN]],TBLREKAPBAHAN[[NAMA BAHAN]:[MODAL SATUAN]],3,FALSE)</f>
        <v>1000</v>
      </c>
      <c r="J128" s="238">
        <f>VLOOKUP(TBLBAHANKELUAR[[#This Row],[NAMA BAHAN]],TBLREKAPBAHAN[[NAMA BAHAN]:[MODAL SATUAN]],4,FALSE)</f>
        <v>50</v>
      </c>
      <c r="K128" s="239">
        <v>1000</v>
      </c>
      <c r="L128" s="239">
        <v>1</v>
      </c>
      <c r="M128" s="239">
        <f>TBLBAHANKELUAR[[#This Row],[KEB. BAHAN]]*TBLBAHANKELUAR[[#This Row],[JUMLAH KEB. BAHAN KELUAR]]</f>
        <v>1000</v>
      </c>
      <c r="N128" s="238">
        <f>TBLBAHANKELUAR[[#This Row],[MODAL SATUAN]]*TBLBAHANKELUAR[[#This Row],[TOTAL BAHAN KELUAR]]</f>
        <v>50000</v>
      </c>
    </row>
    <row r="129" spans="1:14" s="240" customFormat="1" x14ac:dyDescent="0.3">
      <c r="A129" s="121">
        <v>2026</v>
      </c>
      <c r="B129" s="235" t="s">
        <v>590</v>
      </c>
      <c r="C129" s="235"/>
      <c r="D129" s="235"/>
      <c r="E129" s="234" t="s">
        <v>596</v>
      </c>
      <c r="F129" s="236"/>
      <c r="G129" s="237" t="s">
        <v>434</v>
      </c>
      <c r="H129" s="238">
        <f>VLOOKUP(TBLBAHANKELUAR[[#This Row],[NAMA BAHAN]],TBLREKAPBAHAN[[NAMA BAHAN]:[MODAL SATUAN]],2,FALSE)</f>
        <v>10000</v>
      </c>
      <c r="I129" s="238">
        <f>VLOOKUP(TBLBAHANKELUAR[[#This Row],[NAMA BAHAN]],TBLREKAPBAHAN[[NAMA BAHAN]:[MODAL SATUAN]],3,FALSE)</f>
        <v>100</v>
      </c>
      <c r="J129" s="238">
        <f>VLOOKUP(TBLBAHANKELUAR[[#This Row],[NAMA BAHAN]],TBLREKAPBAHAN[[NAMA BAHAN]:[MODAL SATUAN]],4,FALSE)</f>
        <v>100</v>
      </c>
      <c r="K129" s="239">
        <v>870</v>
      </c>
      <c r="L129" s="239">
        <v>1</v>
      </c>
      <c r="M129" s="239">
        <f>TBLBAHANKELUAR[[#This Row],[KEB. BAHAN]]*TBLBAHANKELUAR[[#This Row],[JUMLAH KEB. BAHAN KELUAR]]</f>
        <v>870</v>
      </c>
      <c r="N129" s="238">
        <f>TBLBAHANKELUAR[[#This Row],[MODAL SATUAN]]*TBLBAHANKELUAR[[#This Row],[TOTAL BAHAN KELUAR]]</f>
        <v>87000</v>
      </c>
    </row>
    <row r="130" spans="1:14" s="240" customFormat="1" x14ac:dyDescent="0.3">
      <c r="A130" s="121">
        <v>2026</v>
      </c>
      <c r="B130" s="235" t="s">
        <v>590</v>
      </c>
      <c r="C130" s="235"/>
      <c r="D130" s="235"/>
      <c r="E130" s="234" t="s">
        <v>596</v>
      </c>
      <c r="F130" s="236"/>
      <c r="G130" s="237" t="s">
        <v>326</v>
      </c>
      <c r="H130" s="238">
        <f>VLOOKUP(TBLBAHANKELUAR[[#This Row],[NAMA BAHAN]],TBLREKAPBAHAN[[NAMA BAHAN]:[MODAL SATUAN]],2,FALSE)</f>
        <v>7000</v>
      </c>
      <c r="I130" s="238">
        <f>VLOOKUP(TBLBAHANKELUAR[[#This Row],[NAMA BAHAN]],TBLREKAPBAHAN[[NAMA BAHAN]:[MODAL SATUAN]],3,FALSE)</f>
        <v>24</v>
      </c>
      <c r="J130" s="238">
        <f>VLOOKUP(TBLBAHANKELUAR[[#This Row],[NAMA BAHAN]],TBLREKAPBAHAN[[NAMA BAHAN]:[MODAL SATUAN]],4,FALSE)</f>
        <v>291.66666666666669</v>
      </c>
      <c r="K130" s="239">
        <v>90</v>
      </c>
      <c r="L130" s="239">
        <v>1</v>
      </c>
      <c r="M130" s="239">
        <f>TBLBAHANKELUAR[[#This Row],[KEB. BAHAN]]*TBLBAHANKELUAR[[#This Row],[JUMLAH KEB. BAHAN KELUAR]]</f>
        <v>90</v>
      </c>
      <c r="N130" s="238">
        <f>TBLBAHANKELUAR[[#This Row],[MODAL SATUAN]]*TBLBAHANKELUAR[[#This Row],[TOTAL BAHAN KELUAR]]</f>
        <v>26250</v>
      </c>
    </row>
    <row r="131" spans="1:14" s="240" customFormat="1" x14ac:dyDescent="0.3">
      <c r="A131" s="121">
        <v>2026</v>
      </c>
      <c r="B131" s="235" t="s">
        <v>590</v>
      </c>
      <c r="C131" s="235"/>
      <c r="D131" s="235"/>
      <c r="E131" s="234" t="s">
        <v>596</v>
      </c>
      <c r="F131" s="236"/>
      <c r="G131" s="237" t="s">
        <v>327</v>
      </c>
      <c r="H131" s="238">
        <f>VLOOKUP(TBLBAHANKELUAR[[#This Row],[NAMA BAHAN]],TBLREKAPBAHAN[[NAMA BAHAN]:[MODAL SATUAN]],2,FALSE)</f>
        <v>8000</v>
      </c>
      <c r="I131" s="238">
        <f>VLOOKUP(TBLBAHANKELUAR[[#This Row],[NAMA BAHAN]],TBLREKAPBAHAN[[NAMA BAHAN]:[MODAL SATUAN]],3,FALSE)</f>
        <v>24</v>
      </c>
      <c r="J131" s="238">
        <f>VLOOKUP(TBLBAHANKELUAR[[#This Row],[NAMA BAHAN]],TBLREKAPBAHAN[[NAMA BAHAN]:[MODAL SATUAN]],4,FALSE)</f>
        <v>333.33333333333331</v>
      </c>
      <c r="K131" s="239">
        <v>50</v>
      </c>
      <c r="L131" s="239">
        <v>1</v>
      </c>
      <c r="M131" s="239">
        <f>TBLBAHANKELUAR[[#This Row],[KEB. BAHAN]]*TBLBAHANKELUAR[[#This Row],[JUMLAH KEB. BAHAN KELUAR]]</f>
        <v>50</v>
      </c>
      <c r="N131" s="238">
        <f>TBLBAHANKELUAR[[#This Row],[MODAL SATUAN]]*TBLBAHANKELUAR[[#This Row],[TOTAL BAHAN KELUAR]]</f>
        <v>16666.666666666664</v>
      </c>
    </row>
    <row r="132" spans="1:14" s="240" customFormat="1" x14ac:dyDescent="0.3">
      <c r="A132" s="121">
        <v>2026</v>
      </c>
      <c r="B132" s="235" t="s">
        <v>590</v>
      </c>
      <c r="C132" s="235"/>
      <c r="D132" s="235"/>
      <c r="E132" s="234" t="s">
        <v>596</v>
      </c>
      <c r="F132" s="236"/>
      <c r="G132" s="237" t="s">
        <v>328</v>
      </c>
      <c r="H132" s="238">
        <f>VLOOKUP(TBLBAHANKELUAR[[#This Row],[NAMA BAHAN]],TBLREKAPBAHAN[[NAMA BAHAN]:[MODAL SATUAN]],2,FALSE)</f>
        <v>16000</v>
      </c>
      <c r="I132" s="238">
        <f>VLOOKUP(TBLBAHANKELUAR[[#This Row],[NAMA BAHAN]],TBLREKAPBAHAN[[NAMA BAHAN]:[MODAL SATUAN]],3,FALSE)</f>
        <v>12</v>
      </c>
      <c r="J132" s="238">
        <f>VLOOKUP(TBLBAHANKELUAR[[#This Row],[NAMA BAHAN]],TBLREKAPBAHAN[[NAMA BAHAN]:[MODAL SATUAN]],4,FALSE)</f>
        <v>1333.3333333333333</v>
      </c>
      <c r="K132" s="239">
        <v>27</v>
      </c>
      <c r="L132" s="239">
        <v>1</v>
      </c>
      <c r="M132" s="239">
        <f>TBLBAHANKELUAR[[#This Row],[KEB. BAHAN]]*TBLBAHANKELUAR[[#This Row],[JUMLAH KEB. BAHAN KELUAR]]</f>
        <v>27</v>
      </c>
      <c r="N132" s="238">
        <f>TBLBAHANKELUAR[[#This Row],[MODAL SATUAN]]*TBLBAHANKELUAR[[#This Row],[TOTAL BAHAN KELUAR]]</f>
        <v>36000</v>
      </c>
    </row>
    <row r="133" spans="1:14" s="240" customFormat="1" x14ac:dyDescent="0.3">
      <c r="A133" s="121">
        <v>2026</v>
      </c>
      <c r="B133" s="235" t="s">
        <v>590</v>
      </c>
      <c r="C133" s="235"/>
      <c r="D133" s="235"/>
      <c r="E133" s="234" t="s">
        <v>596</v>
      </c>
      <c r="F133" s="236"/>
      <c r="G133" s="237" t="s">
        <v>331</v>
      </c>
      <c r="H133" s="238">
        <f>VLOOKUP(TBLBAHANKELUAR[[#This Row],[NAMA BAHAN]],TBLREKAPBAHAN[[NAMA BAHAN]:[MODAL SATUAN]],2,FALSE)</f>
        <v>45000</v>
      </c>
      <c r="I133" s="238">
        <f>VLOOKUP(TBLBAHANKELUAR[[#This Row],[NAMA BAHAN]],TBLREKAPBAHAN[[NAMA BAHAN]:[MODAL SATUAN]],3,FALSE)</f>
        <v>400</v>
      </c>
      <c r="J133" s="238">
        <f>VLOOKUP(TBLBAHANKELUAR[[#This Row],[NAMA BAHAN]],TBLREKAPBAHAN[[NAMA BAHAN]:[MODAL SATUAN]],4,FALSE)</f>
        <v>112.5</v>
      </c>
      <c r="K133" s="239">
        <v>1500</v>
      </c>
      <c r="L133" s="239">
        <v>1</v>
      </c>
      <c r="M133" s="239">
        <f>TBLBAHANKELUAR[[#This Row],[KEB. BAHAN]]*TBLBAHANKELUAR[[#This Row],[JUMLAH KEB. BAHAN KELUAR]]</f>
        <v>1500</v>
      </c>
      <c r="N133" s="238">
        <f>TBLBAHANKELUAR[[#This Row],[MODAL SATUAN]]*TBLBAHANKELUAR[[#This Row],[TOTAL BAHAN KELUAR]]</f>
        <v>168750</v>
      </c>
    </row>
    <row r="134" spans="1:14" s="240" customFormat="1" x14ac:dyDescent="0.3">
      <c r="A134" s="121">
        <v>2026</v>
      </c>
      <c r="B134" s="235" t="s">
        <v>590</v>
      </c>
      <c r="C134" s="235"/>
      <c r="D134" s="235"/>
      <c r="E134" s="234" t="s">
        <v>596</v>
      </c>
      <c r="F134" s="236"/>
      <c r="G134" s="237" t="s">
        <v>164</v>
      </c>
      <c r="H134" s="238">
        <f>VLOOKUP(TBLBAHANKELUAR[[#This Row],[NAMA BAHAN]],TBLREKAPBAHAN[[NAMA BAHAN]:[MODAL SATUAN]],2,FALSE)</f>
        <v>15000</v>
      </c>
      <c r="I134" s="238">
        <f>VLOOKUP(TBLBAHANKELUAR[[#This Row],[NAMA BAHAN]],TBLREKAPBAHAN[[NAMA BAHAN]:[MODAL SATUAN]],3,FALSE)</f>
        <v>6</v>
      </c>
      <c r="J134" s="238">
        <f>VLOOKUP(TBLBAHANKELUAR[[#This Row],[NAMA BAHAN]],TBLREKAPBAHAN[[NAMA BAHAN]:[MODAL SATUAN]],4,FALSE)</f>
        <v>2500</v>
      </c>
      <c r="K134" s="239">
        <v>10</v>
      </c>
      <c r="L134" s="239">
        <v>1</v>
      </c>
      <c r="M134" s="239">
        <f>TBLBAHANKELUAR[[#This Row],[KEB. BAHAN]]*TBLBAHANKELUAR[[#This Row],[JUMLAH KEB. BAHAN KELUAR]]</f>
        <v>10</v>
      </c>
      <c r="N134" s="238">
        <f>TBLBAHANKELUAR[[#This Row],[MODAL SATUAN]]*TBLBAHANKELUAR[[#This Row],[TOTAL BAHAN KELUAR]]</f>
        <v>25000</v>
      </c>
    </row>
    <row r="135" spans="1:14" s="240" customFormat="1" x14ac:dyDescent="0.3">
      <c r="A135" s="121">
        <v>2026</v>
      </c>
      <c r="B135" s="235" t="s">
        <v>590</v>
      </c>
      <c r="C135" s="235"/>
      <c r="D135" s="235"/>
      <c r="E135" s="234" t="s">
        <v>596</v>
      </c>
      <c r="F135" s="236"/>
      <c r="G135" s="237" t="s">
        <v>341</v>
      </c>
      <c r="H135" s="238">
        <f>VLOOKUP(TBLBAHANKELUAR[[#This Row],[NAMA BAHAN]],TBLREKAPBAHAN[[NAMA BAHAN]:[MODAL SATUAN]],2,FALSE)</f>
        <v>18000</v>
      </c>
      <c r="I135" s="238">
        <f>VLOOKUP(TBLBAHANKELUAR[[#This Row],[NAMA BAHAN]],TBLREKAPBAHAN[[NAMA BAHAN]:[MODAL SATUAN]],3,FALSE)</f>
        <v>250</v>
      </c>
      <c r="J135" s="238">
        <f>VLOOKUP(TBLBAHANKELUAR[[#This Row],[NAMA BAHAN]],TBLREKAPBAHAN[[NAMA BAHAN]:[MODAL SATUAN]],4,FALSE)</f>
        <v>72</v>
      </c>
      <c r="K135" s="239">
        <v>1000</v>
      </c>
      <c r="L135" s="239">
        <v>1</v>
      </c>
      <c r="M135" s="239">
        <f>TBLBAHANKELUAR[[#This Row],[KEB. BAHAN]]*TBLBAHANKELUAR[[#This Row],[JUMLAH KEB. BAHAN KELUAR]]</f>
        <v>1000</v>
      </c>
      <c r="N135" s="238">
        <f>TBLBAHANKELUAR[[#This Row],[MODAL SATUAN]]*TBLBAHANKELUAR[[#This Row],[TOTAL BAHAN KELUAR]]</f>
        <v>72000</v>
      </c>
    </row>
    <row r="136" spans="1:14" s="240" customFormat="1" x14ac:dyDescent="0.3">
      <c r="A136" s="121">
        <v>2026</v>
      </c>
      <c r="B136" s="235" t="s">
        <v>590</v>
      </c>
      <c r="C136" s="235"/>
      <c r="D136" s="235"/>
      <c r="E136" s="234" t="s">
        <v>596</v>
      </c>
      <c r="F136" s="236"/>
      <c r="G136" s="237" t="s">
        <v>344</v>
      </c>
      <c r="H136" s="238">
        <f>VLOOKUP(TBLBAHANKELUAR[[#This Row],[NAMA BAHAN]],TBLREKAPBAHAN[[NAMA BAHAN]:[MODAL SATUAN]],2,FALSE)</f>
        <v>30000</v>
      </c>
      <c r="I136" s="238">
        <f>VLOOKUP(TBLBAHANKELUAR[[#This Row],[NAMA BAHAN]],TBLREKAPBAHAN[[NAMA BAHAN]:[MODAL SATUAN]],3,FALSE)</f>
        <v>30</v>
      </c>
      <c r="J136" s="238">
        <f>VLOOKUP(TBLBAHANKELUAR[[#This Row],[NAMA BAHAN]],TBLREKAPBAHAN[[NAMA BAHAN]:[MODAL SATUAN]],4,FALSE)</f>
        <v>1000</v>
      </c>
      <c r="K136" s="241">
        <v>20</v>
      </c>
      <c r="L136" s="239">
        <v>1</v>
      </c>
      <c r="M136" s="239">
        <f>TBLBAHANKELUAR[[#This Row],[KEB. BAHAN]]*TBLBAHANKELUAR[[#This Row],[JUMLAH KEB. BAHAN KELUAR]]</f>
        <v>20</v>
      </c>
      <c r="N136" s="238">
        <f>TBLBAHANKELUAR[[#This Row],[MODAL SATUAN]]*TBLBAHANKELUAR[[#This Row],[TOTAL BAHAN KELUAR]]</f>
        <v>20000</v>
      </c>
    </row>
    <row r="137" spans="1:14" s="240" customFormat="1" x14ac:dyDescent="0.3">
      <c r="A137" s="121">
        <v>2026</v>
      </c>
      <c r="B137" s="235" t="s">
        <v>590</v>
      </c>
      <c r="C137" s="235"/>
      <c r="D137" s="235"/>
      <c r="E137" s="234" t="s">
        <v>596</v>
      </c>
      <c r="F137" s="236"/>
      <c r="G137" s="237" t="s">
        <v>363</v>
      </c>
      <c r="H137" s="238">
        <f>VLOOKUP(TBLBAHANKELUAR[[#This Row],[NAMA BAHAN]],TBLREKAPBAHAN[[NAMA BAHAN]:[MODAL SATUAN]],2,FALSE)</f>
        <v>15000</v>
      </c>
      <c r="I137" s="238">
        <f>VLOOKUP(TBLBAHANKELUAR[[#This Row],[NAMA BAHAN]],TBLREKAPBAHAN[[NAMA BAHAN]:[MODAL SATUAN]],3,FALSE)</f>
        <v>80</v>
      </c>
      <c r="J137" s="238">
        <f>VLOOKUP(TBLBAHANKELUAR[[#This Row],[NAMA BAHAN]],TBLREKAPBAHAN[[NAMA BAHAN]:[MODAL SATUAN]],4,FALSE)</f>
        <v>187.5</v>
      </c>
      <c r="K137" s="241">
        <v>250</v>
      </c>
      <c r="L137" s="239">
        <v>1</v>
      </c>
      <c r="M137" s="239">
        <f>TBLBAHANKELUAR[[#This Row],[KEB. BAHAN]]*TBLBAHANKELUAR[[#This Row],[JUMLAH KEB. BAHAN KELUAR]]</f>
        <v>250</v>
      </c>
      <c r="N137" s="238">
        <f>TBLBAHANKELUAR[[#This Row],[MODAL SATUAN]]*TBLBAHANKELUAR[[#This Row],[TOTAL BAHAN KELUAR]]</f>
        <v>46875</v>
      </c>
    </row>
    <row r="138" spans="1:14" s="240" customFormat="1" x14ac:dyDescent="0.3">
      <c r="A138" s="121">
        <v>2026</v>
      </c>
      <c r="B138" s="235" t="s">
        <v>590</v>
      </c>
      <c r="C138" s="235"/>
      <c r="D138" s="235"/>
      <c r="E138" s="234" t="s">
        <v>596</v>
      </c>
      <c r="F138" s="236"/>
      <c r="G138" s="237" t="s">
        <v>345</v>
      </c>
      <c r="H138" s="238">
        <f>VLOOKUP(TBLBAHANKELUAR[[#This Row],[NAMA BAHAN]],TBLREKAPBAHAN[[NAMA BAHAN]:[MODAL SATUAN]],2,FALSE)</f>
        <v>5000</v>
      </c>
      <c r="I138" s="238">
        <f>VLOOKUP(TBLBAHANKELUAR[[#This Row],[NAMA BAHAN]],TBLREKAPBAHAN[[NAMA BAHAN]:[MODAL SATUAN]],3,FALSE)</f>
        <v>8</v>
      </c>
      <c r="J138" s="238">
        <f>VLOOKUP(TBLBAHANKELUAR[[#This Row],[NAMA BAHAN]],TBLREKAPBAHAN[[NAMA BAHAN]:[MODAL SATUAN]],4,FALSE)</f>
        <v>625</v>
      </c>
      <c r="K138" s="241">
        <v>33</v>
      </c>
      <c r="L138" s="239">
        <v>1</v>
      </c>
      <c r="M138" s="239">
        <f>TBLBAHANKELUAR[[#This Row],[KEB. BAHAN]]*TBLBAHANKELUAR[[#This Row],[JUMLAH KEB. BAHAN KELUAR]]</f>
        <v>33</v>
      </c>
      <c r="N138" s="238">
        <f>TBLBAHANKELUAR[[#This Row],[MODAL SATUAN]]*TBLBAHANKELUAR[[#This Row],[TOTAL BAHAN KELUAR]]</f>
        <v>20625</v>
      </c>
    </row>
    <row r="139" spans="1:14" s="240" customFormat="1" x14ac:dyDescent="0.3">
      <c r="A139" s="121">
        <v>2026</v>
      </c>
      <c r="B139" s="235" t="s">
        <v>590</v>
      </c>
      <c r="C139" s="235"/>
      <c r="D139" s="235"/>
      <c r="E139" s="234" t="s">
        <v>596</v>
      </c>
      <c r="F139" s="236"/>
      <c r="G139" s="237" t="s">
        <v>351</v>
      </c>
      <c r="H139" s="238">
        <f>VLOOKUP(TBLBAHANKELUAR[[#This Row],[NAMA BAHAN]],TBLREKAPBAHAN[[NAMA BAHAN]:[MODAL SATUAN]],2,FALSE)</f>
        <v>11400</v>
      </c>
      <c r="I139" s="238">
        <f>VLOOKUP(TBLBAHANKELUAR[[#This Row],[NAMA BAHAN]],TBLREKAPBAHAN[[NAMA BAHAN]:[MODAL SATUAN]],3,FALSE)</f>
        <v>100</v>
      </c>
      <c r="J139" s="238">
        <f>VLOOKUP(TBLBAHANKELUAR[[#This Row],[NAMA BAHAN]],TBLREKAPBAHAN[[NAMA BAHAN]:[MODAL SATUAN]],4,FALSE)</f>
        <v>114</v>
      </c>
      <c r="K139" s="241">
        <v>712</v>
      </c>
      <c r="L139" s="239">
        <v>1</v>
      </c>
      <c r="M139" s="239">
        <f>TBLBAHANKELUAR[[#This Row],[KEB. BAHAN]]*TBLBAHANKELUAR[[#This Row],[JUMLAH KEB. BAHAN KELUAR]]</f>
        <v>712</v>
      </c>
      <c r="N139" s="238">
        <f>TBLBAHANKELUAR[[#This Row],[MODAL SATUAN]]*TBLBAHANKELUAR[[#This Row],[TOTAL BAHAN KELUAR]]</f>
        <v>81168</v>
      </c>
    </row>
    <row r="140" spans="1:14" s="240" customFormat="1" x14ac:dyDescent="0.3">
      <c r="A140" s="121">
        <v>2026</v>
      </c>
      <c r="B140" s="235" t="s">
        <v>590</v>
      </c>
      <c r="C140" s="235"/>
      <c r="D140" s="235"/>
      <c r="E140" s="234" t="s">
        <v>596</v>
      </c>
      <c r="F140" s="236"/>
      <c r="G140" s="237" t="s">
        <v>459</v>
      </c>
      <c r="H140" s="238">
        <f>VLOOKUP(TBLBAHANKELUAR[[#This Row],[NAMA BAHAN]],TBLREKAPBAHAN[[NAMA BAHAN]:[MODAL SATUAN]],2,FALSE)</f>
        <v>85000</v>
      </c>
      <c r="I140" s="238">
        <f>VLOOKUP(TBLBAHANKELUAR[[#This Row],[NAMA BAHAN]],TBLREKAPBAHAN[[NAMA BAHAN]:[MODAL SATUAN]],3,FALSE)</f>
        <v>1000</v>
      </c>
      <c r="J140" s="238">
        <f>VLOOKUP(TBLBAHANKELUAR[[#This Row],[NAMA BAHAN]],TBLREKAPBAHAN[[NAMA BAHAN]:[MODAL SATUAN]],4,FALSE)</f>
        <v>85</v>
      </c>
      <c r="K140" s="241">
        <v>985</v>
      </c>
      <c r="L140" s="239">
        <v>1</v>
      </c>
      <c r="M140" s="239">
        <f>TBLBAHANKELUAR[[#This Row],[KEB. BAHAN]]*TBLBAHANKELUAR[[#This Row],[JUMLAH KEB. BAHAN KELUAR]]</f>
        <v>985</v>
      </c>
      <c r="N140" s="238">
        <f>TBLBAHANKELUAR[[#This Row],[MODAL SATUAN]]*TBLBAHANKELUAR[[#This Row],[TOTAL BAHAN KELUAR]]</f>
        <v>83725</v>
      </c>
    </row>
    <row r="141" spans="1:14" x14ac:dyDescent="0.3">
      <c r="A141" s="103">
        <v>2026</v>
      </c>
      <c r="B141" s="211" t="s">
        <v>590</v>
      </c>
      <c r="C141" s="211"/>
      <c r="D141" s="211"/>
      <c r="E141" s="3" t="s">
        <v>397</v>
      </c>
      <c r="F141" s="212">
        <v>1</v>
      </c>
      <c r="G141" s="213" t="str">
        <f>VLOOKUP(TBLBAHANKELUAR[[#This Row],[KODE BAHAN]],[4]!TBLPIZZAYES[#Data],2,FALSE)</f>
        <v>SAOS SPAGHETI GRAM</v>
      </c>
      <c r="H141" s="214">
        <f>VLOOKUP(TBLBAHANKELUAR[[#This Row],[NAMA BAHAN]],TBLREKAPBAHAN[[NAMA BAHAN]:[MODAL SATUAN]],2,FALSE)</f>
        <v>12000</v>
      </c>
      <c r="I141" s="214">
        <f>VLOOKUP(TBLBAHANKELUAR[[#This Row],[NAMA BAHAN]],TBLREKAPBAHAN[[NAMA BAHAN]:[MODAL SATUAN]],3,FALSE)</f>
        <v>250</v>
      </c>
      <c r="J141" s="214">
        <f>VLOOKUP(TBLBAHANKELUAR[[#This Row],[NAMA BAHAN]],TBLREKAPBAHAN[[NAMA BAHAN]:[MODAL SATUAN]],4,FALSE)</f>
        <v>48</v>
      </c>
      <c r="K141" s="215">
        <f>VLOOKUP(TBLBAHANKELUAR[[#This Row],[KODE BAHAN]],[4]!TBLPIZZAYES[#Data],9,FALSE)</f>
        <v>50</v>
      </c>
      <c r="L141" s="215">
        <f>SUMIF(TBLPRODUKKELUARJULI[NAMA PRODUK],TBLBAHANKELUAR[[#This Row],[NAMA PRODUK]],TBLPRODUKKELUARJULI[JUMLAH TERJUAL])</f>
        <v>1</v>
      </c>
      <c r="M141" s="215">
        <f>TBLBAHANKELUAR[[#This Row],[KEB. BAHAN]]*TBLBAHANKELUAR[[#This Row],[JUMLAH KEB. BAHAN KELUAR]]</f>
        <v>50</v>
      </c>
      <c r="N141" s="214">
        <f>TBLBAHANKELUAR[[#This Row],[MODAL SATUAN]]*TBLBAHANKELUAR[[#This Row],[TOTAL BAHAN KELUAR]]</f>
        <v>2400</v>
      </c>
    </row>
    <row r="142" spans="1:14" x14ac:dyDescent="0.3">
      <c r="A142" s="103">
        <v>2026</v>
      </c>
      <c r="B142" s="211" t="s">
        <v>590</v>
      </c>
      <c r="C142" s="211"/>
      <c r="D142" s="211"/>
      <c r="E142" s="3" t="s">
        <v>397</v>
      </c>
      <c r="F142" s="212">
        <v>2</v>
      </c>
      <c r="G142" s="213" t="str">
        <f>VLOOKUP(TBLBAHANKELUAR[[#This Row],[KODE BAHAN]],[4]!TBLPIZZAYES[#Data],2,FALSE)</f>
        <v>SAOS TOMAT SACHET</v>
      </c>
      <c r="H142" s="214">
        <f>VLOOKUP(TBLBAHANKELUAR[[#This Row],[NAMA BAHAN]],TBLREKAPBAHAN[[NAMA BAHAN]:[MODAL SATUAN]],2,FALSE)</f>
        <v>7000</v>
      </c>
      <c r="I142" s="214">
        <f>VLOOKUP(TBLBAHANKELUAR[[#This Row],[NAMA BAHAN]],TBLREKAPBAHAN[[NAMA BAHAN]:[MODAL SATUAN]],3,FALSE)</f>
        <v>24</v>
      </c>
      <c r="J142" s="214">
        <f>VLOOKUP(TBLBAHANKELUAR[[#This Row],[NAMA BAHAN]],TBLREKAPBAHAN[[NAMA BAHAN]:[MODAL SATUAN]],4,FALSE)</f>
        <v>291.66666666666669</v>
      </c>
      <c r="K142" s="215">
        <f>VLOOKUP(TBLBAHANKELUAR[[#This Row],[KODE BAHAN]],[4]!TBLPIZZAYES[#Data],9,FALSE)</f>
        <v>2</v>
      </c>
      <c r="L142" s="215">
        <f>SUMIF(TBLPRODUKKELUARJULI[NAMA PRODUK],TBLBAHANKELUAR[[#This Row],[NAMA PRODUK]],TBLPRODUKKELUARJULI[JUMLAH TERJUAL])</f>
        <v>1</v>
      </c>
      <c r="M142" s="215">
        <f>TBLBAHANKELUAR[[#This Row],[KEB. BAHAN]]*TBLBAHANKELUAR[[#This Row],[JUMLAH KEB. BAHAN KELUAR]]</f>
        <v>2</v>
      </c>
      <c r="N142" s="214">
        <f>TBLBAHANKELUAR[[#This Row],[MODAL SATUAN]]*TBLBAHANKELUAR[[#This Row],[TOTAL BAHAN KELUAR]]</f>
        <v>583.33333333333337</v>
      </c>
    </row>
    <row r="143" spans="1:14" x14ac:dyDescent="0.3">
      <c r="A143" s="103">
        <v>2026</v>
      </c>
      <c r="B143" s="211" t="s">
        <v>590</v>
      </c>
      <c r="C143" s="211"/>
      <c r="D143" s="211"/>
      <c r="E143" s="3" t="s">
        <v>397</v>
      </c>
      <c r="F143" s="212">
        <v>3</v>
      </c>
      <c r="G143" s="213" t="str">
        <f>VLOOKUP(TBLBAHANKELUAR[[#This Row],[KODE BAHAN]],[4]!TBLPIZZAYES[#Data],2,FALSE)</f>
        <v>SAOS SAMBAL SACHET</v>
      </c>
      <c r="H143" s="214">
        <f>VLOOKUP(TBLBAHANKELUAR[[#This Row],[NAMA BAHAN]],TBLREKAPBAHAN[[NAMA BAHAN]:[MODAL SATUAN]],2,FALSE)</f>
        <v>8000</v>
      </c>
      <c r="I143" s="214">
        <f>VLOOKUP(TBLBAHANKELUAR[[#This Row],[NAMA BAHAN]],TBLREKAPBAHAN[[NAMA BAHAN]:[MODAL SATUAN]],3,FALSE)</f>
        <v>24</v>
      </c>
      <c r="J143" s="214">
        <f>VLOOKUP(TBLBAHANKELUAR[[#This Row],[NAMA BAHAN]],TBLREKAPBAHAN[[NAMA BAHAN]:[MODAL SATUAN]],4,FALSE)</f>
        <v>333.33333333333331</v>
      </c>
      <c r="K143" s="215">
        <f>VLOOKUP(TBLBAHANKELUAR[[#This Row],[KODE BAHAN]],[4]!TBLPIZZAYES[#Data],9,FALSE)</f>
        <v>2</v>
      </c>
      <c r="L143" s="215">
        <f>SUMIF(TBLPRODUKKELUARJULI[NAMA PRODUK],TBLBAHANKELUAR[[#This Row],[NAMA PRODUK]],TBLPRODUKKELUARJULI[JUMLAH TERJUAL])</f>
        <v>1</v>
      </c>
      <c r="M143" s="215">
        <f>TBLBAHANKELUAR[[#This Row],[KEB. BAHAN]]*TBLBAHANKELUAR[[#This Row],[JUMLAH KEB. BAHAN KELUAR]]</f>
        <v>2</v>
      </c>
      <c r="N143" s="214">
        <f>TBLBAHANKELUAR[[#This Row],[MODAL SATUAN]]*TBLBAHANKELUAR[[#This Row],[TOTAL BAHAN KELUAR]]</f>
        <v>666.66666666666663</v>
      </c>
    </row>
    <row r="144" spans="1:14" x14ac:dyDescent="0.3">
      <c r="A144" s="103">
        <v>2026</v>
      </c>
      <c r="B144" s="211" t="s">
        <v>590</v>
      </c>
      <c r="C144" s="211"/>
      <c r="D144" s="211"/>
      <c r="E144" s="3" t="s">
        <v>397</v>
      </c>
      <c r="F144" s="212">
        <v>4</v>
      </c>
      <c r="G144" s="213" t="str">
        <f>VLOOKUP(TBLBAHANKELUAR[[#This Row],[KODE BAHAN]],[4]!TBLPIZZAYES[#Data],2,FALSE)</f>
        <v>KEJU MOZZARELLA</v>
      </c>
      <c r="H144" s="214">
        <f>VLOOKUP(TBLBAHANKELUAR[[#This Row],[NAMA BAHAN]],TBLREKAPBAHAN[[NAMA BAHAN]:[MODAL SATUAN]],2,FALSE)</f>
        <v>90000</v>
      </c>
      <c r="I144" s="214">
        <f>VLOOKUP(TBLBAHANKELUAR[[#This Row],[NAMA BAHAN]],TBLREKAPBAHAN[[NAMA BAHAN]:[MODAL SATUAN]],3,FALSE)</f>
        <v>500</v>
      </c>
      <c r="J144" s="214">
        <f>VLOOKUP(TBLBAHANKELUAR[[#This Row],[NAMA BAHAN]],TBLREKAPBAHAN[[NAMA BAHAN]:[MODAL SATUAN]],4,FALSE)</f>
        <v>180</v>
      </c>
      <c r="K144" s="215">
        <f>VLOOKUP(TBLBAHANKELUAR[[#This Row],[KODE BAHAN]],[4]!TBLPIZZAYES[#Data],9,FALSE)</f>
        <v>64</v>
      </c>
      <c r="L144" s="215">
        <f>SUMIF(TBLPRODUKKELUARJULI[NAMA PRODUK],TBLBAHANKELUAR[[#This Row],[NAMA PRODUK]],TBLPRODUKKELUARJULI[JUMLAH TERJUAL])</f>
        <v>1</v>
      </c>
      <c r="M144" s="215">
        <f>TBLBAHANKELUAR[[#This Row],[KEB. BAHAN]]*TBLBAHANKELUAR[[#This Row],[JUMLAH KEB. BAHAN KELUAR]]</f>
        <v>64</v>
      </c>
      <c r="N144" s="214">
        <f>TBLBAHANKELUAR[[#This Row],[MODAL SATUAN]]*TBLBAHANKELUAR[[#This Row],[TOTAL BAHAN KELUAR]]</f>
        <v>11520</v>
      </c>
    </row>
    <row r="145" spans="1:14" x14ac:dyDescent="0.3">
      <c r="A145" s="103">
        <v>2026</v>
      </c>
      <c r="B145" s="211" t="s">
        <v>590</v>
      </c>
      <c r="C145" s="211"/>
      <c r="D145" s="211"/>
      <c r="E145" s="3" t="s">
        <v>397</v>
      </c>
      <c r="F145" s="212">
        <v>5</v>
      </c>
      <c r="G145" s="213" t="str">
        <f>VLOOKUP(TBLBAHANKELUAR[[#This Row],[KODE BAHAN]],[4]!TBLPIZZAYES[#Data],2,FALSE)</f>
        <v>SOSIZ BATANG</v>
      </c>
      <c r="H145" s="214">
        <f>VLOOKUP(TBLBAHANKELUAR[[#This Row],[NAMA BAHAN]],TBLREKAPBAHAN[[NAMA BAHAN]:[MODAL SATUAN]],2,FALSE)</f>
        <v>35000</v>
      </c>
      <c r="I145" s="214">
        <f>VLOOKUP(TBLBAHANKELUAR[[#This Row],[NAMA BAHAN]],TBLREKAPBAHAN[[NAMA BAHAN]:[MODAL SATUAN]],3,FALSE)</f>
        <v>38</v>
      </c>
      <c r="J145" s="214">
        <f>VLOOKUP(TBLBAHANKELUAR[[#This Row],[NAMA BAHAN]],TBLREKAPBAHAN[[NAMA BAHAN]:[MODAL SATUAN]],4,FALSE)</f>
        <v>921.0526315789474</v>
      </c>
      <c r="K145" s="215">
        <f>VLOOKUP(TBLBAHANKELUAR[[#This Row],[KODE BAHAN]],[4]!TBLPIZZAYES[#Data],9,FALSE)</f>
        <v>3</v>
      </c>
      <c r="L145" s="215">
        <f>SUMIF(TBLPRODUKKELUARJULI[NAMA PRODUK],TBLBAHANKELUAR[[#This Row],[NAMA PRODUK]],TBLPRODUKKELUARJULI[JUMLAH TERJUAL])</f>
        <v>1</v>
      </c>
      <c r="M145" s="215">
        <f>TBLBAHANKELUAR[[#This Row],[KEB. BAHAN]]*TBLBAHANKELUAR[[#This Row],[JUMLAH KEB. BAHAN KELUAR]]</f>
        <v>3</v>
      </c>
      <c r="N145" s="214">
        <f>TBLBAHANKELUAR[[#This Row],[MODAL SATUAN]]*TBLBAHANKELUAR[[#This Row],[TOTAL BAHAN KELUAR]]</f>
        <v>2763.1578947368421</v>
      </c>
    </row>
    <row r="146" spans="1:14" x14ac:dyDescent="0.3">
      <c r="A146" s="103">
        <v>2026</v>
      </c>
      <c r="B146" s="211" t="s">
        <v>590</v>
      </c>
      <c r="C146" s="211"/>
      <c r="D146" s="211"/>
      <c r="E146" s="3" t="s">
        <v>397</v>
      </c>
      <c r="F146" s="212">
        <v>6</v>
      </c>
      <c r="G146" s="213" t="str">
        <f>VLOOKUP(TBLBAHANKELUAR[[#This Row],[KODE BAHAN]],[4]!TBLPIZZAYES[#Data],2,FALSE)</f>
        <v>AYAM SUWIR</v>
      </c>
      <c r="H146" s="214">
        <f>VLOOKUP(TBLBAHANKELUAR[[#This Row],[NAMA BAHAN]],TBLREKAPBAHAN[[NAMA BAHAN]:[MODAL SATUAN]],2,FALSE)</f>
        <v>45000</v>
      </c>
      <c r="I146" s="214">
        <f>VLOOKUP(TBLBAHANKELUAR[[#This Row],[NAMA BAHAN]],TBLREKAPBAHAN[[NAMA BAHAN]:[MODAL SATUAN]],3,FALSE)</f>
        <v>400</v>
      </c>
      <c r="J146" s="214">
        <f>VLOOKUP(TBLBAHANKELUAR[[#This Row],[NAMA BAHAN]],TBLREKAPBAHAN[[NAMA BAHAN]:[MODAL SATUAN]],4,FALSE)</f>
        <v>112.5</v>
      </c>
      <c r="K146" s="215">
        <f>VLOOKUP(TBLBAHANKELUAR[[#This Row],[KODE BAHAN]],[4]!TBLPIZZAYES[#Data],9,FALSE)</f>
        <v>30</v>
      </c>
      <c r="L146" s="215">
        <f>SUMIF(TBLPRODUKKELUARJULI[NAMA PRODUK],TBLBAHANKELUAR[[#This Row],[NAMA PRODUK]],TBLPRODUKKELUARJULI[JUMLAH TERJUAL])</f>
        <v>1</v>
      </c>
      <c r="M146" s="215">
        <f>TBLBAHANKELUAR[[#This Row],[KEB. BAHAN]]*TBLBAHANKELUAR[[#This Row],[JUMLAH KEB. BAHAN KELUAR]]</f>
        <v>30</v>
      </c>
      <c r="N146" s="214">
        <f>TBLBAHANKELUAR[[#This Row],[MODAL SATUAN]]*TBLBAHANKELUAR[[#This Row],[TOTAL BAHAN KELUAR]]</f>
        <v>3375</v>
      </c>
    </row>
    <row r="147" spans="1:14" x14ac:dyDescent="0.3">
      <c r="A147" s="103">
        <v>2026</v>
      </c>
      <c r="B147" s="211" t="s">
        <v>590</v>
      </c>
      <c r="C147" s="211"/>
      <c r="D147" s="211"/>
      <c r="E147" s="3" t="s">
        <v>397</v>
      </c>
      <c r="F147" s="212">
        <v>7</v>
      </c>
      <c r="G147" s="213" t="str">
        <f>VLOOKUP(TBLBAHANKELUAR[[#This Row],[KODE BAHAN]],[4]!TBLPIZZAYES[#Data],2,FALSE)</f>
        <v>DAGING SAPI</v>
      </c>
      <c r="H147" s="214">
        <f>VLOOKUP(TBLBAHANKELUAR[[#This Row],[NAMA BAHAN]],TBLREKAPBAHAN[[NAMA BAHAN]:[MODAL SATUAN]],2,FALSE)</f>
        <v>85000</v>
      </c>
      <c r="I147" s="214">
        <f>VLOOKUP(TBLBAHANKELUAR[[#This Row],[NAMA BAHAN]],TBLREKAPBAHAN[[NAMA BAHAN]:[MODAL SATUAN]],3,FALSE)</f>
        <v>1000</v>
      </c>
      <c r="J147" s="214">
        <f>VLOOKUP(TBLBAHANKELUAR[[#This Row],[NAMA BAHAN]],TBLREKAPBAHAN[[NAMA BAHAN]:[MODAL SATUAN]],4,FALSE)</f>
        <v>85</v>
      </c>
      <c r="K147" s="215">
        <f>VLOOKUP(TBLBAHANKELUAR[[#This Row],[KODE BAHAN]],[4]!TBLPIZZAYES[#Data],9,FALSE)</f>
        <v>0</v>
      </c>
      <c r="L147" s="215">
        <f>SUMIF(TBLPRODUKKELUARJULI[NAMA PRODUK],TBLBAHANKELUAR[[#This Row],[NAMA PRODUK]],TBLPRODUKKELUARJULI[JUMLAH TERJUAL])</f>
        <v>1</v>
      </c>
      <c r="M147" s="215">
        <f>TBLBAHANKELUAR[[#This Row],[KEB. BAHAN]]*TBLBAHANKELUAR[[#This Row],[JUMLAH KEB. BAHAN KELUAR]]</f>
        <v>0</v>
      </c>
      <c r="N147" s="214">
        <f>TBLBAHANKELUAR[[#This Row],[MODAL SATUAN]]*TBLBAHANKELUAR[[#This Row],[TOTAL BAHAN KELUAR]]</f>
        <v>0</v>
      </c>
    </row>
    <row r="148" spans="1:14" x14ac:dyDescent="0.3">
      <c r="A148" s="103">
        <v>2026</v>
      </c>
      <c r="B148" s="211" t="s">
        <v>590</v>
      </c>
      <c r="C148" s="211"/>
      <c r="D148" s="211"/>
      <c r="E148" s="3" t="s">
        <v>397</v>
      </c>
      <c r="F148" s="212">
        <v>8</v>
      </c>
      <c r="G148" s="213" t="str">
        <f>VLOOKUP(TBLBAHANKELUAR[[#This Row],[KODE BAHAN]],[4]!TBLPIZZAYES[#Data],2,FALSE)</f>
        <v>MENTEGA</v>
      </c>
      <c r="H148" s="214">
        <f>VLOOKUP(TBLBAHANKELUAR[[#This Row],[NAMA BAHAN]],TBLREKAPBAHAN[[NAMA BAHAN]:[MODAL SATUAN]],2,FALSE)</f>
        <v>35000</v>
      </c>
      <c r="I148" s="214">
        <f>VLOOKUP(TBLBAHANKELUAR[[#This Row],[NAMA BAHAN]],TBLREKAPBAHAN[[NAMA BAHAN]:[MODAL SATUAN]],3,FALSE)</f>
        <v>1000</v>
      </c>
      <c r="J148" s="214">
        <f>VLOOKUP(TBLBAHANKELUAR[[#This Row],[NAMA BAHAN]],TBLREKAPBAHAN[[NAMA BAHAN]:[MODAL SATUAN]],4,FALSE)</f>
        <v>35</v>
      </c>
      <c r="K148" s="215">
        <f>VLOOKUP(TBLBAHANKELUAR[[#This Row],[KODE BAHAN]],[4]!TBLPIZZAYES[#Data],9,FALSE)</f>
        <v>18</v>
      </c>
      <c r="L148" s="215">
        <f>SUMIF(TBLPRODUKKELUARJULI[NAMA PRODUK],TBLBAHANKELUAR[[#This Row],[NAMA PRODUK]],TBLPRODUKKELUARJULI[JUMLAH TERJUAL])</f>
        <v>1</v>
      </c>
      <c r="M148" s="215">
        <f>TBLBAHANKELUAR[[#This Row],[KEB. BAHAN]]*TBLBAHANKELUAR[[#This Row],[JUMLAH KEB. BAHAN KELUAR]]</f>
        <v>18</v>
      </c>
      <c r="N148" s="214">
        <f>TBLBAHANKELUAR[[#This Row],[MODAL SATUAN]]*TBLBAHANKELUAR[[#This Row],[TOTAL BAHAN KELUAR]]</f>
        <v>630</v>
      </c>
    </row>
    <row r="149" spans="1:14" x14ac:dyDescent="0.3">
      <c r="A149" s="103">
        <v>2026</v>
      </c>
      <c r="B149" s="211" t="s">
        <v>590</v>
      </c>
      <c r="C149" s="211"/>
      <c r="D149" s="211"/>
      <c r="E149" s="3" t="s">
        <v>397</v>
      </c>
      <c r="F149" s="212">
        <v>9</v>
      </c>
      <c r="G149" s="213" t="str">
        <f>VLOOKUP(TBLBAHANKELUAR[[#This Row],[KODE BAHAN]],[4]!TBLPIZZAYES[#Data],2,FALSE)</f>
        <v>GULA PASIR</v>
      </c>
      <c r="H149" s="214">
        <f>VLOOKUP(TBLBAHANKELUAR[[#This Row],[NAMA BAHAN]],TBLREKAPBAHAN[[NAMA BAHAN]:[MODAL SATUAN]],2,FALSE)</f>
        <v>18000</v>
      </c>
      <c r="I149" s="214">
        <f>VLOOKUP(TBLBAHANKELUAR[[#This Row],[NAMA BAHAN]],TBLREKAPBAHAN[[NAMA BAHAN]:[MODAL SATUAN]],3,FALSE)</f>
        <v>1000</v>
      </c>
      <c r="J149" s="214">
        <f>VLOOKUP(TBLBAHANKELUAR[[#This Row],[NAMA BAHAN]],TBLREKAPBAHAN[[NAMA BAHAN]:[MODAL SATUAN]],4,FALSE)</f>
        <v>18</v>
      </c>
      <c r="K149" s="215">
        <f>VLOOKUP(TBLBAHANKELUAR[[#This Row],[KODE BAHAN]],[4]!TBLPIZZAYES[#Data],9,FALSE)</f>
        <v>13.5</v>
      </c>
      <c r="L149" s="215">
        <f>SUMIF(TBLPRODUKKELUARJULI[NAMA PRODUK],TBLBAHANKELUAR[[#This Row],[NAMA PRODUK]],TBLPRODUKKELUARJULI[JUMLAH TERJUAL])</f>
        <v>1</v>
      </c>
      <c r="M149" s="215">
        <f>TBLBAHANKELUAR[[#This Row],[KEB. BAHAN]]*TBLBAHANKELUAR[[#This Row],[JUMLAH KEB. BAHAN KELUAR]]</f>
        <v>13.5</v>
      </c>
      <c r="N149" s="214">
        <f>TBLBAHANKELUAR[[#This Row],[MODAL SATUAN]]*TBLBAHANKELUAR[[#This Row],[TOTAL BAHAN KELUAR]]</f>
        <v>243</v>
      </c>
    </row>
    <row r="150" spans="1:14" x14ac:dyDescent="0.3">
      <c r="A150" s="103">
        <v>2026</v>
      </c>
      <c r="B150" s="211" t="s">
        <v>590</v>
      </c>
      <c r="C150" s="211"/>
      <c r="D150" s="211"/>
      <c r="E150" s="3" t="s">
        <v>397</v>
      </c>
      <c r="F150" s="212">
        <v>10</v>
      </c>
      <c r="G150" s="213" t="str">
        <f>VLOOKUP(TBLBAHANKELUAR[[#This Row],[KODE BAHAN]],[4]!TBLPIZZAYES[#Data],2,FALSE)</f>
        <v>GARAM HALUS</v>
      </c>
      <c r="H150" s="214">
        <f>VLOOKUP(TBLBAHANKELUAR[[#This Row],[NAMA BAHAN]],TBLREKAPBAHAN[[NAMA BAHAN]:[MODAL SATUAN]],2,FALSE)</f>
        <v>4000</v>
      </c>
      <c r="I150" s="214">
        <f>VLOOKUP(TBLBAHANKELUAR[[#This Row],[NAMA BAHAN]],TBLREKAPBAHAN[[NAMA BAHAN]:[MODAL SATUAN]],3,FALSE)</f>
        <v>250</v>
      </c>
      <c r="J150" s="214">
        <f>VLOOKUP(TBLBAHANKELUAR[[#This Row],[NAMA BAHAN]],TBLREKAPBAHAN[[NAMA BAHAN]:[MODAL SATUAN]],4,FALSE)</f>
        <v>16</v>
      </c>
      <c r="K150" s="215">
        <f>VLOOKUP(TBLBAHANKELUAR[[#This Row],[KODE BAHAN]],[4]!TBLPIZZAYES[#Data],9,FALSE)</f>
        <v>3</v>
      </c>
      <c r="L150" s="215">
        <f>SUMIF(TBLPRODUKKELUARJULI[NAMA PRODUK],TBLBAHANKELUAR[[#This Row],[NAMA PRODUK]],TBLPRODUKKELUARJULI[JUMLAH TERJUAL])</f>
        <v>1</v>
      </c>
      <c r="M150" s="215">
        <f>TBLBAHANKELUAR[[#This Row],[KEB. BAHAN]]*TBLBAHANKELUAR[[#This Row],[JUMLAH KEB. BAHAN KELUAR]]</f>
        <v>3</v>
      </c>
      <c r="N150" s="214">
        <f>TBLBAHANKELUAR[[#This Row],[MODAL SATUAN]]*TBLBAHANKELUAR[[#This Row],[TOTAL BAHAN KELUAR]]</f>
        <v>48</v>
      </c>
    </row>
    <row r="151" spans="1:14" x14ac:dyDescent="0.3">
      <c r="A151" s="103">
        <v>2026</v>
      </c>
      <c r="B151" s="211" t="s">
        <v>590</v>
      </c>
      <c r="C151" s="211"/>
      <c r="D151" s="211"/>
      <c r="E151" s="3" t="s">
        <v>397</v>
      </c>
      <c r="F151" s="212">
        <v>11</v>
      </c>
      <c r="G151" s="213" t="str">
        <f>VLOOKUP(TBLBAHANKELUAR[[#This Row],[KODE BAHAN]],[4]!TBLPIZZAYES[#Data],2,FALSE)</f>
        <v>VERMIPAN</v>
      </c>
      <c r="H151" s="214">
        <f>VLOOKUP(TBLBAHANKELUAR[[#This Row],[NAMA BAHAN]],TBLREKAPBAHAN[[NAMA BAHAN]:[MODAL SATUAN]],2,FALSE)</f>
        <v>7000</v>
      </c>
      <c r="I151" s="214">
        <f>VLOOKUP(TBLBAHANKELUAR[[#This Row],[NAMA BAHAN]],TBLREKAPBAHAN[[NAMA BAHAN]:[MODAL SATUAN]],3,FALSE)</f>
        <v>11</v>
      </c>
      <c r="J151" s="214">
        <f>VLOOKUP(TBLBAHANKELUAR[[#This Row],[NAMA BAHAN]],TBLREKAPBAHAN[[NAMA BAHAN]:[MODAL SATUAN]],4,FALSE)</f>
        <v>636.36363636363637</v>
      </c>
      <c r="K151" s="215">
        <f>VLOOKUP(TBLBAHANKELUAR[[#This Row],[KODE BAHAN]],[4]!TBLPIZZAYES[#Data],9,FALSE)</f>
        <v>5</v>
      </c>
      <c r="L151" s="215">
        <f>SUMIF(TBLPRODUKKELUARJULI[NAMA PRODUK],TBLBAHANKELUAR[[#This Row],[NAMA PRODUK]],TBLPRODUKKELUARJULI[JUMLAH TERJUAL])</f>
        <v>1</v>
      </c>
      <c r="M151" s="215">
        <f>TBLBAHANKELUAR[[#This Row],[KEB. BAHAN]]*TBLBAHANKELUAR[[#This Row],[JUMLAH KEB. BAHAN KELUAR]]</f>
        <v>5</v>
      </c>
      <c r="N151" s="214">
        <f>TBLBAHANKELUAR[[#This Row],[MODAL SATUAN]]*TBLBAHANKELUAR[[#This Row],[TOTAL BAHAN KELUAR]]</f>
        <v>3181.818181818182</v>
      </c>
    </row>
    <row r="152" spans="1:14" x14ac:dyDescent="0.3">
      <c r="A152" s="103">
        <v>2026</v>
      </c>
      <c r="B152" s="211" t="s">
        <v>590</v>
      </c>
      <c r="C152" s="211"/>
      <c r="D152" s="211"/>
      <c r="E152" s="3" t="s">
        <v>397</v>
      </c>
      <c r="F152" s="212">
        <v>12</v>
      </c>
      <c r="G152" s="213" t="str">
        <f>VLOOKUP(TBLBAHANKELUAR[[#This Row],[KODE BAHAN]],[4]!TBLPIZZAYES[#Data],2,FALSE)</f>
        <v>SUSU BUBUK</v>
      </c>
      <c r="H152" s="214">
        <f>VLOOKUP(TBLBAHANKELUAR[[#This Row],[NAMA BAHAN]],TBLREKAPBAHAN[[NAMA BAHAN]:[MODAL SATUAN]],2,FALSE)</f>
        <v>18000</v>
      </c>
      <c r="I152" s="214">
        <f>VLOOKUP(TBLBAHANKELUAR[[#This Row],[NAMA BAHAN]],TBLREKAPBAHAN[[NAMA BAHAN]:[MODAL SATUAN]],3,FALSE)</f>
        <v>250</v>
      </c>
      <c r="J152" s="214">
        <f>VLOOKUP(TBLBAHANKELUAR[[#This Row],[NAMA BAHAN]],TBLREKAPBAHAN[[NAMA BAHAN]:[MODAL SATUAN]],4,FALSE)</f>
        <v>72</v>
      </c>
      <c r="K152" s="215">
        <f>VLOOKUP(TBLBAHANKELUAR[[#This Row],[KODE BAHAN]],[4]!TBLPIZZAYES[#Data],9,FALSE)</f>
        <v>15</v>
      </c>
      <c r="L152" s="215">
        <f>SUMIF(TBLPRODUKKELUARJULI[NAMA PRODUK],TBLBAHANKELUAR[[#This Row],[NAMA PRODUK]],TBLPRODUKKELUARJULI[JUMLAH TERJUAL])</f>
        <v>1</v>
      </c>
      <c r="M152" s="215">
        <f>TBLBAHANKELUAR[[#This Row],[KEB. BAHAN]]*TBLBAHANKELUAR[[#This Row],[JUMLAH KEB. BAHAN KELUAR]]</f>
        <v>15</v>
      </c>
      <c r="N152" s="214">
        <f>TBLBAHANKELUAR[[#This Row],[MODAL SATUAN]]*TBLBAHANKELUAR[[#This Row],[TOTAL BAHAN KELUAR]]</f>
        <v>1080</v>
      </c>
    </row>
    <row r="153" spans="1:14" x14ac:dyDescent="0.3">
      <c r="A153" s="103">
        <v>2026</v>
      </c>
      <c r="B153" s="211" t="s">
        <v>590</v>
      </c>
      <c r="C153" s="211"/>
      <c r="D153" s="211"/>
      <c r="E153" s="3" t="s">
        <v>397</v>
      </c>
      <c r="F153" s="212">
        <v>13</v>
      </c>
      <c r="G153" s="213" t="str">
        <f>VLOOKUP(TBLBAHANKELUAR[[#This Row],[KODE BAHAN]],[4]!TBLPIZZAYES[#Data],2,FALSE)</f>
        <v>TEPUNG SEGITIGA BIRU</v>
      </c>
      <c r="H153" s="214">
        <f>VLOOKUP(TBLBAHANKELUAR[[#This Row],[NAMA BAHAN]],TBLREKAPBAHAN[[NAMA BAHAN]:[MODAL SATUAN]],2,FALSE)</f>
        <v>14000</v>
      </c>
      <c r="I153" s="214">
        <f>VLOOKUP(TBLBAHANKELUAR[[#This Row],[NAMA BAHAN]],TBLREKAPBAHAN[[NAMA BAHAN]:[MODAL SATUAN]],3,FALSE)</f>
        <v>1000</v>
      </c>
      <c r="J153" s="214">
        <f>VLOOKUP(TBLBAHANKELUAR[[#This Row],[NAMA BAHAN]],TBLREKAPBAHAN[[NAMA BAHAN]:[MODAL SATUAN]],4,FALSE)</f>
        <v>14</v>
      </c>
      <c r="K153" s="215">
        <f>VLOOKUP(TBLBAHANKELUAR[[#This Row],[KODE BAHAN]],[4]!TBLPIZZAYES[#Data],9,FALSE)</f>
        <v>30</v>
      </c>
      <c r="L153" s="215">
        <f>SUMIF(TBLPRODUKKELUARJULI[NAMA PRODUK],TBLBAHANKELUAR[[#This Row],[NAMA PRODUK]],TBLPRODUKKELUARJULI[JUMLAH TERJUAL])</f>
        <v>1</v>
      </c>
      <c r="M153" s="215">
        <f>TBLBAHANKELUAR[[#This Row],[KEB. BAHAN]]*TBLBAHANKELUAR[[#This Row],[JUMLAH KEB. BAHAN KELUAR]]</f>
        <v>30</v>
      </c>
      <c r="N153" s="214">
        <f>TBLBAHANKELUAR[[#This Row],[MODAL SATUAN]]*TBLBAHANKELUAR[[#This Row],[TOTAL BAHAN KELUAR]]</f>
        <v>420</v>
      </c>
    </row>
    <row r="154" spans="1:14" x14ac:dyDescent="0.3">
      <c r="A154" s="103">
        <v>2026</v>
      </c>
      <c r="B154" s="211" t="s">
        <v>590</v>
      </c>
      <c r="C154" s="211"/>
      <c r="D154" s="211"/>
      <c r="E154" s="3" t="s">
        <v>397</v>
      </c>
      <c r="F154" s="212">
        <v>14</v>
      </c>
      <c r="G154" s="213" t="str">
        <f>VLOOKUP(TBLBAHANKELUAR[[#This Row],[KODE BAHAN]],[4]!TBLPIZZAYES[#Data],2,FALSE)</f>
        <v>TEPUNG CAKRA KEMBAR</v>
      </c>
      <c r="H154" s="214">
        <f>VLOOKUP(TBLBAHANKELUAR[[#This Row],[NAMA BAHAN]],TBLREKAPBAHAN[[NAMA BAHAN]:[MODAL SATUAN]],2,FALSE)</f>
        <v>14000</v>
      </c>
      <c r="I154" s="214">
        <f>VLOOKUP(TBLBAHANKELUAR[[#This Row],[NAMA BAHAN]],TBLREKAPBAHAN[[NAMA BAHAN]:[MODAL SATUAN]],3,FALSE)</f>
        <v>1000</v>
      </c>
      <c r="J154" s="214">
        <f>VLOOKUP(TBLBAHANKELUAR[[#This Row],[NAMA BAHAN]],TBLREKAPBAHAN[[NAMA BAHAN]:[MODAL SATUAN]],4,FALSE)</f>
        <v>14</v>
      </c>
      <c r="K154" s="215">
        <f>VLOOKUP(TBLBAHANKELUAR[[#This Row],[KODE BAHAN]],[4]!TBLPIZZAYES[#Data],9,FALSE)</f>
        <v>50</v>
      </c>
      <c r="L154" s="215">
        <f>SUMIF(TBLPRODUKKELUARJULI[NAMA PRODUK],TBLBAHANKELUAR[[#This Row],[NAMA PRODUK]],TBLPRODUKKELUARJULI[JUMLAH TERJUAL])</f>
        <v>1</v>
      </c>
      <c r="M154" s="215">
        <f>TBLBAHANKELUAR[[#This Row],[KEB. BAHAN]]*TBLBAHANKELUAR[[#This Row],[JUMLAH KEB. BAHAN KELUAR]]</f>
        <v>50</v>
      </c>
      <c r="N154" s="214">
        <f>TBLBAHANKELUAR[[#This Row],[MODAL SATUAN]]*TBLBAHANKELUAR[[#This Row],[TOTAL BAHAN KELUAR]]</f>
        <v>700</v>
      </c>
    </row>
    <row r="155" spans="1:14" x14ac:dyDescent="0.3">
      <c r="A155" s="103">
        <v>2026</v>
      </c>
      <c r="B155" s="211" t="s">
        <v>590</v>
      </c>
      <c r="C155" s="211"/>
      <c r="D155" s="211"/>
      <c r="E155" s="3" t="s">
        <v>397</v>
      </c>
      <c r="F155" s="212">
        <v>15</v>
      </c>
      <c r="G155" s="213" t="str">
        <f>VLOOKUP(TBLBAHANKELUAR[[#This Row],[KODE BAHAN]],[4]!TBLPIZZAYES[#Data],2,FALSE)</f>
        <v>BASIL</v>
      </c>
      <c r="H155" s="214">
        <f>VLOOKUP(TBLBAHANKELUAR[[#This Row],[NAMA BAHAN]],TBLREKAPBAHAN[[NAMA BAHAN]:[MODAL SATUAN]],2,FALSE)</f>
        <v>30000</v>
      </c>
      <c r="I155" s="214">
        <f>VLOOKUP(TBLBAHANKELUAR[[#This Row],[NAMA BAHAN]],TBLREKAPBAHAN[[NAMA BAHAN]:[MODAL SATUAN]],3,FALSE)</f>
        <v>30</v>
      </c>
      <c r="J155" s="214">
        <f>VLOOKUP(TBLBAHANKELUAR[[#This Row],[NAMA BAHAN]],TBLREKAPBAHAN[[NAMA BAHAN]:[MODAL SATUAN]],4,FALSE)</f>
        <v>1000</v>
      </c>
      <c r="K155" s="215">
        <f>VLOOKUP(TBLBAHANKELUAR[[#This Row],[KODE BAHAN]],[4]!TBLPIZZAYES[#Data],9,FALSE)</f>
        <v>1</v>
      </c>
      <c r="L155" s="215">
        <f>SUMIF(TBLPRODUKKELUARJULI[NAMA PRODUK],TBLBAHANKELUAR[[#This Row],[NAMA PRODUK]],TBLPRODUKKELUARJULI[JUMLAH TERJUAL])</f>
        <v>1</v>
      </c>
      <c r="M155" s="215">
        <f>TBLBAHANKELUAR[[#This Row],[KEB. BAHAN]]*TBLBAHANKELUAR[[#This Row],[JUMLAH KEB. BAHAN KELUAR]]</f>
        <v>1</v>
      </c>
      <c r="N155" s="214">
        <f>TBLBAHANKELUAR[[#This Row],[MODAL SATUAN]]*TBLBAHANKELUAR[[#This Row],[TOTAL BAHAN KELUAR]]</f>
        <v>1000</v>
      </c>
    </row>
    <row r="156" spans="1:14" x14ac:dyDescent="0.3">
      <c r="A156" s="103">
        <v>2026</v>
      </c>
      <c r="B156" s="211" t="s">
        <v>590</v>
      </c>
      <c r="C156" s="211"/>
      <c r="D156" s="211"/>
      <c r="E156" s="3" t="s">
        <v>397</v>
      </c>
      <c r="F156" s="212">
        <v>16</v>
      </c>
      <c r="G156" s="213" t="str">
        <f>VLOOKUP(TBLBAHANKELUAR[[#This Row],[KODE BAHAN]],[4]!TBLPIZZAYES[#Data],2,FALSE)</f>
        <v>KALDU JAMUR</v>
      </c>
      <c r="H156" s="214">
        <f>VLOOKUP(TBLBAHANKELUAR[[#This Row],[NAMA BAHAN]],TBLREKAPBAHAN[[NAMA BAHAN]:[MODAL SATUAN]],2,FALSE)</f>
        <v>15000</v>
      </c>
      <c r="I156" s="214">
        <f>VLOOKUP(TBLBAHANKELUAR[[#This Row],[NAMA BAHAN]],TBLREKAPBAHAN[[NAMA BAHAN]:[MODAL SATUAN]],3,FALSE)</f>
        <v>80</v>
      </c>
      <c r="J156" s="214">
        <f>VLOOKUP(TBLBAHANKELUAR[[#This Row],[NAMA BAHAN]],TBLREKAPBAHAN[[NAMA BAHAN]:[MODAL SATUAN]],4,FALSE)</f>
        <v>187.5</v>
      </c>
      <c r="K156" s="215">
        <f>VLOOKUP(TBLBAHANKELUAR[[#This Row],[KODE BAHAN]],[4]!TBLPIZZAYES[#Data],9,FALSE)</f>
        <v>0</v>
      </c>
      <c r="L156" s="215">
        <f>SUMIF(TBLPRODUKKELUARJULI[NAMA PRODUK],TBLBAHANKELUAR[[#This Row],[NAMA PRODUK]],TBLPRODUKKELUARJULI[JUMLAH TERJUAL])</f>
        <v>1</v>
      </c>
      <c r="M156" s="215">
        <f>TBLBAHANKELUAR[[#This Row],[KEB. BAHAN]]*TBLBAHANKELUAR[[#This Row],[JUMLAH KEB. BAHAN KELUAR]]</f>
        <v>0</v>
      </c>
      <c r="N156" s="214">
        <f>TBLBAHANKELUAR[[#This Row],[MODAL SATUAN]]*TBLBAHANKELUAR[[#This Row],[TOTAL BAHAN KELUAR]]</f>
        <v>0</v>
      </c>
    </row>
    <row r="157" spans="1:14" x14ac:dyDescent="0.3">
      <c r="A157" s="103">
        <v>2026</v>
      </c>
      <c r="B157" s="211" t="s">
        <v>590</v>
      </c>
      <c r="C157" s="211"/>
      <c r="D157" s="211"/>
      <c r="E157" s="3" t="s">
        <v>397</v>
      </c>
      <c r="F157" s="212">
        <v>17</v>
      </c>
      <c r="G157" s="213" t="str">
        <f>VLOOKUP(TBLBAHANKELUAR[[#This Row],[KODE BAHAN]],[4]!TBLPIZZAYES[#Data],2,FALSE)</f>
        <v>BAWANG BOMBAY</v>
      </c>
      <c r="H157" s="214">
        <f>VLOOKUP(TBLBAHANKELUAR[[#This Row],[NAMA BAHAN]],TBLREKAPBAHAN[[NAMA BAHAN]:[MODAL SATUAN]],2,FALSE)</f>
        <v>5000</v>
      </c>
      <c r="I157" s="214">
        <f>VLOOKUP(TBLBAHANKELUAR[[#This Row],[NAMA BAHAN]],TBLREKAPBAHAN[[NAMA BAHAN]:[MODAL SATUAN]],3,FALSE)</f>
        <v>8</v>
      </c>
      <c r="J157" s="214">
        <f>VLOOKUP(TBLBAHANKELUAR[[#This Row],[NAMA BAHAN]],TBLREKAPBAHAN[[NAMA BAHAN]:[MODAL SATUAN]],4,FALSE)</f>
        <v>625</v>
      </c>
      <c r="K157" s="215">
        <f>VLOOKUP(TBLBAHANKELUAR[[#This Row],[KODE BAHAN]],[4]!TBLPIZZAYES[#Data],9,FALSE)</f>
        <v>2</v>
      </c>
      <c r="L157" s="215">
        <f>SUMIF(TBLPRODUKKELUARJULI[NAMA PRODUK],TBLBAHANKELUAR[[#This Row],[NAMA PRODUK]],TBLPRODUKKELUARJULI[JUMLAH TERJUAL])</f>
        <v>1</v>
      </c>
      <c r="M157" s="215">
        <f>TBLBAHANKELUAR[[#This Row],[KEB. BAHAN]]*TBLBAHANKELUAR[[#This Row],[JUMLAH KEB. BAHAN KELUAR]]</f>
        <v>2</v>
      </c>
      <c r="N157" s="214">
        <f>TBLBAHANKELUAR[[#This Row],[MODAL SATUAN]]*TBLBAHANKELUAR[[#This Row],[TOTAL BAHAN KELUAR]]</f>
        <v>1250</v>
      </c>
    </row>
    <row r="158" spans="1:14" x14ac:dyDescent="0.3">
      <c r="A158" s="103">
        <v>2026</v>
      </c>
      <c r="B158" s="211" t="s">
        <v>590</v>
      </c>
      <c r="C158" s="211"/>
      <c r="D158" s="211"/>
      <c r="E158" s="3" t="s">
        <v>397</v>
      </c>
      <c r="F158" s="212">
        <v>18</v>
      </c>
      <c r="G158" s="213" t="str">
        <f>VLOOKUP(TBLBAHANKELUAR[[#This Row],[KODE BAHAN]],[4]!TBLPIZZAYES[#Data],2,FALSE)</f>
        <v>ABON</v>
      </c>
      <c r="H158" s="214">
        <f>VLOOKUP(TBLBAHANKELUAR[[#This Row],[NAMA BAHAN]],TBLREKAPBAHAN[[NAMA BAHAN]:[MODAL SATUAN]],2,FALSE)</f>
        <v>25000</v>
      </c>
      <c r="I158" s="214">
        <f>VLOOKUP(TBLBAHANKELUAR[[#This Row],[NAMA BAHAN]],TBLREKAPBAHAN[[NAMA BAHAN]:[MODAL SATUAN]],3,FALSE)</f>
        <v>100</v>
      </c>
      <c r="J158" s="214">
        <f>VLOOKUP(TBLBAHANKELUAR[[#This Row],[NAMA BAHAN]],TBLREKAPBAHAN[[NAMA BAHAN]:[MODAL SATUAN]],4,FALSE)</f>
        <v>250</v>
      </c>
      <c r="K158" s="215">
        <f>VLOOKUP(TBLBAHANKELUAR[[#This Row],[KODE BAHAN]],[4]!TBLPIZZAYES[#Data],9,FALSE)</f>
        <v>0</v>
      </c>
      <c r="L158" s="215">
        <f>SUMIF(TBLPRODUKKELUARJULI[NAMA PRODUK],TBLBAHANKELUAR[[#This Row],[NAMA PRODUK]],TBLPRODUKKELUARJULI[JUMLAH TERJUAL])</f>
        <v>1</v>
      </c>
      <c r="M158" s="215">
        <f>TBLBAHANKELUAR[[#This Row],[KEB. BAHAN]]*TBLBAHANKELUAR[[#This Row],[JUMLAH KEB. BAHAN KELUAR]]</f>
        <v>0</v>
      </c>
      <c r="N158" s="214">
        <f>TBLBAHANKELUAR[[#This Row],[MODAL SATUAN]]*TBLBAHANKELUAR[[#This Row],[TOTAL BAHAN KELUAR]]</f>
        <v>0</v>
      </c>
    </row>
    <row r="159" spans="1:14" x14ac:dyDescent="0.3">
      <c r="A159" s="103">
        <v>2026</v>
      </c>
      <c r="B159" s="211" t="s">
        <v>590</v>
      </c>
      <c r="C159" s="211"/>
      <c r="D159" s="211"/>
      <c r="E159" s="3" t="s">
        <v>397</v>
      </c>
      <c r="F159" s="212">
        <v>19</v>
      </c>
      <c r="G159" s="213" t="str">
        <f>VLOOKUP(TBLBAHANKELUAR[[#This Row],[KODE BAHAN]],[4]!TBLPIZZAYES[#Data],2,FALSE)</f>
        <v>JAMUR</v>
      </c>
      <c r="H159" s="214">
        <f>VLOOKUP(TBLBAHANKELUAR[[#This Row],[NAMA BAHAN]],TBLREKAPBAHAN[[NAMA BAHAN]:[MODAL SATUAN]],2,FALSE)</f>
        <v>2000</v>
      </c>
      <c r="I159" s="214">
        <f>VLOOKUP(TBLBAHANKELUAR[[#This Row],[NAMA BAHAN]],TBLREKAPBAHAN[[NAMA BAHAN]:[MODAL SATUAN]],3,FALSE)</f>
        <v>10</v>
      </c>
      <c r="J159" s="214">
        <f>VLOOKUP(TBLBAHANKELUAR[[#This Row],[NAMA BAHAN]],TBLREKAPBAHAN[[NAMA BAHAN]:[MODAL SATUAN]],4,FALSE)</f>
        <v>200</v>
      </c>
      <c r="K159" s="215">
        <f>VLOOKUP(TBLBAHANKELUAR[[#This Row],[KODE BAHAN]],[4]!TBLPIZZAYES[#Data],9,FALSE)</f>
        <v>0</v>
      </c>
      <c r="L159" s="215">
        <f>SUMIF(TBLPRODUKKELUARJULI[NAMA PRODUK],TBLBAHANKELUAR[[#This Row],[NAMA PRODUK]],TBLPRODUKKELUARJULI[JUMLAH TERJUAL])</f>
        <v>1</v>
      </c>
      <c r="M159" s="215">
        <f>TBLBAHANKELUAR[[#This Row],[KEB. BAHAN]]*TBLBAHANKELUAR[[#This Row],[JUMLAH KEB. BAHAN KELUAR]]</f>
        <v>0</v>
      </c>
      <c r="N159" s="214">
        <f>TBLBAHANKELUAR[[#This Row],[MODAL SATUAN]]*TBLBAHANKELUAR[[#This Row],[TOTAL BAHAN KELUAR]]</f>
        <v>0</v>
      </c>
    </row>
    <row r="160" spans="1:14" x14ac:dyDescent="0.3">
      <c r="A160" s="103">
        <v>2026</v>
      </c>
      <c r="B160" s="211" t="s">
        <v>590</v>
      </c>
      <c r="C160" s="211"/>
      <c r="D160" s="211"/>
      <c r="E160" s="3" t="s">
        <v>397</v>
      </c>
      <c r="F160" s="212">
        <v>20</v>
      </c>
      <c r="G160" s="213" t="str">
        <f>VLOOKUP(TBLBAHANKELUAR[[#This Row],[KODE BAHAN]],[4]!TBLPIZZAYES[#Data],2,FALSE)</f>
        <v>JAGUNG</v>
      </c>
      <c r="H160" s="214">
        <f>VLOOKUP(TBLBAHANKELUAR[[#This Row],[NAMA BAHAN]],TBLREKAPBAHAN[[NAMA BAHAN]:[MODAL SATUAN]],2,FALSE)</f>
        <v>3000</v>
      </c>
      <c r="I160" s="214">
        <f>VLOOKUP(TBLBAHANKELUAR[[#This Row],[NAMA BAHAN]],TBLREKAPBAHAN[[NAMA BAHAN]:[MODAL SATUAN]],3,FALSE)</f>
        <v>2</v>
      </c>
      <c r="J160" s="214">
        <f>VLOOKUP(TBLBAHANKELUAR[[#This Row],[NAMA BAHAN]],TBLREKAPBAHAN[[NAMA BAHAN]:[MODAL SATUAN]],4,FALSE)</f>
        <v>1500</v>
      </c>
      <c r="K160" s="215">
        <f>VLOOKUP(TBLBAHANKELUAR[[#This Row],[KODE BAHAN]],[4]!TBLPIZZAYES[#Data],9,FALSE)</f>
        <v>0</v>
      </c>
      <c r="L160" s="215">
        <f>SUMIF(TBLPRODUKKELUARJULI[NAMA PRODUK],TBLBAHANKELUAR[[#This Row],[NAMA PRODUK]],TBLPRODUKKELUARJULI[JUMLAH TERJUAL])</f>
        <v>1</v>
      </c>
      <c r="M160" s="215">
        <f>TBLBAHANKELUAR[[#This Row],[KEB. BAHAN]]*TBLBAHANKELUAR[[#This Row],[JUMLAH KEB. BAHAN KELUAR]]</f>
        <v>0</v>
      </c>
      <c r="N160" s="214">
        <f>TBLBAHANKELUAR[[#This Row],[MODAL SATUAN]]*TBLBAHANKELUAR[[#This Row],[TOTAL BAHAN KELUAR]]</f>
        <v>0</v>
      </c>
    </row>
    <row r="161" spans="1:14" x14ac:dyDescent="0.3">
      <c r="A161" s="103">
        <v>2026</v>
      </c>
      <c r="B161" s="211" t="s">
        <v>590</v>
      </c>
      <c r="C161" s="211"/>
      <c r="D161" s="211"/>
      <c r="E161" s="3" t="s">
        <v>397</v>
      </c>
      <c r="F161" s="212">
        <v>21</v>
      </c>
      <c r="G161" s="213" t="str">
        <f>VLOOKUP(TBLBAHANKELUAR[[#This Row],[KODE BAHAN]],[4]!TBLPIZZAYES[#Data],2,FALSE)</f>
        <v>PAPRIKA GRAM</v>
      </c>
      <c r="H161" s="214">
        <f>VLOOKUP(TBLBAHANKELUAR[[#This Row],[NAMA BAHAN]],TBLREKAPBAHAN[[NAMA BAHAN]:[MODAL SATUAN]],2,FALSE)</f>
        <v>10000</v>
      </c>
      <c r="I161" s="214">
        <f>VLOOKUP(TBLBAHANKELUAR[[#This Row],[NAMA BAHAN]],TBLREKAPBAHAN[[NAMA BAHAN]:[MODAL SATUAN]],3,FALSE)</f>
        <v>100</v>
      </c>
      <c r="J161" s="214">
        <f>VLOOKUP(TBLBAHANKELUAR[[#This Row],[NAMA BAHAN]],TBLREKAPBAHAN[[NAMA BAHAN]:[MODAL SATUAN]],4,FALSE)</f>
        <v>100</v>
      </c>
      <c r="K161" s="215">
        <f>VLOOKUP(TBLBAHANKELUAR[[#This Row],[KODE BAHAN]],[4]!TBLPIZZAYES[#Data],9,FALSE)</f>
        <v>5</v>
      </c>
      <c r="L161" s="215">
        <f>SUMIF(TBLPRODUKKELUARJULI[NAMA PRODUK],TBLBAHANKELUAR[[#This Row],[NAMA PRODUK]],TBLPRODUKKELUARJULI[JUMLAH TERJUAL])</f>
        <v>1</v>
      </c>
      <c r="M161" s="215">
        <f>TBLBAHANKELUAR[[#This Row],[KEB. BAHAN]]*TBLBAHANKELUAR[[#This Row],[JUMLAH KEB. BAHAN KELUAR]]</f>
        <v>5</v>
      </c>
      <c r="N161" s="214">
        <f>TBLBAHANKELUAR[[#This Row],[MODAL SATUAN]]*TBLBAHANKELUAR[[#This Row],[TOTAL BAHAN KELUAR]]</f>
        <v>500</v>
      </c>
    </row>
    <row r="162" spans="1:14" x14ac:dyDescent="0.3">
      <c r="A162" s="103">
        <v>2026</v>
      </c>
      <c r="B162" s="211" t="s">
        <v>590</v>
      </c>
      <c r="C162" s="211"/>
      <c r="D162" s="211"/>
      <c r="E162" s="3" t="s">
        <v>397</v>
      </c>
      <c r="F162" s="212">
        <v>22</v>
      </c>
      <c r="G162" s="213" t="str">
        <f>VLOOKUP(TBLBAHANKELUAR[[#This Row],[KODE BAHAN]],[4]!TBLPIZZAYES[#Data],2,FALSE)</f>
        <v>KENTANG</v>
      </c>
      <c r="H162" s="214">
        <f>VLOOKUP(TBLBAHANKELUAR[[#This Row],[NAMA BAHAN]],TBLREKAPBAHAN[[NAMA BAHAN]:[MODAL SATUAN]],2,FALSE)</f>
        <v>12000</v>
      </c>
      <c r="I162" s="214">
        <f>VLOOKUP(TBLBAHANKELUAR[[#This Row],[NAMA BAHAN]],TBLREKAPBAHAN[[NAMA BAHAN]:[MODAL SATUAN]],3,FALSE)</f>
        <v>10</v>
      </c>
      <c r="J162" s="214">
        <f>VLOOKUP(TBLBAHANKELUAR[[#This Row],[NAMA BAHAN]],TBLREKAPBAHAN[[NAMA BAHAN]:[MODAL SATUAN]],4,FALSE)</f>
        <v>1200</v>
      </c>
      <c r="K162" s="215">
        <f>VLOOKUP(TBLBAHANKELUAR[[#This Row],[KODE BAHAN]],[4]!TBLPIZZAYES[#Data],9,FALSE)</f>
        <v>0</v>
      </c>
      <c r="L162" s="215">
        <f>SUMIF(TBLPRODUKKELUARJULI[NAMA PRODUK],TBLBAHANKELUAR[[#This Row],[NAMA PRODUK]],TBLPRODUKKELUARJULI[JUMLAH TERJUAL])</f>
        <v>1</v>
      </c>
      <c r="M162" s="215">
        <f>TBLBAHANKELUAR[[#This Row],[KEB. BAHAN]]*TBLBAHANKELUAR[[#This Row],[JUMLAH KEB. BAHAN KELUAR]]</f>
        <v>0</v>
      </c>
      <c r="N162" s="214">
        <f>TBLBAHANKELUAR[[#This Row],[MODAL SATUAN]]*TBLBAHANKELUAR[[#This Row],[TOTAL BAHAN KELUAR]]</f>
        <v>0</v>
      </c>
    </row>
    <row r="163" spans="1:14" x14ac:dyDescent="0.3">
      <c r="A163" s="103">
        <v>2026</v>
      </c>
      <c r="B163" s="211" t="s">
        <v>590</v>
      </c>
      <c r="C163" s="211"/>
      <c r="D163" s="211"/>
      <c r="E163" s="3" t="s">
        <v>397</v>
      </c>
      <c r="F163" s="212">
        <v>23</v>
      </c>
      <c r="G163" s="213" t="str">
        <f>VLOOKUP(TBLBAHANKELUAR[[#This Row],[KODE BAHAN]],[4]!TBLPIZZAYES[#Data],2,FALSE)</f>
        <v>AIR PANAS (CC/GRAM)</v>
      </c>
      <c r="H163" s="214">
        <f>VLOOKUP(TBLBAHANKELUAR[[#This Row],[NAMA BAHAN]],TBLREKAPBAHAN[[NAMA BAHAN]:[MODAL SATUAN]],2,FALSE)</f>
        <v>17000</v>
      </c>
      <c r="I163" s="214">
        <f>VLOOKUP(TBLBAHANKELUAR[[#This Row],[NAMA BAHAN]],TBLREKAPBAHAN[[NAMA BAHAN]:[MODAL SATUAN]],3,FALSE)</f>
        <v>19000</v>
      </c>
      <c r="J163" s="214">
        <f>VLOOKUP(TBLBAHANKELUAR[[#This Row],[NAMA BAHAN]],TBLREKAPBAHAN[[NAMA BAHAN]:[MODAL SATUAN]],4,FALSE)</f>
        <v>0.89473684210526316</v>
      </c>
      <c r="K163" s="215">
        <f>VLOOKUP(TBLBAHANKELUAR[[#This Row],[KODE BAHAN]],[4]!TBLPIZZAYES[#Data],9,FALSE)</f>
        <v>60</v>
      </c>
      <c r="L163" s="215">
        <f>SUMIF(TBLPRODUKKELUARJULI[NAMA PRODUK],TBLBAHANKELUAR[[#This Row],[NAMA PRODUK]],TBLPRODUKKELUARJULI[JUMLAH TERJUAL])</f>
        <v>1</v>
      </c>
      <c r="M163" s="215">
        <f>TBLBAHANKELUAR[[#This Row],[KEB. BAHAN]]*TBLBAHANKELUAR[[#This Row],[JUMLAH KEB. BAHAN KELUAR]]</f>
        <v>60</v>
      </c>
      <c r="N163" s="214">
        <f>TBLBAHANKELUAR[[#This Row],[MODAL SATUAN]]*TBLBAHANKELUAR[[#This Row],[TOTAL BAHAN KELUAR]]</f>
        <v>53.684210526315788</v>
      </c>
    </row>
    <row r="164" spans="1:14" x14ac:dyDescent="0.3">
      <c r="A164" s="103">
        <v>2026</v>
      </c>
      <c r="B164" s="211" t="s">
        <v>590</v>
      </c>
      <c r="C164" s="211"/>
      <c r="D164" s="211"/>
      <c r="E164" s="3" t="s">
        <v>397</v>
      </c>
      <c r="F164" s="212">
        <v>24</v>
      </c>
      <c r="G164" s="213" t="str">
        <f>VLOOKUP(TBLBAHANKELUAR[[#This Row],[KODE BAHAN]],[4]!TBLPIZZAYES[#Data],2,FALSE)</f>
        <v>GAS ELPIJI</v>
      </c>
      <c r="H164" s="214">
        <f>VLOOKUP(TBLBAHANKELUAR[[#This Row],[NAMA BAHAN]],TBLREKAPBAHAN[[NAMA BAHAN]:[MODAL SATUAN]],2,FALSE)</f>
        <v>23000</v>
      </c>
      <c r="I164" s="214">
        <f>VLOOKUP(TBLBAHANKELUAR[[#This Row],[NAMA BAHAN]],TBLREKAPBAHAN[[NAMA BAHAN]:[MODAL SATUAN]],3,FALSE)</f>
        <v>3000</v>
      </c>
      <c r="J164" s="214">
        <f>VLOOKUP(TBLBAHANKELUAR[[#This Row],[NAMA BAHAN]],TBLREKAPBAHAN[[NAMA BAHAN]:[MODAL SATUAN]],4,FALSE)</f>
        <v>7.666666666666667</v>
      </c>
      <c r="K164" s="215">
        <f>VLOOKUP(TBLBAHANKELUAR[[#This Row],[KODE BAHAN]],[4]!TBLPIZZAYES[#Data],9,FALSE)</f>
        <v>50</v>
      </c>
      <c r="L164" s="215">
        <f>SUMIF(TBLPRODUKKELUARJULI[NAMA PRODUK],TBLBAHANKELUAR[[#This Row],[NAMA PRODUK]],TBLPRODUKKELUARJULI[JUMLAH TERJUAL])</f>
        <v>1</v>
      </c>
      <c r="M164" s="215">
        <f>TBLBAHANKELUAR[[#This Row],[KEB. BAHAN]]*TBLBAHANKELUAR[[#This Row],[JUMLAH KEB. BAHAN KELUAR]]</f>
        <v>50</v>
      </c>
      <c r="N164" s="214">
        <f>TBLBAHANKELUAR[[#This Row],[MODAL SATUAN]]*TBLBAHANKELUAR[[#This Row],[TOTAL BAHAN KELUAR]]</f>
        <v>383.33333333333337</v>
      </c>
    </row>
    <row r="165" spans="1:14" x14ac:dyDescent="0.3">
      <c r="A165" s="103">
        <v>2026</v>
      </c>
      <c r="B165" s="211" t="s">
        <v>590</v>
      </c>
      <c r="C165" s="211"/>
      <c r="D165" s="211"/>
      <c r="E165" s="3" t="s">
        <v>397</v>
      </c>
      <c r="F165" s="212">
        <v>25</v>
      </c>
      <c r="G165" s="213" t="str">
        <f>VLOOKUP(TBLBAHANKELUAR[[#This Row],[KODE BAHAN]],[4]!TBLPIZZAYES[#Data],2,FALSE)</f>
        <v>KERTAS ROTI OVEN</v>
      </c>
      <c r="H165" s="214">
        <f>VLOOKUP(TBLBAHANKELUAR[[#This Row],[NAMA BAHAN]],TBLREKAPBAHAN[[NAMA BAHAN]:[MODAL SATUAN]],2,FALSE)</f>
        <v>10000</v>
      </c>
      <c r="I165" s="214">
        <f>VLOOKUP(TBLBAHANKELUAR[[#This Row],[NAMA BAHAN]],TBLREKAPBAHAN[[NAMA BAHAN]:[MODAL SATUAN]],3,FALSE)</f>
        <v>50</v>
      </c>
      <c r="J165" s="214">
        <f>VLOOKUP(TBLBAHANKELUAR[[#This Row],[NAMA BAHAN]],TBLREKAPBAHAN[[NAMA BAHAN]:[MODAL SATUAN]],4,FALSE)</f>
        <v>200</v>
      </c>
      <c r="K165" s="215">
        <f>VLOOKUP(TBLBAHANKELUAR[[#This Row],[KODE BAHAN]],[4]!TBLPIZZAYES[#Data],9,FALSE)</f>
        <v>1</v>
      </c>
      <c r="L165" s="215">
        <f>SUMIF(TBLPRODUKKELUARJULI[NAMA PRODUK],TBLBAHANKELUAR[[#This Row],[NAMA PRODUK]],TBLPRODUKKELUARJULI[JUMLAH TERJUAL])</f>
        <v>1</v>
      </c>
      <c r="M165" s="215">
        <f>TBLBAHANKELUAR[[#This Row],[KEB. BAHAN]]*TBLBAHANKELUAR[[#This Row],[JUMLAH KEB. BAHAN KELUAR]]</f>
        <v>1</v>
      </c>
      <c r="N165" s="214">
        <f>TBLBAHANKELUAR[[#This Row],[MODAL SATUAN]]*TBLBAHANKELUAR[[#This Row],[TOTAL BAHAN KELUAR]]</f>
        <v>200</v>
      </c>
    </row>
    <row r="166" spans="1:14" x14ac:dyDescent="0.3">
      <c r="A166" s="103">
        <v>2026</v>
      </c>
      <c r="B166" s="211" t="s">
        <v>590</v>
      </c>
      <c r="C166" s="211"/>
      <c r="D166" s="211"/>
      <c r="E166" s="3" t="s">
        <v>397</v>
      </c>
      <c r="F166" s="212">
        <v>26</v>
      </c>
      <c r="G166" s="213" t="str">
        <f>VLOOKUP(TBLBAHANKELUAR[[#This Row],[KODE BAHAN]],[4]!TBLPIZZAYES[#Data],2,FALSE)</f>
        <v>KOTAK 18 CM</v>
      </c>
      <c r="H166" s="214">
        <f>VLOOKUP(TBLBAHANKELUAR[[#This Row],[NAMA BAHAN]],TBLREKAPBAHAN[[NAMA BAHAN]:[MODAL SATUAN]],2,FALSE)</f>
        <v>2000</v>
      </c>
      <c r="I166" s="214">
        <f>VLOOKUP(TBLBAHANKELUAR[[#This Row],[NAMA BAHAN]],TBLREKAPBAHAN[[NAMA BAHAN]:[MODAL SATUAN]],3,FALSE)</f>
        <v>1</v>
      </c>
      <c r="J166" s="214">
        <f>VLOOKUP(TBLBAHANKELUAR[[#This Row],[NAMA BAHAN]],TBLREKAPBAHAN[[NAMA BAHAN]:[MODAL SATUAN]],4,FALSE)</f>
        <v>2000</v>
      </c>
      <c r="K166" s="215">
        <f>VLOOKUP(TBLBAHANKELUAR[[#This Row],[KODE BAHAN]],[4]!TBLPIZZAYES[#Data],9,FALSE)</f>
        <v>1</v>
      </c>
      <c r="L166" s="215">
        <f>SUMIF(TBLPRODUKKELUARJULI[NAMA PRODUK],TBLBAHANKELUAR[[#This Row],[NAMA PRODUK]],TBLPRODUKKELUARJULI[JUMLAH TERJUAL])</f>
        <v>1</v>
      </c>
      <c r="M166" s="215">
        <f>TBLBAHANKELUAR[[#This Row],[KEB. BAHAN]]*TBLBAHANKELUAR[[#This Row],[JUMLAH KEB. BAHAN KELUAR]]</f>
        <v>1</v>
      </c>
      <c r="N166" s="214">
        <f>TBLBAHANKELUAR[[#This Row],[MODAL SATUAN]]*TBLBAHANKELUAR[[#This Row],[TOTAL BAHAN KELUAR]]</f>
        <v>2000</v>
      </c>
    </row>
    <row r="167" spans="1:14" x14ac:dyDescent="0.3">
      <c r="A167" s="103">
        <v>2026</v>
      </c>
      <c r="B167" s="211" t="s">
        <v>590</v>
      </c>
      <c r="C167" s="211"/>
      <c r="D167" s="211"/>
      <c r="E167" s="3" t="s">
        <v>397</v>
      </c>
      <c r="F167" s="212">
        <v>27</v>
      </c>
      <c r="G167" s="213" t="str">
        <f>VLOOKUP(TBLBAHANKELUAR[[#This Row],[KODE BAHAN]],[4]!TBLPIZZAYES[#Data],2,FALSE)</f>
        <v>TALI RAFIA</v>
      </c>
      <c r="H167" s="214">
        <f>VLOOKUP(TBLBAHANKELUAR[[#This Row],[NAMA BAHAN]],TBLREKAPBAHAN[[NAMA BAHAN]:[MODAL SATUAN]],2,FALSE)</f>
        <v>37500</v>
      </c>
      <c r="I167" s="214">
        <f>VLOOKUP(TBLBAHANKELUAR[[#This Row],[NAMA BAHAN]],TBLREKAPBAHAN[[NAMA BAHAN]:[MODAL SATUAN]],3,FALSE)</f>
        <v>300</v>
      </c>
      <c r="J167" s="214">
        <f>VLOOKUP(TBLBAHANKELUAR[[#This Row],[NAMA BAHAN]],TBLREKAPBAHAN[[NAMA BAHAN]:[MODAL SATUAN]],4,FALSE)</f>
        <v>125</v>
      </c>
      <c r="K167" s="215">
        <f>VLOOKUP(TBLBAHANKELUAR[[#This Row],[KODE BAHAN]],[4]!TBLPIZZAYES[#Data],9,FALSE)</f>
        <v>1</v>
      </c>
      <c r="L167" s="215">
        <f>SUMIF(TBLPRODUKKELUARJULI[NAMA PRODUK],TBLBAHANKELUAR[[#This Row],[NAMA PRODUK]],TBLPRODUKKELUARJULI[JUMLAH TERJUAL])</f>
        <v>1</v>
      </c>
      <c r="M167" s="215">
        <f>TBLBAHANKELUAR[[#This Row],[KEB. BAHAN]]*TBLBAHANKELUAR[[#This Row],[JUMLAH KEB. BAHAN KELUAR]]</f>
        <v>1</v>
      </c>
      <c r="N167" s="214">
        <f>TBLBAHANKELUAR[[#This Row],[MODAL SATUAN]]*TBLBAHANKELUAR[[#This Row],[TOTAL BAHAN KELUAR]]</f>
        <v>125</v>
      </c>
    </row>
    <row r="168" spans="1:14" x14ac:dyDescent="0.3">
      <c r="A168" s="103">
        <v>2026</v>
      </c>
      <c r="B168" s="211" t="s">
        <v>590</v>
      </c>
      <c r="C168" s="211"/>
      <c r="D168" s="211"/>
      <c r="E168" s="3" t="s">
        <v>397</v>
      </c>
      <c r="F168" s="212">
        <v>28</v>
      </c>
      <c r="G168" s="213" t="str">
        <f>VLOOKUP(TBLBAHANKELUAR[[#This Row],[KODE BAHAN]],[4]!TBLPIZZAYES[#Data],2,FALSE)</f>
        <v>KRESEK 30 CM</v>
      </c>
      <c r="H168" s="214">
        <f>VLOOKUP(TBLBAHANKELUAR[[#This Row],[NAMA BAHAN]],TBLREKAPBAHAN[[NAMA BAHAN]:[MODAL SATUAN]],2,FALSE)</f>
        <v>1000</v>
      </c>
      <c r="I168" s="214">
        <f>VLOOKUP(TBLBAHANKELUAR[[#This Row],[NAMA BAHAN]],TBLREKAPBAHAN[[NAMA BAHAN]:[MODAL SATUAN]],3,FALSE)</f>
        <v>2</v>
      </c>
      <c r="J168" s="214">
        <f>VLOOKUP(TBLBAHANKELUAR[[#This Row],[NAMA BAHAN]],TBLREKAPBAHAN[[NAMA BAHAN]:[MODAL SATUAN]],4,FALSE)</f>
        <v>500</v>
      </c>
      <c r="K168" s="215">
        <f>VLOOKUP(TBLBAHANKELUAR[[#This Row],[KODE BAHAN]],[4]!TBLPIZZAYES[#Data],9,FALSE)</f>
        <v>1</v>
      </c>
      <c r="L168" s="215">
        <f>SUMIF(TBLPRODUKKELUARJULI[NAMA PRODUK],TBLBAHANKELUAR[[#This Row],[NAMA PRODUK]],TBLPRODUKKELUARJULI[JUMLAH TERJUAL])</f>
        <v>1</v>
      </c>
      <c r="M168" s="215">
        <f>TBLBAHANKELUAR[[#This Row],[KEB. BAHAN]]*TBLBAHANKELUAR[[#This Row],[JUMLAH KEB. BAHAN KELUAR]]</f>
        <v>1</v>
      </c>
      <c r="N168" s="214">
        <f>TBLBAHANKELUAR[[#This Row],[MODAL SATUAN]]*TBLBAHANKELUAR[[#This Row],[TOTAL BAHAN KELUAR]]</f>
        <v>500</v>
      </c>
    </row>
    <row r="169" spans="1:14" x14ac:dyDescent="0.3">
      <c r="A169" s="103">
        <v>2026</v>
      </c>
      <c r="B169" s="211" t="s">
        <v>590</v>
      </c>
      <c r="C169" s="211"/>
      <c r="D169" s="211"/>
      <c r="E169" s="252" t="s">
        <v>469</v>
      </c>
      <c r="F169" s="212">
        <v>1</v>
      </c>
      <c r="G169" s="213" t="str">
        <f>VLOOKUP(TBLBAHANKELUAR[[#This Row],[KODE BAHAN]],[4]!TBLPIZZAYUHU[#Data],2,FALSE)</f>
        <v>SAOS SPAGHETI GRAM</v>
      </c>
      <c r="H169" s="214">
        <f>VLOOKUP(TBLBAHANKELUAR[[#This Row],[NAMA BAHAN]],TBLREKAPBAHAN[[NAMA BAHAN]:[MODAL SATUAN]],2,FALSE)</f>
        <v>12000</v>
      </c>
      <c r="I169" s="214">
        <f>VLOOKUP(TBLBAHANKELUAR[[#This Row],[NAMA BAHAN]],TBLREKAPBAHAN[[NAMA BAHAN]:[MODAL SATUAN]],3,FALSE)</f>
        <v>250</v>
      </c>
      <c r="J169" s="214">
        <f>VLOOKUP(TBLBAHANKELUAR[[#This Row],[NAMA BAHAN]],TBLREKAPBAHAN[[NAMA BAHAN]:[MODAL SATUAN]],4,FALSE)</f>
        <v>48</v>
      </c>
      <c r="K169" s="215">
        <f>VLOOKUP(TBLBAHANKELUAR[[#This Row],[KODE BAHAN]],[4]!TBLPIZZAYUHU[#Data],17,FALSE)</f>
        <v>70</v>
      </c>
      <c r="L169" s="215">
        <f>SUMIF(TBLPRODUKKELUARJULI[NAMA PRODUK],TBLBAHANKELUAR[[#This Row],[NAMA PRODUK]],TBLPRODUKKELUARJULI[JUMLAH TERJUAL])</f>
        <v>1</v>
      </c>
      <c r="M169" s="215">
        <f>TBLBAHANKELUAR[[#This Row],[KEB. BAHAN]]*TBLBAHANKELUAR[[#This Row],[JUMLAH KEB. BAHAN KELUAR]]</f>
        <v>70</v>
      </c>
      <c r="N169" s="214">
        <f>TBLBAHANKELUAR[[#This Row],[MODAL SATUAN]]*TBLBAHANKELUAR[[#This Row],[TOTAL BAHAN KELUAR]]</f>
        <v>3360</v>
      </c>
    </row>
    <row r="170" spans="1:14" x14ac:dyDescent="0.3">
      <c r="A170" s="103">
        <v>2026</v>
      </c>
      <c r="B170" s="211" t="s">
        <v>590</v>
      </c>
      <c r="C170" s="211"/>
      <c r="D170" s="211"/>
      <c r="E170" s="252" t="s">
        <v>469</v>
      </c>
      <c r="F170" s="212">
        <v>2</v>
      </c>
      <c r="G170" s="213" t="str">
        <f>VLOOKUP(TBLBAHANKELUAR[[#This Row],[KODE BAHAN]],[4]!TBLPIZZAYUHU[#Data],2,FALSE)</f>
        <v>SAOS TOMAT SACHET</v>
      </c>
      <c r="H170" s="214">
        <f>VLOOKUP(TBLBAHANKELUAR[[#This Row],[NAMA BAHAN]],TBLREKAPBAHAN[[NAMA BAHAN]:[MODAL SATUAN]],2,FALSE)</f>
        <v>7000</v>
      </c>
      <c r="I170" s="214">
        <f>VLOOKUP(TBLBAHANKELUAR[[#This Row],[NAMA BAHAN]],TBLREKAPBAHAN[[NAMA BAHAN]:[MODAL SATUAN]],3,FALSE)</f>
        <v>24</v>
      </c>
      <c r="J170" s="214">
        <f>VLOOKUP(TBLBAHANKELUAR[[#This Row],[NAMA BAHAN]],TBLREKAPBAHAN[[NAMA BAHAN]:[MODAL SATUAN]],4,FALSE)</f>
        <v>291.66666666666669</v>
      </c>
      <c r="K170" s="215">
        <f>VLOOKUP(TBLBAHANKELUAR[[#This Row],[KODE BAHAN]],[4]!TBLPIZZAYUHU[#Data],17,FALSE)</f>
        <v>3</v>
      </c>
      <c r="L170" s="215">
        <f>SUMIF(TBLPRODUKKELUARJULI[NAMA PRODUK],TBLBAHANKELUAR[[#This Row],[NAMA PRODUK]],TBLPRODUKKELUARJULI[JUMLAH TERJUAL])</f>
        <v>1</v>
      </c>
      <c r="M170" s="215">
        <f>TBLBAHANKELUAR[[#This Row],[KEB. BAHAN]]*TBLBAHANKELUAR[[#This Row],[JUMLAH KEB. BAHAN KELUAR]]</f>
        <v>3</v>
      </c>
      <c r="N170" s="214">
        <f>TBLBAHANKELUAR[[#This Row],[MODAL SATUAN]]*TBLBAHANKELUAR[[#This Row],[TOTAL BAHAN KELUAR]]</f>
        <v>875</v>
      </c>
    </row>
    <row r="171" spans="1:14" x14ac:dyDescent="0.3">
      <c r="A171" s="103">
        <v>2026</v>
      </c>
      <c r="B171" s="211" t="s">
        <v>590</v>
      </c>
      <c r="C171" s="211"/>
      <c r="D171" s="211"/>
      <c r="E171" s="252" t="s">
        <v>469</v>
      </c>
      <c r="F171" s="212">
        <v>3</v>
      </c>
      <c r="G171" s="213" t="str">
        <f>VLOOKUP(TBLBAHANKELUAR[[#This Row],[KODE BAHAN]],[4]!TBLPIZZAYUHU[#Data],2,FALSE)</f>
        <v>SAOS SAMBAL SACHET</v>
      </c>
      <c r="H171" s="214">
        <f>VLOOKUP(TBLBAHANKELUAR[[#This Row],[NAMA BAHAN]],TBLREKAPBAHAN[[NAMA BAHAN]:[MODAL SATUAN]],2,FALSE)</f>
        <v>8000</v>
      </c>
      <c r="I171" s="214">
        <f>VLOOKUP(TBLBAHANKELUAR[[#This Row],[NAMA BAHAN]],TBLREKAPBAHAN[[NAMA BAHAN]:[MODAL SATUAN]],3,FALSE)</f>
        <v>24</v>
      </c>
      <c r="J171" s="214">
        <f>VLOOKUP(TBLBAHANKELUAR[[#This Row],[NAMA BAHAN]],TBLREKAPBAHAN[[NAMA BAHAN]:[MODAL SATUAN]],4,FALSE)</f>
        <v>333.33333333333331</v>
      </c>
      <c r="K171" s="215">
        <f>VLOOKUP(TBLBAHANKELUAR[[#This Row],[KODE BAHAN]],[4]!TBLPIZZAYUHU[#Data],17,FALSE)</f>
        <v>3</v>
      </c>
      <c r="L171" s="215">
        <f>SUMIF(TBLPRODUKKELUARJULI[NAMA PRODUK],TBLBAHANKELUAR[[#This Row],[NAMA PRODUK]],TBLPRODUKKELUARJULI[JUMLAH TERJUAL])</f>
        <v>1</v>
      </c>
      <c r="M171" s="215">
        <f>TBLBAHANKELUAR[[#This Row],[KEB. BAHAN]]*TBLBAHANKELUAR[[#This Row],[JUMLAH KEB. BAHAN KELUAR]]</f>
        <v>3</v>
      </c>
      <c r="N171" s="214">
        <f>TBLBAHANKELUAR[[#This Row],[MODAL SATUAN]]*TBLBAHANKELUAR[[#This Row],[TOTAL BAHAN KELUAR]]</f>
        <v>1000</v>
      </c>
    </row>
    <row r="172" spans="1:14" x14ac:dyDescent="0.3">
      <c r="A172" s="103">
        <v>2026</v>
      </c>
      <c r="B172" s="211" t="s">
        <v>590</v>
      </c>
      <c r="C172" s="211"/>
      <c r="D172" s="211"/>
      <c r="E172" s="252" t="s">
        <v>469</v>
      </c>
      <c r="F172" s="212">
        <v>4</v>
      </c>
      <c r="G172" s="213" t="str">
        <f>VLOOKUP(TBLBAHANKELUAR[[#This Row],[KODE BAHAN]],[4]!TBLPIZZAYUHU[#Data],2,FALSE)</f>
        <v>KEJU MOZZARELLA</v>
      </c>
      <c r="H172" s="214">
        <f>VLOOKUP(TBLBAHANKELUAR[[#This Row],[NAMA BAHAN]],TBLREKAPBAHAN[[NAMA BAHAN]:[MODAL SATUAN]],2,FALSE)</f>
        <v>90000</v>
      </c>
      <c r="I172" s="214">
        <f>VLOOKUP(TBLBAHANKELUAR[[#This Row],[NAMA BAHAN]],TBLREKAPBAHAN[[NAMA BAHAN]:[MODAL SATUAN]],3,FALSE)</f>
        <v>500</v>
      </c>
      <c r="J172" s="214">
        <f>VLOOKUP(TBLBAHANKELUAR[[#This Row],[NAMA BAHAN]],TBLREKAPBAHAN[[NAMA BAHAN]:[MODAL SATUAN]],4,FALSE)</f>
        <v>180</v>
      </c>
      <c r="K172" s="215">
        <f>VLOOKUP(TBLBAHANKELUAR[[#This Row],[KODE BAHAN]],[4]!TBLPIZZAYUHU[#Data],17,FALSE)</f>
        <v>112</v>
      </c>
      <c r="L172" s="215">
        <f>SUMIF(TBLPRODUKKELUARJULI[NAMA PRODUK],TBLBAHANKELUAR[[#This Row],[NAMA PRODUK]],TBLPRODUKKELUARJULI[JUMLAH TERJUAL])</f>
        <v>1</v>
      </c>
      <c r="M172" s="215">
        <f>TBLBAHANKELUAR[[#This Row],[KEB. BAHAN]]*TBLBAHANKELUAR[[#This Row],[JUMLAH KEB. BAHAN KELUAR]]</f>
        <v>112</v>
      </c>
      <c r="N172" s="214">
        <f>TBLBAHANKELUAR[[#This Row],[MODAL SATUAN]]*TBLBAHANKELUAR[[#This Row],[TOTAL BAHAN KELUAR]]</f>
        <v>20160</v>
      </c>
    </row>
    <row r="173" spans="1:14" x14ac:dyDescent="0.3">
      <c r="A173" s="103">
        <v>2026</v>
      </c>
      <c r="B173" s="211" t="s">
        <v>590</v>
      </c>
      <c r="C173" s="211"/>
      <c r="D173" s="211"/>
      <c r="E173" s="252" t="s">
        <v>469</v>
      </c>
      <c r="F173" s="212">
        <v>5</v>
      </c>
      <c r="G173" s="213" t="str">
        <f>VLOOKUP(TBLBAHANKELUAR[[#This Row],[KODE BAHAN]],[4]!TBLPIZZAYUHU[#Data],2,FALSE)</f>
        <v>SOSIZ BATANG</v>
      </c>
      <c r="H173" s="214">
        <f>VLOOKUP(TBLBAHANKELUAR[[#This Row],[NAMA BAHAN]],TBLREKAPBAHAN[[NAMA BAHAN]:[MODAL SATUAN]],2,FALSE)</f>
        <v>35000</v>
      </c>
      <c r="I173" s="214">
        <f>VLOOKUP(TBLBAHANKELUAR[[#This Row],[NAMA BAHAN]],TBLREKAPBAHAN[[NAMA BAHAN]:[MODAL SATUAN]],3,FALSE)</f>
        <v>38</v>
      </c>
      <c r="J173" s="214">
        <f>VLOOKUP(TBLBAHANKELUAR[[#This Row],[NAMA BAHAN]],TBLREKAPBAHAN[[NAMA BAHAN]:[MODAL SATUAN]],4,FALSE)</f>
        <v>921.0526315789474</v>
      </c>
      <c r="K173" s="215">
        <f>VLOOKUP(TBLBAHANKELUAR[[#This Row],[KODE BAHAN]],[4]!TBLPIZZAYUHU[#Data],17,FALSE)</f>
        <v>0</v>
      </c>
      <c r="L173" s="215">
        <f>SUMIF(TBLPRODUKKELUARJULI[NAMA PRODUK],TBLBAHANKELUAR[[#This Row],[NAMA PRODUK]],TBLPRODUKKELUARJULI[JUMLAH TERJUAL])</f>
        <v>1</v>
      </c>
      <c r="M173" s="215">
        <f>TBLBAHANKELUAR[[#This Row],[KEB. BAHAN]]*TBLBAHANKELUAR[[#This Row],[JUMLAH KEB. BAHAN KELUAR]]</f>
        <v>0</v>
      </c>
      <c r="N173" s="214">
        <f>TBLBAHANKELUAR[[#This Row],[MODAL SATUAN]]*TBLBAHANKELUAR[[#This Row],[TOTAL BAHAN KELUAR]]</f>
        <v>0</v>
      </c>
    </row>
    <row r="174" spans="1:14" x14ac:dyDescent="0.3">
      <c r="A174" s="103">
        <v>2026</v>
      </c>
      <c r="B174" s="211" t="s">
        <v>590</v>
      </c>
      <c r="C174" s="211"/>
      <c r="D174" s="211"/>
      <c r="E174" s="252" t="s">
        <v>469</v>
      </c>
      <c r="F174" s="212">
        <v>6</v>
      </c>
      <c r="G174" s="213" t="str">
        <f>VLOOKUP(TBLBAHANKELUAR[[#This Row],[KODE BAHAN]],[4]!TBLPIZZAYUHU[#Data],2,FALSE)</f>
        <v>AYAM SUWIR</v>
      </c>
      <c r="H174" s="214">
        <f>VLOOKUP(TBLBAHANKELUAR[[#This Row],[NAMA BAHAN]],TBLREKAPBAHAN[[NAMA BAHAN]:[MODAL SATUAN]],2,FALSE)</f>
        <v>45000</v>
      </c>
      <c r="I174" s="214">
        <f>VLOOKUP(TBLBAHANKELUAR[[#This Row],[NAMA BAHAN]],TBLREKAPBAHAN[[NAMA BAHAN]:[MODAL SATUAN]],3,FALSE)</f>
        <v>400</v>
      </c>
      <c r="J174" s="214">
        <f>VLOOKUP(TBLBAHANKELUAR[[#This Row],[NAMA BAHAN]],TBLREKAPBAHAN[[NAMA BAHAN]:[MODAL SATUAN]],4,FALSE)</f>
        <v>112.5</v>
      </c>
      <c r="K174" s="215">
        <f>VLOOKUP(TBLBAHANKELUAR[[#This Row],[KODE BAHAN]],[4]!TBLPIZZAYUHU[#Data],17,FALSE)</f>
        <v>0</v>
      </c>
      <c r="L174" s="215">
        <f>SUMIF(TBLPRODUKKELUARJULI[NAMA PRODUK],TBLBAHANKELUAR[[#This Row],[NAMA PRODUK]],TBLPRODUKKELUARJULI[JUMLAH TERJUAL])</f>
        <v>1</v>
      </c>
      <c r="M174" s="215">
        <f>TBLBAHANKELUAR[[#This Row],[KEB. BAHAN]]*TBLBAHANKELUAR[[#This Row],[JUMLAH KEB. BAHAN KELUAR]]</f>
        <v>0</v>
      </c>
      <c r="N174" s="214">
        <f>TBLBAHANKELUAR[[#This Row],[MODAL SATUAN]]*TBLBAHANKELUAR[[#This Row],[TOTAL BAHAN KELUAR]]</f>
        <v>0</v>
      </c>
    </row>
    <row r="175" spans="1:14" x14ac:dyDescent="0.3">
      <c r="A175" s="103">
        <v>2026</v>
      </c>
      <c r="B175" s="211" t="s">
        <v>590</v>
      </c>
      <c r="C175" s="211"/>
      <c r="D175" s="211"/>
      <c r="E175" s="252" t="s">
        <v>469</v>
      </c>
      <c r="F175" s="212">
        <v>7</v>
      </c>
      <c r="G175" s="213" t="str">
        <f>VLOOKUP(TBLBAHANKELUAR[[#This Row],[KODE BAHAN]],[4]!TBLPIZZAYUHU[#Data],2,FALSE)</f>
        <v>DAGING SAPI</v>
      </c>
      <c r="H175" s="214">
        <f>VLOOKUP(TBLBAHANKELUAR[[#This Row],[NAMA BAHAN]],TBLREKAPBAHAN[[NAMA BAHAN]:[MODAL SATUAN]],2,FALSE)</f>
        <v>85000</v>
      </c>
      <c r="I175" s="214">
        <f>VLOOKUP(TBLBAHANKELUAR[[#This Row],[NAMA BAHAN]],TBLREKAPBAHAN[[NAMA BAHAN]:[MODAL SATUAN]],3,FALSE)</f>
        <v>1000</v>
      </c>
      <c r="J175" s="214">
        <f>VLOOKUP(TBLBAHANKELUAR[[#This Row],[NAMA BAHAN]],TBLREKAPBAHAN[[NAMA BAHAN]:[MODAL SATUAN]],4,FALSE)</f>
        <v>85</v>
      </c>
      <c r="K175" s="215">
        <f>VLOOKUP(TBLBAHANKELUAR[[#This Row],[KODE BAHAN]],[4]!TBLPIZZAYUHU[#Data],17,FALSE)</f>
        <v>80</v>
      </c>
      <c r="L175" s="215">
        <f>SUMIF(TBLPRODUKKELUARJULI[NAMA PRODUK],TBLBAHANKELUAR[[#This Row],[NAMA PRODUK]],TBLPRODUKKELUARJULI[JUMLAH TERJUAL])</f>
        <v>1</v>
      </c>
      <c r="M175" s="215">
        <f>TBLBAHANKELUAR[[#This Row],[KEB. BAHAN]]*TBLBAHANKELUAR[[#This Row],[JUMLAH KEB. BAHAN KELUAR]]</f>
        <v>80</v>
      </c>
      <c r="N175" s="214">
        <f>TBLBAHANKELUAR[[#This Row],[MODAL SATUAN]]*TBLBAHANKELUAR[[#This Row],[TOTAL BAHAN KELUAR]]</f>
        <v>6800</v>
      </c>
    </row>
    <row r="176" spans="1:14" x14ac:dyDescent="0.3">
      <c r="A176" s="103">
        <v>2026</v>
      </c>
      <c r="B176" s="211" t="s">
        <v>590</v>
      </c>
      <c r="C176" s="211"/>
      <c r="D176" s="211"/>
      <c r="E176" s="252" t="s">
        <v>469</v>
      </c>
      <c r="F176" s="212">
        <v>8</v>
      </c>
      <c r="G176" s="213" t="str">
        <f>VLOOKUP(TBLBAHANKELUAR[[#This Row],[KODE BAHAN]],[4]!TBLPIZZAYUHU[#Data],2,FALSE)</f>
        <v>MENTEGA</v>
      </c>
      <c r="H176" s="214">
        <f>VLOOKUP(TBLBAHANKELUAR[[#This Row],[NAMA BAHAN]],TBLREKAPBAHAN[[NAMA BAHAN]:[MODAL SATUAN]],2,FALSE)</f>
        <v>35000</v>
      </c>
      <c r="I176" s="214">
        <f>VLOOKUP(TBLBAHANKELUAR[[#This Row],[NAMA BAHAN]],TBLREKAPBAHAN[[NAMA BAHAN]:[MODAL SATUAN]],3,FALSE)</f>
        <v>1000</v>
      </c>
      <c r="J176" s="214">
        <f>VLOOKUP(TBLBAHANKELUAR[[#This Row],[NAMA BAHAN]],TBLREKAPBAHAN[[NAMA BAHAN]:[MODAL SATUAN]],4,FALSE)</f>
        <v>35</v>
      </c>
      <c r="K176" s="215">
        <f>VLOOKUP(TBLBAHANKELUAR[[#This Row],[KODE BAHAN]],[4]!TBLPIZZAYUHU[#Data],17,FALSE)</f>
        <v>22</v>
      </c>
      <c r="L176" s="215">
        <f>SUMIF(TBLPRODUKKELUARJULI[NAMA PRODUK],TBLBAHANKELUAR[[#This Row],[NAMA PRODUK]],TBLPRODUKKELUARJULI[JUMLAH TERJUAL])</f>
        <v>1</v>
      </c>
      <c r="M176" s="215">
        <f>TBLBAHANKELUAR[[#This Row],[KEB. BAHAN]]*TBLBAHANKELUAR[[#This Row],[JUMLAH KEB. BAHAN KELUAR]]</f>
        <v>22</v>
      </c>
      <c r="N176" s="214">
        <f>TBLBAHANKELUAR[[#This Row],[MODAL SATUAN]]*TBLBAHANKELUAR[[#This Row],[TOTAL BAHAN KELUAR]]</f>
        <v>770</v>
      </c>
    </row>
    <row r="177" spans="1:14" x14ac:dyDescent="0.3">
      <c r="A177" s="103">
        <v>2026</v>
      </c>
      <c r="B177" s="211" t="s">
        <v>590</v>
      </c>
      <c r="C177" s="211"/>
      <c r="D177" s="211"/>
      <c r="E177" s="252" t="s">
        <v>469</v>
      </c>
      <c r="F177" s="212">
        <v>9</v>
      </c>
      <c r="G177" s="213" t="str">
        <f>VLOOKUP(TBLBAHANKELUAR[[#This Row],[KODE BAHAN]],[4]!TBLPIZZAYUHU[#Data],2,FALSE)</f>
        <v>GULA PASIR</v>
      </c>
      <c r="H177" s="214">
        <f>VLOOKUP(TBLBAHANKELUAR[[#This Row],[NAMA BAHAN]],TBLREKAPBAHAN[[NAMA BAHAN]:[MODAL SATUAN]],2,FALSE)</f>
        <v>18000</v>
      </c>
      <c r="I177" s="214">
        <f>VLOOKUP(TBLBAHANKELUAR[[#This Row],[NAMA BAHAN]],TBLREKAPBAHAN[[NAMA BAHAN]:[MODAL SATUAN]],3,FALSE)</f>
        <v>1000</v>
      </c>
      <c r="J177" s="214">
        <f>VLOOKUP(TBLBAHANKELUAR[[#This Row],[NAMA BAHAN]],TBLREKAPBAHAN[[NAMA BAHAN]:[MODAL SATUAN]],4,FALSE)</f>
        <v>18</v>
      </c>
      <c r="K177" s="215">
        <f>VLOOKUP(TBLBAHANKELUAR[[#This Row],[KODE BAHAN]],[4]!TBLPIZZAYUHU[#Data],17,FALSE)</f>
        <v>18</v>
      </c>
      <c r="L177" s="215">
        <f>SUMIF(TBLPRODUKKELUARJULI[NAMA PRODUK],TBLBAHANKELUAR[[#This Row],[NAMA PRODUK]],TBLPRODUKKELUARJULI[JUMLAH TERJUAL])</f>
        <v>1</v>
      </c>
      <c r="M177" s="215">
        <f>TBLBAHANKELUAR[[#This Row],[KEB. BAHAN]]*TBLBAHANKELUAR[[#This Row],[JUMLAH KEB. BAHAN KELUAR]]</f>
        <v>18</v>
      </c>
      <c r="N177" s="214">
        <f>TBLBAHANKELUAR[[#This Row],[MODAL SATUAN]]*TBLBAHANKELUAR[[#This Row],[TOTAL BAHAN KELUAR]]</f>
        <v>324</v>
      </c>
    </row>
    <row r="178" spans="1:14" x14ac:dyDescent="0.3">
      <c r="A178" s="103">
        <v>2026</v>
      </c>
      <c r="B178" s="211" t="s">
        <v>590</v>
      </c>
      <c r="C178" s="211"/>
      <c r="D178" s="211"/>
      <c r="E178" s="252" t="s">
        <v>469</v>
      </c>
      <c r="F178" s="212">
        <v>10</v>
      </c>
      <c r="G178" s="213" t="str">
        <f>VLOOKUP(TBLBAHANKELUAR[[#This Row],[KODE BAHAN]],[4]!TBLPIZZAYUHU[#Data],2,FALSE)</f>
        <v>GARAM HALUS</v>
      </c>
      <c r="H178" s="214">
        <f>VLOOKUP(TBLBAHANKELUAR[[#This Row],[NAMA BAHAN]],TBLREKAPBAHAN[[NAMA BAHAN]:[MODAL SATUAN]],2,FALSE)</f>
        <v>4000</v>
      </c>
      <c r="I178" s="214">
        <f>VLOOKUP(TBLBAHANKELUAR[[#This Row],[NAMA BAHAN]],TBLREKAPBAHAN[[NAMA BAHAN]:[MODAL SATUAN]],3,FALSE)</f>
        <v>250</v>
      </c>
      <c r="J178" s="214">
        <f>VLOOKUP(TBLBAHANKELUAR[[#This Row],[NAMA BAHAN]],TBLREKAPBAHAN[[NAMA BAHAN]:[MODAL SATUAN]],4,FALSE)</f>
        <v>16</v>
      </c>
      <c r="K178" s="215">
        <f>VLOOKUP(TBLBAHANKELUAR[[#This Row],[KODE BAHAN]],[4]!TBLPIZZAYUHU[#Data],17,FALSE)</f>
        <v>5</v>
      </c>
      <c r="L178" s="215">
        <f>SUMIF(TBLPRODUKKELUARJULI[NAMA PRODUK],TBLBAHANKELUAR[[#This Row],[NAMA PRODUK]],TBLPRODUKKELUARJULI[JUMLAH TERJUAL])</f>
        <v>1</v>
      </c>
      <c r="M178" s="215">
        <f>TBLBAHANKELUAR[[#This Row],[KEB. BAHAN]]*TBLBAHANKELUAR[[#This Row],[JUMLAH KEB. BAHAN KELUAR]]</f>
        <v>5</v>
      </c>
      <c r="N178" s="214">
        <f>TBLBAHANKELUAR[[#This Row],[MODAL SATUAN]]*TBLBAHANKELUAR[[#This Row],[TOTAL BAHAN KELUAR]]</f>
        <v>80</v>
      </c>
    </row>
    <row r="179" spans="1:14" x14ac:dyDescent="0.3">
      <c r="A179" s="103">
        <v>2026</v>
      </c>
      <c r="B179" s="211" t="s">
        <v>590</v>
      </c>
      <c r="C179" s="211"/>
      <c r="D179" s="211"/>
      <c r="E179" s="252" t="s">
        <v>469</v>
      </c>
      <c r="F179" s="212">
        <v>11</v>
      </c>
      <c r="G179" s="213" t="str">
        <f>VLOOKUP(TBLBAHANKELUAR[[#This Row],[KODE BAHAN]],[4]!TBLPIZZAYUHU[#Data],2,FALSE)</f>
        <v>VERMIPAN</v>
      </c>
      <c r="H179" s="214">
        <f>VLOOKUP(TBLBAHANKELUAR[[#This Row],[NAMA BAHAN]],TBLREKAPBAHAN[[NAMA BAHAN]:[MODAL SATUAN]],2,FALSE)</f>
        <v>7000</v>
      </c>
      <c r="I179" s="214">
        <f>VLOOKUP(TBLBAHANKELUAR[[#This Row],[NAMA BAHAN]],TBLREKAPBAHAN[[NAMA BAHAN]:[MODAL SATUAN]],3,FALSE)</f>
        <v>11</v>
      </c>
      <c r="J179" s="214">
        <f>VLOOKUP(TBLBAHANKELUAR[[#This Row],[NAMA BAHAN]],TBLREKAPBAHAN[[NAMA BAHAN]:[MODAL SATUAN]],4,FALSE)</f>
        <v>636.36363636363637</v>
      </c>
      <c r="K179" s="215">
        <f>VLOOKUP(TBLBAHANKELUAR[[#This Row],[KODE BAHAN]],[4]!TBLPIZZAYUHU[#Data],17,FALSE)</f>
        <v>2</v>
      </c>
      <c r="L179" s="215">
        <f>SUMIF(TBLPRODUKKELUARJULI[NAMA PRODUK],TBLBAHANKELUAR[[#This Row],[NAMA PRODUK]],TBLPRODUKKELUARJULI[JUMLAH TERJUAL])</f>
        <v>1</v>
      </c>
      <c r="M179" s="215">
        <f>TBLBAHANKELUAR[[#This Row],[KEB. BAHAN]]*TBLBAHANKELUAR[[#This Row],[JUMLAH KEB. BAHAN KELUAR]]</f>
        <v>2</v>
      </c>
      <c r="N179" s="214">
        <f>TBLBAHANKELUAR[[#This Row],[MODAL SATUAN]]*TBLBAHANKELUAR[[#This Row],[TOTAL BAHAN KELUAR]]</f>
        <v>1272.7272727272727</v>
      </c>
    </row>
    <row r="180" spans="1:14" x14ac:dyDescent="0.3">
      <c r="A180" s="103">
        <v>2026</v>
      </c>
      <c r="B180" s="211" t="s">
        <v>590</v>
      </c>
      <c r="C180" s="211"/>
      <c r="D180" s="211"/>
      <c r="E180" s="252" t="s">
        <v>469</v>
      </c>
      <c r="F180" s="212">
        <v>12</v>
      </c>
      <c r="G180" s="213" t="str">
        <f>VLOOKUP(TBLBAHANKELUAR[[#This Row],[KODE BAHAN]],[4]!TBLPIZZAYUHU[#Data],2,FALSE)</f>
        <v>SUSU BUBUK</v>
      </c>
      <c r="H180" s="214">
        <f>VLOOKUP(TBLBAHANKELUAR[[#This Row],[NAMA BAHAN]],TBLREKAPBAHAN[[NAMA BAHAN]:[MODAL SATUAN]],2,FALSE)</f>
        <v>18000</v>
      </c>
      <c r="I180" s="214">
        <f>VLOOKUP(TBLBAHANKELUAR[[#This Row],[NAMA BAHAN]],TBLREKAPBAHAN[[NAMA BAHAN]:[MODAL SATUAN]],3,FALSE)</f>
        <v>250</v>
      </c>
      <c r="J180" s="214">
        <f>VLOOKUP(TBLBAHANKELUAR[[#This Row],[NAMA BAHAN]],TBLREKAPBAHAN[[NAMA BAHAN]:[MODAL SATUAN]],4,FALSE)</f>
        <v>72</v>
      </c>
      <c r="K180" s="215">
        <f>VLOOKUP(TBLBAHANKELUAR[[#This Row],[KODE BAHAN]],[4]!TBLPIZZAYUHU[#Data],17,FALSE)</f>
        <v>20</v>
      </c>
      <c r="L180" s="215">
        <f>SUMIF(TBLPRODUKKELUARJULI[NAMA PRODUK],TBLBAHANKELUAR[[#This Row],[NAMA PRODUK]],TBLPRODUKKELUARJULI[JUMLAH TERJUAL])</f>
        <v>1</v>
      </c>
      <c r="M180" s="215">
        <f>TBLBAHANKELUAR[[#This Row],[KEB. BAHAN]]*TBLBAHANKELUAR[[#This Row],[JUMLAH KEB. BAHAN KELUAR]]</f>
        <v>20</v>
      </c>
      <c r="N180" s="214">
        <f>TBLBAHANKELUAR[[#This Row],[MODAL SATUAN]]*TBLBAHANKELUAR[[#This Row],[TOTAL BAHAN KELUAR]]</f>
        <v>1440</v>
      </c>
    </row>
    <row r="181" spans="1:14" x14ac:dyDescent="0.3">
      <c r="A181" s="103">
        <v>2026</v>
      </c>
      <c r="B181" s="211" t="s">
        <v>590</v>
      </c>
      <c r="C181" s="211"/>
      <c r="D181" s="211"/>
      <c r="E181" s="252" t="s">
        <v>469</v>
      </c>
      <c r="F181" s="212">
        <v>13</v>
      </c>
      <c r="G181" s="213" t="str">
        <f>VLOOKUP(TBLBAHANKELUAR[[#This Row],[KODE BAHAN]],[4]!TBLPIZZAYUHU[#Data],2,FALSE)</f>
        <v>TEPUNG SEGITIGA BIRU</v>
      </c>
      <c r="H181" s="214">
        <f>VLOOKUP(TBLBAHANKELUAR[[#This Row],[NAMA BAHAN]],TBLREKAPBAHAN[[NAMA BAHAN]:[MODAL SATUAN]],2,FALSE)</f>
        <v>14000</v>
      </c>
      <c r="I181" s="214">
        <f>VLOOKUP(TBLBAHANKELUAR[[#This Row],[NAMA BAHAN]],TBLREKAPBAHAN[[NAMA BAHAN]:[MODAL SATUAN]],3,FALSE)</f>
        <v>1000</v>
      </c>
      <c r="J181" s="214">
        <f>VLOOKUP(TBLBAHANKELUAR[[#This Row],[NAMA BAHAN]],TBLREKAPBAHAN[[NAMA BAHAN]:[MODAL SATUAN]],4,FALSE)</f>
        <v>14</v>
      </c>
      <c r="K181" s="215">
        <f>VLOOKUP(TBLBAHANKELUAR[[#This Row],[KODE BAHAN]],[4]!TBLPIZZAYUHU[#Data],17,FALSE)</f>
        <v>40</v>
      </c>
      <c r="L181" s="215">
        <f>SUMIF(TBLPRODUKKELUARJULI[NAMA PRODUK],TBLBAHANKELUAR[[#This Row],[NAMA PRODUK]],TBLPRODUKKELUARJULI[JUMLAH TERJUAL])</f>
        <v>1</v>
      </c>
      <c r="M181" s="215">
        <f>TBLBAHANKELUAR[[#This Row],[KEB. BAHAN]]*TBLBAHANKELUAR[[#This Row],[JUMLAH KEB. BAHAN KELUAR]]</f>
        <v>40</v>
      </c>
      <c r="N181" s="214">
        <f>TBLBAHANKELUAR[[#This Row],[MODAL SATUAN]]*TBLBAHANKELUAR[[#This Row],[TOTAL BAHAN KELUAR]]</f>
        <v>560</v>
      </c>
    </row>
    <row r="182" spans="1:14" x14ac:dyDescent="0.3">
      <c r="A182" s="103">
        <v>2026</v>
      </c>
      <c r="B182" s="211" t="s">
        <v>590</v>
      </c>
      <c r="C182" s="211"/>
      <c r="D182" s="211"/>
      <c r="E182" s="252" t="s">
        <v>469</v>
      </c>
      <c r="F182" s="212">
        <v>14</v>
      </c>
      <c r="G182" s="213" t="str">
        <f>VLOOKUP(TBLBAHANKELUAR[[#This Row],[KODE BAHAN]],[4]!TBLPIZZAYUHU[#Data],2,FALSE)</f>
        <v>TEPUNG CAKRA KEMBAR</v>
      </c>
      <c r="H182" s="214">
        <f>VLOOKUP(TBLBAHANKELUAR[[#This Row],[NAMA BAHAN]],TBLREKAPBAHAN[[NAMA BAHAN]:[MODAL SATUAN]],2,FALSE)</f>
        <v>14000</v>
      </c>
      <c r="I182" s="214">
        <f>VLOOKUP(TBLBAHANKELUAR[[#This Row],[NAMA BAHAN]],TBLREKAPBAHAN[[NAMA BAHAN]:[MODAL SATUAN]],3,FALSE)</f>
        <v>1000</v>
      </c>
      <c r="J182" s="214">
        <f>VLOOKUP(TBLBAHANKELUAR[[#This Row],[NAMA BAHAN]],TBLREKAPBAHAN[[NAMA BAHAN]:[MODAL SATUAN]],4,FALSE)</f>
        <v>14</v>
      </c>
      <c r="K182" s="215">
        <f>VLOOKUP(TBLBAHANKELUAR[[#This Row],[KODE BAHAN]],[4]!TBLPIZZAYUHU[#Data],17,FALSE)</f>
        <v>80</v>
      </c>
      <c r="L182" s="215">
        <f>SUMIF(TBLPRODUKKELUARJULI[NAMA PRODUK],TBLBAHANKELUAR[[#This Row],[NAMA PRODUK]],TBLPRODUKKELUARJULI[JUMLAH TERJUAL])</f>
        <v>1</v>
      </c>
      <c r="M182" s="215">
        <f>TBLBAHANKELUAR[[#This Row],[KEB. BAHAN]]*TBLBAHANKELUAR[[#This Row],[JUMLAH KEB. BAHAN KELUAR]]</f>
        <v>80</v>
      </c>
      <c r="N182" s="214">
        <f>TBLBAHANKELUAR[[#This Row],[MODAL SATUAN]]*TBLBAHANKELUAR[[#This Row],[TOTAL BAHAN KELUAR]]</f>
        <v>1120</v>
      </c>
    </row>
    <row r="183" spans="1:14" x14ac:dyDescent="0.3">
      <c r="A183" s="103">
        <v>2026</v>
      </c>
      <c r="B183" s="211" t="s">
        <v>590</v>
      </c>
      <c r="C183" s="211"/>
      <c r="D183" s="211"/>
      <c r="E183" s="252" t="s">
        <v>469</v>
      </c>
      <c r="F183" s="212">
        <v>15</v>
      </c>
      <c r="G183" s="213" t="str">
        <f>VLOOKUP(TBLBAHANKELUAR[[#This Row],[KODE BAHAN]],[4]!TBLPIZZAYUHU[#Data],2,FALSE)</f>
        <v>BASIL</v>
      </c>
      <c r="H183" s="214">
        <f>VLOOKUP(TBLBAHANKELUAR[[#This Row],[NAMA BAHAN]],TBLREKAPBAHAN[[NAMA BAHAN]:[MODAL SATUAN]],2,FALSE)</f>
        <v>30000</v>
      </c>
      <c r="I183" s="214">
        <f>VLOOKUP(TBLBAHANKELUAR[[#This Row],[NAMA BAHAN]],TBLREKAPBAHAN[[NAMA BAHAN]:[MODAL SATUAN]],3,FALSE)</f>
        <v>30</v>
      </c>
      <c r="J183" s="214">
        <f>VLOOKUP(TBLBAHANKELUAR[[#This Row],[NAMA BAHAN]],TBLREKAPBAHAN[[NAMA BAHAN]:[MODAL SATUAN]],4,FALSE)</f>
        <v>1000</v>
      </c>
      <c r="K183" s="215">
        <f>VLOOKUP(TBLBAHANKELUAR[[#This Row],[KODE BAHAN]],[4]!TBLPIZZAYUHU[#Data],17,FALSE)</f>
        <v>2</v>
      </c>
      <c r="L183" s="215">
        <f>SUMIF(TBLPRODUKKELUARJULI[NAMA PRODUK],TBLBAHANKELUAR[[#This Row],[NAMA PRODUK]],TBLPRODUKKELUARJULI[JUMLAH TERJUAL])</f>
        <v>1</v>
      </c>
      <c r="M183" s="215">
        <f>TBLBAHANKELUAR[[#This Row],[KEB. BAHAN]]*TBLBAHANKELUAR[[#This Row],[JUMLAH KEB. BAHAN KELUAR]]</f>
        <v>2</v>
      </c>
      <c r="N183" s="214">
        <f>TBLBAHANKELUAR[[#This Row],[MODAL SATUAN]]*TBLBAHANKELUAR[[#This Row],[TOTAL BAHAN KELUAR]]</f>
        <v>2000</v>
      </c>
    </row>
    <row r="184" spans="1:14" x14ac:dyDescent="0.3">
      <c r="A184" s="103">
        <v>2026</v>
      </c>
      <c r="B184" s="211" t="s">
        <v>590</v>
      </c>
      <c r="C184" s="211"/>
      <c r="D184" s="211"/>
      <c r="E184" s="252" t="s">
        <v>469</v>
      </c>
      <c r="F184" s="212">
        <v>16</v>
      </c>
      <c r="G184" s="213" t="str">
        <f>VLOOKUP(TBLBAHANKELUAR[[#This Row],[KODE BAHAN]],[4]!TBLPIZZAYUHU[#Data],2,FALSE)</f>
        <v>KALDU JAMUR</v>
      </c>
      <c r="H184" s="214">
        <f>VLOOKUP(TBLBAHANKELUAR[[#This Row],[NAMA BAHAN]],TBLREKAPBAHAN[[NAMA BAHAN]:[MODAL SATUAN]],2,FALSE)</f>
        <v>15000</v>
      </c>
      <c r="I184" s="214">
        <f>VLOOKUP(TBLBAHANKELUAR[[#This Row],[NAMA BAHAN]],TBLREKAPBAHAN[[NAMA BAHAN]:[MODAL SATUAN]],3,FALSE)</f>
        <v>80</v>
      </c>
      <c r="J184" s="214">
        <f>VLOOKUP(TBLBAHANKELUAR[[#This Row],[NAMA BAHAN]],TBLREKAPBAHAN[[NAMA BAHAN]:[MODAL SATUAN]],4,FALSE)</f>
        <v>187.5</v>
      </c>
      <c r="K184" s="215">
        <f>VLOOKUP(TBLBAHANKELUAR[[#This Row],[KODE BAHAN]],[4]!TBLPIZZAYUHU[#Data],17,FALSE)</f>
        <v>6</v>
      </c>
      <c r="L184" s="215">
        <f>SUMIF(TBLPRODUKKELUARJULI[NAMA PRODUK],TBLBAHANKELUAR[[#This Row],[NAMA PRODUK]],TBLPRODUKKELUARJULI[JUMLAH TERJUAL])</f>
        <v>1</v>
      </c>
      <c r="M184" s="215">
        <f>TBLBAHANKELUAR[[#This Row],[KEB. BAHAN]]*TBLBAHANKELUAR[[#This Row],[JUMLAH KEB. BAHAN KELUAR]]</f>
        <v>6</v>
      </c>
      <c r="N184" s="214">
        <f>TBLBAHANKELUAR[[#This Row],[MODAL SATUAN]]*TBLBAHANKELUAR[[#This Row],[TOTAL BAHAN KELUAR]]</f>
        <v>1125</v>
      </c>
    </row>
    <row r="185" spans="1:14" x14ac:dyDescent="0.3">
      <c r="A185" s="103">
        <v>2026</v>
      </c>
      <c r="B185" s="211" t="s">
        <v>590</v>
      </c>
      <c r="C185" s="211"/>
      <c r="D185" s="211"/>
      <c r="E185" s="252" t="s">
        <v>469</v>
      </c>
      <c r="F185" s="212">
        <v>17</v>
      </c>
      <c r="G185" s="213" t="str">
        <f>VLOOKUP(TBLBAHANKELUAR[[#This Row],[KODE BAHAN]],[4]!TBLPIZZAYUHU[#Data],2,FALSE)</f>
        <v>BAWANG BOMBAY</v>
      </c>
      <c r="H185" s="214">
        <f>VLOOKUP(TBLBAHANKELUAR[[#This Row],[NAMA BAHAN]],TBLREKAPBAHAN[[NAMA BAHAN]:[MODAL SATUAN]],2,FALSE)</f>
        <v>5000</v>
      </c>
      <c r="I185" s="214">
        <f>VLOOKUP(TBLBAHANKELUAR[[#This Row],[NAMA BAHAN]],TBLREKAPBAHAN[[NAMA BAHAN]:[MODAL SATUAN]],3,FALSE)</f>
        <v>8</v>
      </c>
      <c r="J185" s="214">
        <f>VLOOKUP(TBLBAHANKELUAR[[#This Row],[NAMA BAHAN]],TBLREKAPBAHAN[[NAMA BAHAN]:[MODAL SATUAN]],4,FALSE)</f>
        <v>625</v>
      </c>
      <c r="K185" s="215">
        <f>VLOOKUP(TBLBAHANKELUAR[[#This Row],[KODE BAHAN]],[4]!TBLPIZZAYUHU[#Data],17,FALSE)</f>
        <v>3</v>
      </c>
      <c r="L185" s="215">
        <f>SUMIF(TBLPRODUKKELUARJULI[NAMA PRODUK],TBLBAHANKELUAR[[#This Row],[NAMA PRODUK]],TBLPRODUKKELUARJULI[JUMLAH TERJUAL])</f>
        <v>1</v>
      </c>
      <c r="M185" s="215">
        <f>TBLBAHANKELUAR[[#This Row],[KEB. BAHAN]]*TBLBAHANKELUAR[[#This Row],[JUMLAH KEB. BAHAN KELUAR]]</f>
        <v>3</v>
      </c>
      <c r="N185" s="214">
        <f>TBLBAHANKELUAR[[#This Row],[MODAL SATUAN]]*TBLBAHANKELUAR[[#This Row],[TOTAL BAHAN KELUAR]]</f>
        <v>1875</v>
      </c>
    </row>
    <row r="186" spans="1:14" x14ac:dyDescent="0.3">
      <c r="A186" s="103">
        <v>2026</v>
      </c>
      <c r="B186" s="211" t="s">
        <v>590</v>
      </c>
      <c r="C186" s="211"/>
      <c r="D186" s="211"/>
      <c r="E186" s="252" t="s">
        <v>469</v>
      </c>
      <c r="F186" s="212">
        <v>18</v>
      </c>
      <c r="G186" s="213" t="str">
        <f>VLOOKUP(TBLBAHANKELUAR[[#This Row],[KODE BAHAN]],[4]!TBLPIZZAYUHU[#Data],2,FALSE)</f>
        <v>ABON</v>
      </c>
      <c r="H186" s="214">
        <f>VLOOKUP(TBLBAHANKELUAR[[#This Row],[NAMA BAHAN]],TBLREKAPBAHAN[[NAMA BAHAN]:[MODAL SATUAN]],2,FALSE)</f>
        <v>25000</v>
      </c>
      <c r="I186" s="214">
        <f>VLOOKUP(TBLBAHANKELUAR[[#This Row],[NAMA BAHAN]],TBLREKAPBAHAN[[NAMA BAHAN]:[MODAL SATUAN]],3,FALSE)</f>
        <v>100</v>
      </c>
      <c r="J186" s="214">
        <f>VLOOKUP(TBLBAHANKELUAR[[#This Row],[NAMA BAHAN]],TBLREKAPBAHAN[[NAMA BAHAN]:[MODAL SATUAN]],4,FALSE)</f>
        <v>250</v>
      </c>
      <c r="K186" s="215">
        <f>VLOOKUP(TBLBAHANKELUAR[[#This Row],[KODE BAHAN]],[4]!TBLPIZZAYUHU[#Data],17,FALSE)</f>
        <v>0</v>
      </c>
      <c r="L186" s="215">
        <f>SUMIF(TBLPRODUKKELUARJULI[NAMA PRODUK],TBLBAHANKELUAR[[#This Row],[NAMA PRODUK]],TBLPRODUKKELUARJULI[JUMLAH TERJUAL])</f>
        <v>1</v>
      </c>
      <c r="M186" s="215">
        <f>TBLBAHANKELUAR[[#This Row],[KEB. BAHAN]]*TBLBAHANKELUAR[[#This Row],[JUMLAH KEB. BAHAN KELUAR]]</f>
        <v>0</v>
      </c>
      <c r="N186" s="214">
        <f>TBLBAHANKELUAR[[#This Row],[MODAL SATUAN]]*TBLBAHANKELUAR[[#This Row],[TOTAL BAHAN KELUAR]]</f>
        <v>0</v>
      </c>
    </row>
    <row r="187" spans="1:14" x14ac:dyDescent="0.3">
      <c r="A187" s="103">
        <v>2026</v>
      </c>
      <c r="B187" s="211" t="s">
        <v>590</v>
      </c>
      <c r="C187" s="211"/>
      <c r="D187" s="211"/>
      <c r="E187" s="252" t="s">
        <v>469</v>
      </c>
      <c r="F187" s="212">
        <v>19</v>
      </c>
      <c r="G187" s="213" t="str">
        <f>VLOOKUP(TBLBAHANKELUAR[[#This Row],[KODE BAHAN]],[4]!TBLPIZZAYUHU[#Data],2,FALSE)</f>
        <v>JAMUR</v>
      </c>
      <c r="H187" s="214">
        <f>VLOOKUP(TBLBAHANKELUAR[[#This Row],[NAMA BAHAN]],TBLREKAPBAHAN[[NAMA BAHAN]:[MODAL SATUAN]],2,FALSE)</f>
        <v>2000</v>
      </c>
      <c r="I187" s="214">
        <f>VLOOKUP(TBLBAHANKELUAR[[#This Row],[NAMA BAHAN]],TBLREKAPBAHAN[[NAMA BAHAN]:[MODAL SATUAN]],3,FALSE)</f>
        <v>10</v>
      </c>
      <c r="J187" s="214">
        <f>VLOOKUP(TBLBAHANKELUAR[[#This Row],[NAMA BAHAN]],TBLREKAPBAHAN[[NAMA BAHAN]:[MODAL SATUAN]],4,FALSE)</f>
        <v>200</v>
      </c>
      <c r="K187" s="215">
        <f>VLOOKUP(TBLBAHANKELUAR[[#This Row],[KODE BAHAN]],[4]!TBLPIZZAYUHU[#Data],17,FALSE)</f>
        <v>4</v>
      </c>
      <c r="L187" s="215">
        <f>SUMIF(TBLPRODUKKELUARJULI[NAMA PRODUK],TBLBAHANKELUAR[[#This Row],[NAMA PRODUK]],TBLPRODUKKELUARJULI[JUMLAH TERJUAL])</f>
        <v>1</v>
      </c>
      <c r="M187" s="215">
        <f>TBLBAHANKELUAR[[#This Row],[KEB. BAHAN]]*TBLBAHANKELUAR[[#This Row],[JUMLAH KEB. BAHAN KELUAR]]</f>
        <v>4</v>
      </c>
      <c r="N187" s="214">
        <f>TBLBAHANKELUAR[[#This Row],[MODAL SATUAN]]*TBLBAHANKELUAR[[#This Row],[TOTAL BAHAN KELUAR]]</f>
        <v>800</v>
      </c>
    </row>
    <row r="188" spans="1:14" x14ac:dyDescent="0.3">
      <c r="A188" s="103">
        <v>2026</v>
      </c>
      <c r="B188" s="211" t="s">
        <v>590</v>
      </c>
      <c r="C188" s="211"/>
      <c r="D188" s="211"/>
      <c r="E188" s="252" t="s">
        <v>469</v>
      </c>
      <c r="F188" s="212">
        <v>20</v>
      </c>
      <c r="G188" s="213" t="str">
        <f>VLOOKUP(TBLBAHANKELUAR[[#This Row],[KODE BAHAN]],[4]!TBLPIZZAYUHU[#Data],2,FALSE)</f>
        <v>JAGUNG</v>
      </c>
      <c r="H188" s="214">
        <f>VLOOKUP(TBLBAHANKELUAR[[#This Row],[NAMA BAHAN]],TBLREKAPBAHAN[[NAMA BAHAN]:[MODAL SATUAN]],2,FALSE)</f>
        <v>3000</v>
      </c>
      <c r="I188" s="214">
        <f>VLOOKUP(TBLBAHANKELUAR[[#This Row],[NAMA BAHAN]],TBLREKAPBAHAN[[NAMA BAHAN]:[MODAL SATUAN]],3,FALSE)</f>
        <v>2</v>
      </c>
      <c r="J188" s="214">
        <f>VLOOKUP(TBLBAHANKELUAR[[#This Row],[NAMA BAHAN]],TBLREKAPBAHAN[[NAMA BAHAN]:[MODAL SATUAN]],4,FALSE)</f>
        <v>1500</v>
      </c>
      <c r="K188" s="215">
        <f>VLOOKUP(TBLBAHANKELUAR[[#This Row],[KODE BAHAN]],[4]!TBLPIZZAYUHU[#Data],17,FALSE)</f>
        <v>0</v>
      </c>
      <c r="L188" s="215">
        <f>SUMIF(TBLPRODUKKELUARJULI[NAMA PRODUK],TBLBAHANKELUAR[[#This Row],[NAMA PRODUK]],TBLPRODUKKELUARJULI[JUMLAH TERJUAL])</f>
        <v>1</v>
      </c>
      <c r="M188" s="215">
        <f>TBLBAHANKELUAR[[#This Row],[KEB. BAHAN]]*TBLBAHANKELUAR[[#This Row],[JUMLAH KEB. BAHAN KELUAR]]</f>
        <v>0</v>
      </c>
      <c r="N188" s="214">
        <f>TBLBAHANKELUAR[[#This Row],[MODAL SATUAN]]*TBLBAHANKELUAR[[#This Row],[TOTAL BAHAN KELUAR]]</f>
        <v>0</v>
      </c>
    </row>
    <row r="189" spans="1:14" x14ac:dyDescent="0.3">
      <c r="A189" s="103">
        <v>2026</v>
      </c>
      <c r="B189" s="211" t="s">
        <v>590</v>
      </c>
      <c r="C189" s="211"/>
      <c r="D189" s="211"/>
      <c r="E189" s="252" t="s">
        <v>469</v>
      </c>
      <c r="F189" s="212">
        <v>21</v>
      </c>
      <c r="G189" s="213" t="str">
        <f>VLOOKUP(TBLBAHANKELUAR[[#This Row],[KODE BAHAN]],[4]!TBLPIZZAYUHU[#Data],2,FALSE)</f>
        <v>UDANG</v>
      </c>
      <c r="H189" s="214">
        <f>VLOOKUP(TBLBAHANKELUAR[[#This Row],[NAMA BAHAN]],TBLREKAPBAHAN[[NAMA BAHAN]:[MODAL SATUAN]],2,FALSE)</f>
        <v>9000</v>
      </c>
      <c r="I189" s="214">
        <f>VLOOKUP(TBLBAHANKELUAR[[#This Row],[NAMA BAHAN]],TBLREKAPBAHAN[[NAMA BAHAN]:[MODAL SATUAN]],3,FALSE)</f>
        <v>10</v>
      </c>
      <c r="J189" s="214">
        <f>VLOOKUP(TBLBAHANKELUAR[[#This Row],[NAMA BAHAN]],TBLREKAPBAHAN[[NAMA BAHAN]:[MODAL SATUAN]],4,FALSE)</f>
        <v>900</v>
      </c>
      <c r="K189" s="215">
        <f>VLOOKUP(TBLBAHANKELUAR[[#This Row],[KODE BAHAN]],[4]!TBLPIZZAYUHU[#Data],17,FALSE)</f>
        <v>0</v>
      </c>
      <c r="L189" s="215">
        <f>SUMIF(TBLPRODUKKELUARJULI[NAMA PRODUK],TBLBAHANKELUAR[[#This Row],[NAMA PRODUK]],TBLPRODUKKELUARJULI[JUMLAH TERJUAL])</f>
        <v>1</v>
      </c>
      <c r="M189" s="215">
        <f>TBLBAHANKELUAR[[#This Row],[KEB. BAHAN]]*TBLBAHANKELUAR[[#This Row],[JUMLAH KEB. BAHAN KELUAR]]</f>
        <v>0</v>
      </c>
      <c r="N189" s="214">
        <f>TBLBAHANKELUAR[[#This Row],[MODAL SATUAN]]*TBLBAHANKELUAR[[#This Row],[TOTAL BAHAN KELUAR]]</f>
        <v>0</v>
      </c>
    </row>
    <row r="190" spans="1:14" x14ac:dyDescent="0.3">
      <c r="A190" s="103">
        <v>2026</v>
      </c>
      <c r="B190" s="211" t="s">
        <v>590</v>
      </c>
      <c r="C190" s="211"/>
      <c r="D190" s="211"/>
      <c r="E190" s="252" t="s">
        <v>469</v>
      </c>
      <c r="F190" s="212">
        <v>22</v>
      </c>
      <c r="G190" s="213" t="str">
        <f>VLOOKUP(TBLBAHANKELUAR[[#This Row],[KODE BAHAN]],[4]!TBLPIZZAYUHU[#Data],2,FALSE)</f>
        <v>PAPRIKA GRAM</v>
      </c>
      <c r="H190" s="214">
        <f>VLOOKUP(TBLBAHANKELUAR[[#This Row],[NAMA BAHAN]],TBLREKAPBAHAN[[NAMA BAHAN]:[MODAL SATUAN]],2,FALSE)</f>
        <v>10000</v>
      </c>
      <c r="I190" s="214">
        <f>VLOOKUP(TBLBAHANKELUAR[[#This Row],[NAMA BAHAN]],TBLREKAPBAHAN[[NAMA BAHAN]:[MODAL SATUAN]],3,FALSE)</f>
        <v>100</v>
      </c>
      <c r="J190" s="214">
        <f>VLOOKUP(TBLBAHANKELUAR[[#This Row],[NAMA BAHAN]],TBLREKAPBAHAN[[NAMA BAHAN]:[MODAL SATUAN]],4,FALSE)</f>
        <v>100</v>
      </c>
      <c r="K190" s="215">
        <f>VLOOKUP(TBLBAHANKELUAR[[#This Row],[KODE BAHAN]],[4]!TBLPIZZAYUHU[#Data],17,FALSE)</f>
        <v>0</v>
      </c>
      <c r="L190" s="215">
        <f>SUMIF(TBLPRODUKKELUARJULI[NAMA PRODUK],TBLBAHANKELUAR[[#This Row],[NAMA PRODUK]],TBLPRODUKKELUARJULI[JUMLAH TERJUAL])</f>
        <v>1</v>
      </c>
      <c r="M190" s="215">
        <f>TBLBAHANKELUAR[[#This Row],[KEB. BAHAN]]*TBLBAHANKELUAR[[#This Row],[JUMLAH KEB. BAHAN KELUAR]]</f>
        <v>0</v>
      </c>
      <c r="N190" s="214">
        <f>TBLBAHANKELUAR[[#This Row],[MODAL SATUAN]]*TBLBAHANKELUAR[[#This Row],[TOTAL BAHAN KELUAR]]</f>
        <v>0</v>
      </c>
    </row>
    <row r="191" spans="1:14" x14ac:dyDescent="0.3">
      <c r="A191" s="103">
        <v>2026</v>
      </c>
      <c r="B191" s="211" t="s">
        <v>590</v>
      </c>
      <c r="C191" s="211"/>
      <c r="D191" s="211"/>
      <c r="E191" s="252" t="s">
        <v>469</v>
      </c>
      <c r="F191" s="212">
        <v>23</v>
      </c>
      <c r="G191" s="213" t="str">
        <f>VLOOKUP(TBLBAHANKELUAR[[#This Row],[KODE BAHAN]],[4]!TBLPIZZAYUHU[#Data],2,FALSE)</f>
        <v>KENTANG</v>
      </c>
      <c r="H191" s="214">
        <f>VLOOKUP(TBLBAHANKELUAR[[#This Row],[NAMA BAHAN]],TBLREKAPBAHAN[[NAMA BAHAN]:[MODAL SATUAN]],2,FALSE)</f>
        <v>12000</v>
      </c>
      <c r="I191" s="214">
        <f>VLOOKUP(TBLBAHANKELUAR[[#This Row],[NAMA BAHAN]],TBLREKAPBAHAN[[NAMA BAHAN]:[MODAL SATUAN]],3,FALSE)</f>
        <v>10</v>
      </c>
      <c r="J191" s="214">
        <f>VLOOKUP(TBLBAHANKELUAR[[#This Row],[NAMA BAHAN]],TBLREKAPBAHAN[[NAMA BAHAN]:[MODAL SATUAN]],4,FALSE)</f>
        <v>1200</v>
      </c>
      <c r="K191" s="215">
        <f>VLOOKUP(TBLBAHANKELUAR[[#This Row],[KODE BAHAN]],[4]!TBLPIZZAYUHU[#Data],17,FALSE)</f>
        <v>0</v>
      </c>
      <c r="L191" s="215">
        <f>SUMIF(TBLPRODUKKELUARJULI[NAMA PRODUK],TBLBAHANKELUAR[[#This Row],[NAMA PRODUK]],TBLPRODUKKELUARJULI[JUMLAH TERJUAL])</f>
        <v>1</v>
      </c>
      <c r="M191" s="215">
        <f>TBLBAHANKELUAR[[#This Row],[KEB. BAHAN]]*TBLBAHANKELUAR[[#This Row],[JUMLAH KEB. BAHAN KELUAR]]</f>
        <v>0</v>
      </c>
      <c r="N191" s="214">
        <f>TBLBAHANKELUAR[[#This Row],[MODAL SATUAN]]*TBLBAHANKELUAR[[#This Row],[TOTAL BAHAN KELUAR]]</f>
        <v>0</v>
      </c>
    </row>
    <row r="192" spans="1:14" x14ac:dyDescent="0.3">
      <c r="A192" s="103">
        <v>2026</v>
      </c>
      <c r="B192" s="211" t="s">
        <v>590</v>
      </c>
      <c r="C192" s="211"/>
      <c r="D192" s="211"/>
      <c r="E192" s="252" t="s">
        <v>469</v>
      </c>
      <c r="F192" s="212">
        <v>24</v>
      </c>
      <c r="G192" s="213" t="str">
        <f>VLOOKUP(TBLBAHANKELUAR[[#This Row],[KODE BAHAN]],[4]!TBLPIZZAYUHU[#Data],2,FALSE)</f>
        <v>AIR PANAS (CC/GRAM)</v>
      </c>
      <c r="H192" s="214">
        <f>VLOOKUP(TBLBAHANKELUAR[[#This Row],[NAMA BAHAN]],TBLREKAPBAHAN[[NAMA BAHAN]:[MODAL SATUAN]],2,FALSE)</f>
        <v>17000</v>
      </c>
      <c r="I192" s="214">
        <f>VLOOKUP(TBLBAHANKELUAR[[#This Row],[NAMA BAHAN]],TBLREKAPBAHAN[[NAMA BAHAN]:[MODAL SATUAN]],3,FALSE)</f>
        <v>19000</v>
      </c>
      <c r="J192" s="214">
        <f>VLOOKUP(TBLBAHANKELUAR[[#This Row],[NAMA BAHAN]],TBLREKAPBAHAN[[NAMA BAHAN]:[MODAL SATUAN]],4,FALSE)</f>
        <v>0.89473684210526316</v>
      </c>
      <c r="K192" s="215">
        <f>VLOOKUP(TBLBAHANKELUAR[[#This Row],[KODE BAHAN]],[4]!TBLPIZZAYUHU[#Data],17,FALSE)</f>
        <v>80</v>
      </c>
      <c r="L192" s="215">
        <f>SUMIF(TBLPRODUKKELUARJULI[NAMA PRODUK],TBLBAHANKELUAR[[#This Row],[NAMA PRODUK]],TBLPRODUKKELUARJULI[JUMLAH TERJUAL])</f>
        <v>1</v>
      </c>
      <c r="M192" s="215">
        <f>TBLBAHANKELUAR[[#This Row],[KEB. BAHAN]]*TBLBAHANKELUAR[[#This Row],[JUMLAH KEB. BAHAN KELUAR]]</f>
        <v>80</v>
      </c>
      <c r="N192" s="214">
        <f>TBLBAHANKELUAR[[#This Row],[MODAL SATUAN]]*TBLBAHANKELUAR[[#This Row],[TOTAL BAHAN KELUAR]]</f>
        <v>71.578947368421055</v>
      </c>
    </row>
    <row r="193" spans="1:14" x14ac:dyDescent="0.3">
      <c r="A193" s="103">
        <v>2026</v>
      </c>
      <c r="B193" s="211" t="s">
        <v>590</v>
      </c>
      <c r="C193" s="211"/>
      <c r="D193" s="211"/>
      <c r="E193" s="252" t="s">
        <v>469</v>
      </c>
      <c r="F193" s="212">
        <v>25</v>
      </c>
      <c r="G193" s="213" t="str">
        <f>VLOOKUP(TBLBAHANKELUAR[[#This Row],[KODE BAHAN]],[4]!TBLPIZZAYUHU[#Data],2,FALSE)</f>
        <v>GAS ELPIJI</v>
      </c>
      <c r="H193" s="214">
        <f>VLOOKUP(TBLBAHANKELUAR[[#This Row],[NAMA BAHAN]],TBLREKAPBAHAN[[NAMA BAHAN]:[MODAL SATUAN]],2,FALSE)</f>
        <v>23000</v>
      </c>
      <c r="I193" s="214">
        <f>VLOOKUP(TBLBAHANKELUAR[[#This Row],[NAMA BAHAN]],TBLREKAPBAHAN[[NAMA BAHAN]:[MODAL SATUAN]],3,FALSE)</f>
        <v>3000</v>
      </c>
      <c r="J193" s="214">
        <f>VLOOKUP(TBLBAHANKELUAR[[#This Row],[NAMA BAHAN]],TBLREKAPBAHAN[[NAMA BAHAN]:[MODAL SATUAN]],4,FALSE)</f>
        <v>7.666666666666667</v>
      </c>
      <c r="K193" s="215">
        <f>VLOOKUP(TBLBAHANKELUAR[[#This Row],[KODE BAHAN]],[4]!TBLPIZZAYUHU[#Data],17,FALSE)</f>
        <v>80</v>
      </c>
      <c r="L193" s="215">
        <f>SUMIF(TBLPRODUKKELUARJULI[NAMA PRODUK],TBLBAHANKELUAR[[#This Row],[NAMA PRODUK]],TBLPRODUKKELUARJULI[JUMLAH TERJUAL])</f>
        <v>1</v>
      </c>
      <c r="M193" s="215">
        <f>TBLBAHANKELUAR[[#This Row],[KEB. BAHAN]]*TBLBAHANKELUAR[[#This Row],[JUMLAH KEB. BAHAN KELUAR]]</f>
        <v>80</v>
      </c>
      <c r="N193" s="214">
        <f>TBLBAHANKELUAR[[#This Row],[MODAL SATUAN]]*TBLBAHANKELUAR[[#This Row],[TOTAL BAHAN KELUAR]]</f>
        <v>613.33333333333337</v>
      </c>
    </row>
    <row r="194" spans="1:14" x14ac:dyDescent="0.3">
      <c r="A194" s="103">
        <v>2026</v>
      </c>
      <c r="B194" s="211" t="s">
        <v>590</v>
      </c>
      <c r="C194" s="211"/>
      <c r="D194" s="211"/>
      <c r="E194" s="252" t="s">
        <v>469</v>
      </c>
      <c r="F194" s="212">
        <v>26</v>
      </c>
      <c r="G194" s="213" t="str">
        <f>VLOOKUP(TBLBAHANKELUAR[[#This Row],[KODE BAHAN]],[4]!TBLPIZZAYUHU[#Data],2,FALSE)</f>
        <v>KERTAS ROTI OVEN</v>
      </c>
      <c r="H194" s="214">
        <f>VLOOKUP(TBLBAHANKELUAR[[#This Row],[NAMA BAHAN]],TBLREKAPBAHAN[[NAMA BAHAN]:[MODAL SATUAN]],2,FALSE)</f>
        <v>10000</v>
      </c>
      <c r="I194" s="214">
        <f>VLOOKUP(TBLBAHANKELUAR[[#This Row],[NAMA BAHAN]],TBLREKAPBAHAN[[NAMA BAHAN]:[MODAL SATUAN]],3,FALSE)</f>
        <v>50</v>
      </c>
      <c r="J194" s="214">
        <f>VLOOKUP(TBLBAHANKELUAR[[#This Row],[NAMA BAHAN]],TBLREKAPBAHAN[[NAMA BAHAN]:[MODAL SATUAN]],4,FALSE)</f>
        <v>200</v>
      </c>
      <c r="K194" s="215">
        <f>VLOOKUP(TBLBAHANKELUAR[[#This Row],[KODE BAHAN]],[4]!TBLPIZZAYUHU[#Data],17,FALSE)</f>
        <v>1</v>
      </c>
      <c r="L194" s="215">
        <f>SUMIF(TBLPRODUKKELUARJULI[NAMA PRODUK],TBLBAHANKELUAR[[#This Row],[NAMA PRODUK]],TBLPRODUKKELUARJULI[JUMLAH TERJUAL])</f>
        <v>1</v>
      </c>
      <c r="M194" s="215">
        <f>TBLBAHANKELUAR[[#This Row],[KEB. BAHAN]]*TBLBAHANKELUAR[[#This Row],[JUMLAH KEB. BAHAN KELUAR]]</f>
        <v>1</v>
      </c>
      <c r="N194" s="214">
        <f>TBLBAHANKELUAR[[#This Row],[MODAL SATUAN]]*TBLBAHANKELUAR[[#This Row],[TOTAL BAHAN KELUAR]]</f>
        <v>200</v>
      </c>
    </row>
    <row r="195" spans="1:14" x14ac:dyDescent="0.3">
      <c r="A195" s="103">
        <v>2026</v>
      </c>
      <c r="B195" s="211" t="s">
        <v>590</v>
      </c>
      <c r="C195" s="211"/>
      <c r="D195" s="211"/>
      <c r="E195" s="252" t="s">
        <v>469</v>
      </c>
      <c r="F195" s="212">
        <v>27</v>
      </c>
      <c r="G195" s="213" t="str">
        <f>VLOOKUP(TBLBAHANKELUAR[[#This Row],[KODE BAHAN]],[4]!TBLPIZZAYUHU[#Data],2,FALSE)</f>
        <v>KOTAK 21 CM</v>
      </c>
      <c r="H195" s="214">
        <f>VLOOKUP(TBLBAHANKELUAR[[#This Row],[NAMA BAHAN]],TBLREKAPBAHAN[[NAMA BAHAN]:[MODAL SATUAN]],2,FALSE)</f>
        <v>2500</v>
      </c>
      <c r="I195" s="214">
        <f>VLOOKUP(TBLBAHANKELUAR[[#This Row],[NAMA BAHAN]],TBLREKAPBAHAN[[NAMA BAHAN]:[MODAL SATUAN]],3,FALSE)</f>
        <v>1</v>
      </c>
      <c r="J195" s="214">
        <f>VLOOKUP(TBLBAHANKELUAR[[#This Row],[NAMA BAHAN]],TBLREKAPBAHAN[[NAMA BAHAN]:[MODAL SATUAN]],4,FALSE)</f>
        <v>2500</v>
      </c>
      <c r="K195" s="215">
        <f>VLOOKUP(TBLBAHANKELUAR[[#This Row],[KODE BAHAN]],[4]!TBLPIZZAYUHU[#Data],17,FALSE)</f>
        <v>1</v>
      </c>
      <c r="L195" s="215">
        <f>SUMIF(TBLPRODUKKELUARJULI[NAMA PRODUK],TBLBAHANKELUAR[[#This Row],[NAMA PRODUK]],TBLPRODUKKELUARJULI[JUMLAH TERJUAL])</f>
        <v>1</v>
      </c>
      <c r="M195" s="215">
        <f>TBLBAHANKELUAR[[#This Row],[KEB. BAHAN]]*TBLBAHANKELUAR[[#This Row],[JUMLAH KEB. BAHAN KELUAR]]</f>
        <v>1</v>
      </c>
      <c r="N195" s="214">
        <f>TBLBAHANKELUAR[[#This Row],[MODAL SATUAN]]*TBLBAHANKELUAR[[#This Row],[TOTAL BAHAN KELUAR]]</f>
        <v>2500</v>
      </c>
    </row>
    <row r="196" spans="1:14" x14ac:dyDescent="0.3">
      <c r="A196" s="103">
        <v>2026</v>
      </c>
      <c r="B196" s="211" t="s">
        <v>590</v>
      </c>
      <c r="C196" s="211"/>
      <c r="D196" s="211"/>
      <c r="E196" s="252" t="s">
        <v>469</v>
      </c>
      <c r="F196" s="212">
        <v>28</v>
      </c>
      <c r="G196" s="213" t="str">
        <f>VLOOKUP(TBLBAHANKELUAR[[#This Row],[KODE BAHAN]],[4]!TBLPIZZAYUHU[#Data],2,FALSE)</f>
        <v>TALI RAFIA</v>
      </c>
      <c r="H196" s="214">
        <f>VLOOKUP(TBLBAHANKELUAR[[#This Row],[NAMA BAHAN]],TBLREKAPBAHAN[[NAMA BAHAN]:[MODAL SATUAN]],2,FALSE)</f>
        <v>37500</v>
      </c>
      <c r="I196" s="214">
        <f>VLOOKUP(TBLBAHANKELUAR[[#This Row],[NAMA BAHAN]],TBLREKAPBAHAN[[NAMA BAHAN]:[MODAL SATUAN]],3,FALSE)</f>
        <v>300</v>
      </c>
      <c r="J196" s="214">
        <f>VLOOKUP(TBLBAHANKELUAR[[#This Row],[NAMA BAHAN]],TBLREKAPBAHAN[[NAMA BAHAN]:[MODAL SATUAN]],4,FALSE)</f>
        <v>125</v>
      </c>
      <c r="K196" s="215">
        <f>VLOOKUP(TBLBAHANKELUAR[[#This Row],[KODE BAHAN]],[4]!TBLPIZZAYUHU[#Data],17,FALSE)</f>
        <v>1</v>
      </c>
      <c r="L196" s="215">
        <f>SUMIF(TBLPRODUKKELUARJULI[NAMA PRODUK],TBLBAHANKELUAR[[#This Row],[NAMA PRODUK]],TBLPRODUKKELUARJULI[JUMLAH TERJUAL])</f>
        <v>1</v>
      </c>
      <c r="M196" s="215">
        <f>TBLBAHANKELUAR[[#This Row],[KEB. BAHAN]]*TBLBAHANKELUAR[[#This Row],[JUMLAH KEB. BAHAN KELUAR]]</f>
        <v>1</v>
      </c>
      <c r="N196" s="214">
        <f>TBLBAHANKELUAR[[#This Row],[MODAL SATUAN]]*TBLBAHANKELUAR[[#This Row],[TOTAL BAHAN KELUAR]]</f>
        <v>125</v>
      </c>
    </row>
    <row r="197" spans="1:14" x14ac:dyDescent="0.3">
      <c r="A197" s="103">
        <v>2026</v>
      </c>
      <c r="B197" s="211" t="s">
        <v>590</v>
      </c>
      <c r="C197" s="211"/>
      <c r="D197" s="211"/>
      <c r="E197" s="252" t="s">
        <v>469</v>
      </c>
      <c r="F197" s="212">
        <v>29</v>
      </c>
      <c r="G197" s="213" t="str">
        <f>VLOOKUP(TBLBAHANKELUAR[[#This Row],[KODE BAHAN]],[4]!TBLPIZZAYUHU[#Data],2,FALSE)</f>
        <v>KRESEK 30 CM</v>
      </c>
      <c r="H197" s="214">
        <f>VLOOKUP(TBLBAHANKELUAR[[#This Row],[NAMA BAHAN]],TBLREKAPBAHAN[[NAMA BAHAN]:[MODAL SATUAN]],2,FALSE)</f>
        <v>1000</v>
      </c>
      <c r="I197" s="214">
        <f>VLOOKUP(TBLBAHANKELUAR[[#This Row],[NAMA BAHAN]],TBLREKAPBAHAN[[NAMA BAHAN]:[MODAL SATUAN]],3,FALSE)</f>
        <v>2</v>
      </c>
      <c r="J197" s="214">
        <f>VLOOKUP(TBLBAHANKELUAR[[#This Row],[NAMA BAHAN]],TBLREKAPBAHAN[[NAMA BAHAN]:[MODAL SATUAN]],4,FALSE)</f>
        <v>500</v>
      </c>
      <c r="K197" s="215">
        <f>VLOOKUP(TBLBAHANKELUAR[[#This Row],[KODE BAHAN]],[4]!TBLPIZZAYUHU[#Data],17,FALSE)</f>
        <v>1</v>
      </c>
      <c r="L197" s="215">
        <f>SUMIF(TBLPRODUKKELUARJULI[NAMA PRODUK],TBLBAHANKELUAR[[#This Row],[NAMA PRODUK]],TBLPRODUKKELUARJULI[JUMLAH TERJUAL])</f>
        <v>1</v>
      </c>
      <c r="M197" s="215">
        <f>TBLBAHANKELUAR[[#This Row],[KEB. BAHAN]]*TBLBAHANKELUAR[[#This Row],[JUMLAH KEB. BAHAN KELUAR]]</f>
        <v>1</v>
      </c>
      <c r="N197" s="214">
        <f>TBLBAHANKELUAR[[#This Row],[MODAL SATUAN]]*TBLBAHANKELUAR[[#This Row],[TOTAL BAHAN KELUAR]]</f>
        <v>500</v>
      </c>
    </row>
    <row r="198" spans="1:14" x14ac:dyDescent="0.3">
      <c r="A198" s="103">
        <v>2026</v>
      </c>
      <c r="B198" s="211" t="s">
        <v>590</v>
      </c>
      <c r="C198" s="211"/>
      <c r="D198" s="211"/>
      <c r="E198" s="128" t="s">
        <v>384</v>
      </c>
      <c r="F198" s="212">
        <v>1</v>
      </c>
      <c r="G198" s="213" t="str">
        <f>VLOOKUP(TBLBAHANKELUAR[[#This Row],[KODE BAHAN]],[4]!TBLKEBABSOSIZ[#Data],2,FALSE)</f>
        <v>SAOS TOMAT GRAM</v>
      </c>
      <c r="H198" s="214">
        <f>VLOOKUP(TBLBAHANKELUAR[[#This Row],[NAMA BAHAN]],TBLREKAPBAHAN[[NAMA BAHAN]:[MODAL SATUAN]],2,FALSE)</f>
        <v>20000</v>
      </c>
      <c r="I198" s="214">
        <f>VLOOKUP(TBLBAHANKELUAR[[#This Row],[NAMA BAHAN]],TBLREKAPBAHAN[[NAMA BAHAN]:[MODAL SATUAN]],3,FALSE)</f>
        <v>1000</v>
      </c>
      <c r="J198" s="214">
        <f>VLOOKUP(TBLBAHANKELUAR[[#This Row],[NAMA BAHAN]],TBLREKAPBAHAN[[NAMA BAHAN]:[MODAL SATUAN]],4,FALSE)</f>
        <v>20</v>
      </c>
      <c r="K198" s="215">
        <f>VLOOKUP(TBLBAHANKELUAR[[#This Row],[KODE BAHAN]],[4]!TBLKEBABSOSIZ[#Data],11,FALSE)</f>
        <v>10</v>
      </c>
      <c r="L198" s="215">
        <f>SUMIF(TBLPRODUKKELUARJULI[NAMA PRODUK],TBLBAHANKELUAR[[#This Row],[NAMA PRODUK]],TBLPRODUKKELUARJULI[JUMLAH TERJUAL])</f>
        <v>1</v>
      </c>
      <c r="M198" s="215">
        <f>TBLBAHANKELUAR[[#This Row],[KEB. BAHAN]]*TBLBAHANKELUAR[[#This Row],[JUMLAH KEB. BAHAN KELUAR]]</f>
        <v>10</v>
      </c>
      <c r="N198" s="214">
        <f>TBLBAHANKELUAR[[#This Row],[MODAL SATUAN]]*TBLBAHANKELUAR[[#This Row],[TOTAL BAHAN KELUAR]]</f>
        <v>200</v>
      </c>
    </row>
    <row r="199" spans="1:14" x14ac:dyDescent="0.3">
      <c r="A199" s="103">
        <v>2026</v>
      </c>
      <c r="B199" s="211" t="s">
        <v>590</v>
      </c>
      <c r="C199" s="211"/>
      <c r="D199" s="211"/>
      <c r="E199" s="128" t="s">
        <v>384</v>
      </c>
      <c r="F199" s="212">
        <v>2</v>
      </c>
      <c r="G199" s="213" t="str">
        <f>VLOOKUP(TBLBAHANKELUAR[[#This Row],[KODE BAHAN]],[4]!TBLKEBABSOSIZ[#Data],2,FALSE)</f>
        <v>SAOS SAMBAL GRAM</v>
      </c>
      <c r="H199" s="214">
        <f>VLOOKUP(TBLBAHANKELUAR[[#This Row],[NAMA BAHAN]],TBLREKAPBAHAN[[NAMA BAHAN]:[MODAL SATUAN]],2,FALSE)</f>
        <v>18000</v>
      </c>
      <c r="I199" s="214">
        <f>VLOOKUP(TBLBAHANKELUAR[[#This Row],[NAMA BAHAN]],TBLREKAPBAHAN[[NAMA BAHAN]:[MODAL SATUAN]],3,FALSE)</f>
        <v>1000</v>
      </c>
      <c r="J199" s="214">
        <f>VLOOKUP(TBLBAHANKELUAR[[#This Row],[NAMA BAHAN]],TBLREKAPBAHAN[[NAMA BAHAN]:[MODAL SATUAN]],4,FALSE)</f>
        <v>18</v>
      </c>
      <c r="K199" s="215">
        <f>VLOOKUP(TBLBAHANKELUAR[[#This Row],[KODE BAHAN]],[4]!TBLKEBABSOSIZ[#Data],11,FALSE)</f>
        <v>0</v>
      </c>
      <c r="L199" s="215">
        <f>SUMIF(TBLPRODUKKELUARJULI[NAMA PRODUK],TBLBAHANKELUAR[[#This Row],[NAMA PRODUK]],TBLPRODUKKELUARJULI[JUMLAH TERJUAL])</f>
        <v>1</v>
      </c>
      <c r="M199" s="215">
        <f>TBLBAHANKELUAR[[#This Row],[KEB. BAHAN]]*TBLBAHANKELUAR[[#This Row],[JUMLAH KEB. BAHAN KELUAR]]</f>
        <v>0</v>
      </c>
      <c r="N199" s="214">
        <f>TBLBAHANKELUAR[[#This Row],[MODAL SATUAN]]*TBLBAHANKELUAR[[#This Row],[TOTAL BAHAN KELUAR]]</f>
        <v>0</v>
      </c>
    </row>
    <row r="200" spans="1:14" x14ac:dyDescent="0.3">
      <c r="A200" s="103">
        <v>2026</v>
      </c>
      <c r="B200" s="211" t="s">
        <v>590</v>
      </c>
      <c r="C200" s="211"/>
      <c r="D200" s="211"/>
      <c r="E200" s="128" t="s">
        <v>384</v>
      </c>
      <c r="F200" s="212">
        <v>3</v>
      </c>
      <c r="G200" s="213" t="str">
        <f>VLOOKUP(TBLBAHANKELUAR[[#This Row],[KODE BAHAN]],[4]!TBLKEBABSOSIZ[#Data],2,FALSE)</f>
        <v>SAOS BBQ GRAM</v>
      </c>
      <c r="H200" s="214">
        <f>VLOOKUP(TBLBAHANKELUAR[[#This Row],[NAMA BAHAN]],TBLREKAPBAHAN[[NAMA BAHAN]:[MODAL SATUAN]],2,FALSE)</f>
        <v>12000</v>
      </c>
      <c r="I200" s="214">
        <f>VLOOKUP(TBLBAHANKELUAR[[#This Row],[NAMA BAHAN]],TBLREKAPBAHAN[[NAMA BAHAN]:[MODAL SATUAN]],3,FALSE)</f>
        <v>250</v>
      </c>
      <c r="J200" s="214">
        <f>VLOOKUP(TBLBAHANKELUAR[[#This Row],[NAMA BAHAN]],TBLREKAPBAHAN[[NAMA BAHAN]:[MODAL SATUAN]],4,FALSE)</f>
        <v>48</v>
      </c>
      <c r="K200" s="215">
        <f>VLOOKUP(TBLBAHANKELUAR[[#This Row],[KODE BAHAN]],[4]!TBLKEBABSOSIZ[#Data],11,FALSE)</f>
        <v>5</v>
      </c>
      <c r="L200" s="215">
        <f>SUMIF(TBLPRODUKKELUARJULI[NAMA PRODUK],TBLBAHANKELUAR[[#This Row],[NAMA PRODUK]],TBLPRODUKKELUARJULI[JUMLAH TERJUAL])</f>
        <v>1</v>
      </c>
      <c r="M200" s="215">
        <f>TBLBAHANKELUAR[[#This Row],[KEB. BAHAN]]*TBLBAHANKELUAR[[#This Row],[JUMLAH KEB. BAHAN KELUAR]]</f>
        <v>5</v>
      </c>
      <c r="N200" s="214">
        <f>TBLBAHANKELUAR[[#This Row],[MODAL SATUAN]]*TBLBAHANKELUAR[[#This Row],[TOTAL BAHAN KELUAR]]</f>
        <v>240</v>
      </c>
    </row>
    <row r="201" spans="1:14" x14ac:dyDescent="0.3">
      <c r="A201" s="103">
        <v>2026</v>
      </c>
      <c r="B201" s="211" t="s">
        <v>590</v>
      </c>
      <c r="C201" s="211"/>
      <c r="D201" s="211"/>
      <c r="E201" s="128" t="s">
        <v>384</v>
      </c>
      <c r="F201" s="212">
        <v>4</v>
      </c>
      <c r="G201" s="213" t="str">
        <f>VLOOKUP(TBLBAHANKELUAR[[#This Row],[KODE BAHAN]],[4]!TBLKEBABSOSIZ[#Data],2,FALSE)</f>
        <v>MAYONAIS GRAM</v>
      </c>
      <c r="H201" s="214">
        <f>VLOOKUP(TBLBAHANKELUAR[[#This Row],[NAMA BAHAN]],TBLREKAPBAHAN[[NAMA BAHAN]:[MODAL SATUAN]],2,FALSE)</f>
        <v>50000</v>
      </c>
      <c r="I201" s="214">
        <f>VLOOKUP(TBLBAHANKELUAR[[#This Row],[NAMA BAHAN]],TBLREKAPBAHAN[[NAMA BAHAN]:[MODAL SATUAN]],3,FALSE)</f>
        <v>1000</v>
      </c>
      <c r="J201" s="214">
        <f>VLOOKUP(TBLBAHANKELUAR[[#This Row],[NAMA BAHAN]],TBLREKAPBAHAN[[NAMA BAHAN]:[MODAL SATUAN]],4,FALSE)</f>
        <v>50</v>
      </c>
      <c r="K201" s="215">
        <f>VLOOKUP(TBLBAHANKELUAR[[#This Row],[KODE BAHAN]],[4]!TBLKEBABSOSIZ[#Data],11,FALSE)</f>
        <v>10</v>
      </c>
      <c r="L201" s="215">
        <f>SUMIF(TBLPRODUKKELUARJULI[NAMA PRODUK],TBLBAHANKELUAR[[#This Row],[NAMA PRODUK]],TBLPRODUKKELUARJULI[JUMLAH TERJUAL])</f>
        <v>1</v>
      </c>
      <c r="M201" s="215">
        <f>TBLBAHANKELUAR[[#This Row],[KEB. BAHAN]]*TBLBAHANKELUAR[[#This Row],[JUMLAH KEB. BAHAN KELUAR]]</f>
        <v>10</v>
      </c>
      <c r="N201" s="214">
        <f>TBLBAHANKELUAR[[#This Row],[MODAL SATUAN]]*TBLBAHANKELUAR[[#This Row],[TOTAL BAHAN KELUAR]]</f>
        <v>500</v>
      </c>
    </row>
    <row r="202" spans="1:14" x14ac:dyDescent="0.3">
      <c r="A202" s="103">
        <v>2026</v>
      </c>
      <c r="B202" s="211" t="s">
        <v>590</v>
      </c>
      <c r="C202" s="211"/>
      <c r="D202" s="211"/>
      <c r="E202" s="128" t="s">
        <v>384</v>
      </c>
      <c r="F202" s="212">
        <v>5</v>
      </c>
      <c r="G202" s="213" t="str">
        <f>VLOOKUP(TBLBAHANKELUAR[[#This Row],[KODE BAHAN]],[4]!TBLKEBABSOSIZ[#Data],2,FALSE)</f>
        <v>SAOS SPAGHETI GRAM</v>
      </c>
      <c r="H202" s="214">
        <f>VLOOKUP(TBLBAHANKELUAR[[#This Row],[NAMA BAHAN]],TBLREKAPBAHAN[[NAMA BAHAN]:[MODAL SATUAN]],2,FALSE)</f>
        <v>12000</v>
      </c>
      <c r="I202" s="214">
        <f>VLOOKUP(TBLBAHANKELUAR[[#This Row],[NAMA BAHAN]],TBLREKAPBAHAN[[NAMA BAHAN]:[MODAL SATUAN]],3,FALSE)</f>
        <v>250</v>
      </c>
      <c r="J202" s="214">
        <f>VLOOKUP(TBLBAHANKELUAR[[#This Row],[NAMA BAHAN]],TBLREKAPBAHAN[[NAMA BAHAN]:[MODAL SATUAN]],4,FALSE)</f>
        <v>48</v>
      </c>
      <c r="K202" s="215">
        <f>VLOOKUP(TBLBAHANKELUAR[[#This Row],[KODE BAHAN]],[4]!TBLKEBABSOSIZ[#Data],11,FALSE)</f>
        <v>5</v>
      </c>
      <c r="L202" s="215">
        <f>SUMIF(TBLPRODUKKELUARJULI[NAMA PRODUK],TBLBAHANKELUAR[[#This Row],[NAMA PRODUK]],TBLPRODUKKELUARJULI[JUMLAH TERJUAL])</f>
        <v>1</v>
      </c>
      <c r="M202" s="215">
        <f>TBLBAHANKELUAR[[#This Row],[KEB. BAHAN]]*TBLBAHANKELUAR[[#This Row],[JUMLAH KEB. BAHAN KELUAR]]</f>
        <v>5</v>
      </c>
      <c r="N202" s="214">
        <f>TBLBAHANKELUAR[[#This Row],[MODAL SATUAN]]*TBLBAHANKELUAR[[#This Row],[TOTAL BAHAN KELUAR]]</f>
        <v>240</v>
      </c>
    </row>
    <row r="203" spans="1:14" x14ac:dyDescent="0.3">
      <c r="A203" s="103">
        <v>2026</v>
      </c>
      <c r="B203" s="211" t="s">
        <v>590</v>
      </c>
      <c r="C203" s="211"/>
      <c r="D203" s="211"/>
      <c r="E203" s="128" t="s">
        <v>384</v>
      </c>
      <c r="F203" s="212">
        <v>6</v>
      </c>
      <c r="G203" s="213" t="str">
        <f>VLOOKUP(TBLBAHANKELUAR[[#This Row],[KODE BAHAN]],[4]!TBLKEBABSOSIZ[#Data],2,FALSE)</f>
        <v>SOSIZ BATANG</v>
      </c>
      <c r="H203" s="214">
        <f>VLOOKUP(TBLBAHANKELUAR[[#This Row],[NAMA BAHAN]],TBLREKAPBAHAN[[NAMA BAHAN]:[MODAL SATUAN]],2,FALSE)</f>
        <v>35000</v>
      </c>
      <c r="I203" s="214">
        <f>VLOOKUP(TBLBAHANKELUAR[[#This Row],[NAMA BAHAN]],TBLREKAPBAHAN[[NAMA BAHAN]:[MODAL SATUAN]],3,FALSE)</f>
        <v>38</v>
      </c>
      <c r="J203" s="214">
        <f>VLOOKUP(TBLBAHANKELUAR[[#This Row],[NAMA BAHAN]],TBLREKAPBAHAN[[NAMA BAHAN]:[MODAL SATUAN]],4,FALSE)</f>
        <v>921.0526315789474</v>
      </c>
      <c r="K203" s="215">
        <f>VLOOKUP(TBLBAHANKELUAR[[#This Row],[KODE BAHAN]],[4]!TBLKEBABSOSIZ[#Data],11,FALSE)</f>
        <v>3</v>
      </c>
      <c r="L203" s="215">
        <f>SUMIF(TBLPRODUKKELUARJULI[NAMA PRODUK],TBLBAHANKELUAR[[#This Row],[NAMA PRODUK]],TBLPRODUKKELUARJULI[JUMLAH TERJUAL])</f>
        <v>1</v>
      </c>
      <c r="M203" s="215">
        <f>TBLBAHANKELUAR[[#This Row],[KEB. BAHAN]]*TBLBAHANKELUAR[[#This Row],[JUMLAH KEB. BAHAN KELUAR]]</f>
        <v>3</v>
      </c>
      <c r="N203" s="214">
        <f>TBLBAHANKELUAR[[#This Row],[MODAL SATUAN]]*TBLBAHANKELUAR[[#This Row],[TOTAL BAHAN KELUAR]]</f>
        <v>2763.1578947368421</v>
      </c>
    </row>
    <row r="204" spans="1:14" x14ac:dyDescent="0.3">
      <c r="A204" s="103">
        <v>2026</v>
      </c>
      <c r="B204" s="211" t="s">
        <v>590</v>
      </c>
      <c r="C204" s="211"/>
      <c r="D204" s="211"/>
      <c r="E204" s="128" t="s">
        <v>384</v>
      </c>
      <c r="F204" s="212">
        <v>7</v>
      </c>
      <c r="G204" s="213" t="str">
        <f>VLOOKUP(TBLBAHANKELUAR[[#This Row],[KODE BAHAN]],[4]!TBLKEBABSOSIZ[#Data],2,FALSE)</f>
        <v>KULIT KEBAB 17/18 CM</v>
      </c>
      <c r="H204" s="214">
        <f>VLOOKUP(TBLBAHANKELUAR[[#This Row],[NAMA BAHAN]],TBLREKAPBAHAN[[NAMA BAHAN]:[MODAL SATUAN]],2,FALSE)</f>
        <v>27000</v>
      </c>
      <c r="I204" s="214">
        <f>VLOOKUP(TBLBAHANKELUAR[[#This Row],[NAMA BAHAN]],TBLREKAPBAHAN[[NAMA BAHAN]:[MODAL SATUAN]],3,FALSE)</f>
        <v>20</v>
      </c>
      <c r="J204" s="214">
        <f>VLOOKUP(TBLBAHANKELUAR[[#This Row],[NAMA BAHAN]],TBLREKAPBAHAN[[NAMA BAHAN]:[MODAL SATUAN]],4,FALSE)</f>
        <v>1350</v>
      </c>
      <c r="K204" s="215">
        <f>VLOOKUP(TBLBAHANKELUAR[[#This Row],[KODE BAHAN]],[4]!TBLKEBABSOSIZ[#Data],11,FALSE)</f>
        <v>1</v>
      </c>
      <c r="L204" s="215">
        <f>SUMIF(TBLPRODUKKELUARJULI[NAMA PRODUK],TBLBAHANKELUAR[[#This Row],[NAMA PRODUK]],TBLPRODUKKELUARJULI[JUMLAH TERJUAL])</f>
        <v>1</v>
      </c>
      <c r="M204" s="215">
        <f>TBLBAHANKELUAR[[#This Row],[KEB. BAHAN]]*TBLBAHANKELUAR[[#This Row],[JUMLAH KEB. BAHAN KELUAR]]</f>
        <v>1</v>
      </c>
      <c r="N204" s="214">
        <f>TBLBAHANKELUAR[[#This Row],[MODAL SATUAN]]*TBLBAHANKELUAR[[#This Row],[TOTAL BAHAN KELUAR]]</f>
        <v>1350</v>
      </c>
    </row>
    <row r="205" spans="1:14" x14ac:dyDescent="0.3">
      <c r="A205" s="103">
        <v>2026</v>
      </c>
      <c r="B205" s="211" t="s">
        <v>590</v>
      </c>
      <c r="C205" s="211"/>
      <c r="D205" s="211"/>
      <c r="E205" s="128" t="s">
        <v>384</v>
      </c>
      <c r="F205" s="212">
        <v>8</v>
      </c>
      <c r="G205" s="213" t="str">
        <f>VLOOKUP(TBLBAHANKELUAR[[#This Row],[KODE BAHAN]],[4]!TBLKEBABSOSIZ[#Data],2,FALSE)</f>
        <v>SLADA</v>
      </c>
      <c r="H205" s="214">
        <f>VLOOKUP(TBLBAHANKELUAR[[#This Row],[NAMA BAHAN]],TBLREKAPBAHAN[[NAMA BAHAN]:[MODAL SATUAN]],2,FALSE)</f>
        <v>60000</v>
      </c>
      <c r="I205" s="214">
        <f>VLOOKUP(TBLBAHANKELUAR[[#This Row],[NAMA BAHAN]],TBLREKAPBAHAN[[NAMA BAHAN]:[MODAL SATUAN]],3,FALSE)</f>
        <v>50</v>
      </c>
      <c r="J205" s="214">
        <f>VLOOKUP(TBLBAHANKELUAR[[#This Row],[NAMA BAHAN]],TBLREKAPBAHAN[[NAMA BAHAN]:[MODAL SATUAN]],4,FALSE)</f>
        <v>1200</v>
      </c>
      <c r="K205" s="215">
        <f>VLOOKUP(TBLBAHANKELUAR[[#This Row],[KODE BAHAN]],[4]!TBLKEBABSOSIZ[#Data],11,FALSE)</f>
        <v>0</v>
      </c>
      <c r="L205" s="215">
        <f>SUMIF(TBLPRODUKKELUARJULI[NAMA PRODUK],TBLBAHANKELUAR[[#This Row],[NAMA PRODUK]],TBLPRODUKKELUARJULI[JUMLAH TERJUAL])</f>
        <v>1</v>
      </c>
      <c r="M205" s="215">
        <f>TBLBAHANKELUAR[[#This Row],[KEB. BAHAN]]*TBLBAHANKELUAR[[#This Row],[JUMLAH KEB. BAHAN KELUAR]]</f>
        <v>0</v>
      </c>
      <c r="N205" s="214">
        <f>TBLBAHANKELUAR[[#This Row],[MODAL SATUAN]]*TBLBAHANKELUAR[[#This Row],[TOTAL BAHAN KELUAR]]</f>
        <v>0</v>
      </c>
    </row>
    <row r="206" spans="1:14" x14ac:dyDescent="0.3">
      <c r="A206" s="103">
        <v>2026</v>
      </c>
      <c r="B206" s="211" t="s">
        <v>590</v>
      </c>
      <c r="C206" s="211"/>
      <c r="D206" s="211"/>
      <c r="E206" s="128" t="s">
        <v>384</v>
      </c>
      <c r="F206" s="212">
        <v>9</v>
      </c>
      <c r="G206" s="213" t="str">
        <f>VLOOKUP(TBLBAHANKELUAR[[#This Row],[KODE BAHAN]],[4]!TBLKEBABSOSIZ[#Data],2,FALSE)</f>
        <v>MENTEGA</v>
      </c>
      <c r="H206" s="214">
        <f>VLOOKUP(TBLBAHANKELUAR[[#This Row],[NAMA BAHAN]],TBLREKAPBAHAN[[NAMA BAHAN]:[MODAL SATUAN]],2,FALSE)</f>
        <v>35000</v>
      </c>
      <c r="I206" s="214">
        <f>VLOOKUP(TBLBAHANKELUAR[[#This Row],[NAMA BAHAN]],TBLREKAPBAHAN[[NAMA BAHAN]:[MODAL SATUAN]],3,FALSE)</f>
        <v>1000</v>
      </c>
      <c r="J206" s="214">
        <f>VLOOKUP(TBLBAHANKELUAR[[#This Row],[NAMA BAHAN]],TBLREKAPBAHAN[[NAMA BAHAN]:[MODAL SATUAN]],4,FALSE)</f>
        <v>35</v>
      </c>
      <c r="K206" s="215">
        <f>VLOOKUP(TBLBAHANKELUAR[[#This Row],[KODE BAHAN]],[4]!TBLKEBABSOSIZ[#Data],11,FALSE)</f>
        <v>20</v>
      </c>
      <c r="L206" s="215">
        <f>SUMIF(TBLPRODUKKELUARJULI[NAMA PRODUK],TBLBAHANKELUAR[[#This Row],[NAMA PRODUK]],TBLPRODUKKELUARJULI[JUMLAH TERJUAL])</f>
        <v>1</v>
      </c>
      <c r="M206" s="215">
        <f>TBLBAHANKELUAR[[#This Row],[KEB. BAHAN]]*TBLBAHANKELUAR[[#This Row],[JUMLAH KEB. BAHAN KELUAR]]</f>
        <v>20</v>
      </c>
      <c r="N206" s="214">
        <f>TBLBAHANKELUAR[[#This Row],[MODAL SATUAN]]*TBLBAHANKELUAR[[#This Row],[TOTAL BAHAN KELUAR]]</f>
        <v>700</v>
      </c>
    </row>
    <row r="207" spans="1:14" x14ac:dyDescent="0.3">
      <c r="A207" s="103">
        <v>2026</v>
      </c>
      <c r="B207" s="211" t="s">
        <v>590</v>
      </c>
      <c r="C207" s="211"/>
      <c r="D207" s="211"/>
      <c r="E207" s="128" t="s">
        <v>384</v>
      </c>
      <c r="F207" s="212">
        <v>10</v>
      </c>
      <c r="G207" s="213" t="str">
        <f>VLOOKUP(TBLBAHANKELUAR[[#This Row],[KODE BAHAN]],[4]!TBLKEBABSOSIZ[#Data],2,FALSE)</f>
        <v>GAS ELPIJI</v>
      </c>
      <c r="H207" s="214">
        <f>VLOOKUP(TBLBAHANKELUAR[[#This Row],[NAMA BAHAN]],TBLREKAPBAHAN[[NAMA BAHAN]:[MODAL SATUAN]],2,FALSE)</f>
        <v>23000</v>
      </c>
      <c r="I207" s="214">
        <f>VLOOKUP(TBLBAHANKELUAR[[#This Row],[NAMA BAHAN]],TBLREKAPBAHAN[[NAMA BAHAN]:[MODAL SATUAN]],3,FALSE)</f>
        <v>3000</v>
      </c>
      <c r="J207" s="214">
        <f>VLOOKUP(TBLBAHANKELUAR[[#This Row],[NAMA BAHAN]],TBLREKAPBAHAN[[NAMA BAHAN]:[MODAL SATUAN]],4,FALSE)</f>
        <v>7.666666666666667</v>
      </c>
      <c r="K207" s="215">
        <f>VLOOKUP(TBLBAHANKELUAR[[#This Row],[KODE BAHAN]],[4]!TBLKEBABSOSIZ[#Data],11,FALSE)</f>
        <v>20</v>
      </c>
      <c r="L207" s="215">
        <f>SUMIF(TBLPRODUKKELUARJULI[NAMA PRODUK],TBLBAHANKELUAR[[#This Row],[NAMA PRODUK]],TBLPRODUKKELUARJULI[JUMLAH TERJUAL])</f>
        <v>1</v>
      </c>
      <c r="M207" s="215">
        <f>TBLBAHANKELUAR[[#This Row],[KEB. BAHAN]]*TBLBAHANKELUAR[[#This Row],[JUMLAH KEB. BAHAN KELUAR]]</f>
        <v>20</v>
      </c>
      <c r="N207" s="214">
        <f>TBLBAHANKELUAR[[#This Row],[MODAL SATUAN]]*TBLBAHANKELUAR[[#This Row],[TOTAL BAHAN KELUAR]]</f>
        <v>153.33333333333334</v>
      </c>
    </row>
    <row r="208" spans="1:14" x14ac:dyDescent="0.3">
      <c r="A208" s="103">
        <v>2026</v>
      </c>
      <c r="B208" s="211" t="s">
        <v>590</v>
      </c>
      <c r="C208" s="211"/>
      <c r="D208" s="211"/>
      <c r="E208" s="128" t="s">
        <v>384</v>
      </c>
      <c r="F208" s="212">
        <v>11</v>
      </c>
      <c r="G208" s="213" t="str">
        <f>VLOOKUP(TBLBAHANKELUAR[[#This Row],[KODE BAHAN]],[4]!TBLKEBABSOSIZ[#Data],2,FALSE)</f>
        <v>KERTAS KEBAB</v>
      </c>
      <c r="H208" s="214">
        <f>VLOOKUP(TBLBAHANKELUAR[[#This Row],[NAMA BAHAN]],TBLREKAPBAHAN[[NAMA BAHAN]:[MODAL SATUAN]],2,FALSE)</f>
        <v>25000</v>
      </c>
      <c r="I208" s="214">
        <f>VLOOKUP(TBLBAHANKELUAR[[#This Row],[NAMA BAHAN]],TBLREKAPBAHAN[[NAMA BAHAN]:[MODAL SATUAN]],3,FALSE)</f>
        <v>100</v>
      </c>
      <c r="J208" s="214">
        <f>VLOOKUP(TBLBAHANKELUAR[[#This Row],[NAMA BAHAN]],TBLREKAPBAHAN[[NAMA BAHAN]:[MODAL SATUAN]],4,FALSE)</f>
        <v>250</v>
      </c>
      <c r="K208" s="215">
        <f>VLOOKUP(TBLBAHANKELUAR[[#This Row],[KODE BAHAN]],[4]!TBLKEBABSOSIZ[#Data],11,FALSE)</f>
        <v>1</v>
      </c>
      <c r="L208" s="215">
        <f>SUMIF(TBLPRODUKKELUARJULI[NAMA PRODUK],TBLBAHANKELUAR[[#This Row],[NAMA PRODUK]],TBLPRODUKKELUARJULI[JUMLAH TERJUAL])</f>
        <v>1</v>
      </c>
      <c r="M208" s="215">
        <f>TBLBAHANKELUAR[[#This Row],[KEB. BAHAN]]*TBLBAHANKELUAR[[#This Row],[JUMLAH KEB. BAHAN KELUAR]]</f>
        <v>1</v>
      </c>
      <c r="N208" s="214">
        <f>TBLBAHANKELUAR[[#This Row],[MODAL SATUAN]]*TBLBAHANKELUAR[[#This Row],[TOTAL BAHAN KELUAR]]</f>
        <v>250</v>
      </c>
    </row>
    <row r="209" spans="1:14" x14ac:dyDescent="0.3">
      <c r="A209" s="103">
        <v>2026</v>
      </c>
      <c r="B209" s="211" t="s">
        <v>590</v>
      </c>
      <c r="C209" s="211"/>
      <c r="D209" s="211"/>
      <c r="E209" s="128" t="s">
        <v>384</v>
      </c>
      <c r="F209" s="212">
        <v>12</v>
      </c>
      <c r="G209" s="213" t="str">
        <f>VLOOKUP(TBLBAHANKELUAR[[#This Row],[KODE BAHAN]],[4]!TBLKEBABSOSIZ[#Data],2,FALSE)</f>
        <v>KRESEK 10 CM</v>
      </c>
      <c r="H209" s="214">
        <f>VLOOKUP(TBLBAHANKELUAR[[#This Row],[NAMA BAHAN]],TBLREKAPBAHAN[[NAMA BAHAN]:[MODAL SATUAN]],2,FALSE)</f>
        <v>5500</v>
      </c>
      <c r="I209" s="214">
        <f>VLOOKUP(TBLBAHANKELUAR[[#This Row],[NAMA BAHAN]],TBLREKAPBAHAN[[NAMA BAHAN]:[MODAL SATUAN]],3,FALSE)</f>
        <v>100</v>
      </c>
      <c r="J209" s="214">
        <f>VLOOKUP(TBLBAHANKELUAR[[#This Row],[NAMA BAHAN]],TBLREKAPBAHAN[[NAMA BAHAN]:[MODAL SATUAN]],4,FALSE)</f>
        <v>55</v>
      </c>
      <c r="K209" s="215">
        <f>VLOOKUP(TBLBAHANKELUAR[[#This Row],[KODE BAHAN]],[4]!TBLKEBABSOSIZ[#Data],11,FALSE)</f>
        <v>1</v>
      </c>
      <c r="L209" s="215">
        <f>SUMIF(TBLPRODUKKELUARJULI[NAMA PRODUK],TBLBAHANKELUAR[[#This Row],[NAMA PRODUK]],TBLPRODUKKELUARJULI[JUMLAH TERJUAL])</f>
        <v>1</v>
      </c>
      <c r="M209" s="215">
        <f>TBLBAHANKELUAR[[#This Row],[KEB. BAHAN]]*TBLBAHANKELUAR[[#This Row],[JUMLAH KEB. BAHAN KELUAR]]</f>
        <v>1</v>
      </c>
      <c r="N209" s="214">
        <f>TBLBAHANKELUAR[[#This Row],[MODAL SATUAN]]*TBLBAHANKELUAR[[#This Row],[TOTAL BAHAN KELUAR]]</f>
        <v>55</v>
      </c>
    </row>
    <row r="210" spans="1:14" x14ac:dyDescent="0.3">
      <c r="A210" s="103">
        <v>2026</v>
      </c>
      <c r="B210" s="211" t="s">
        <v>590</v>
      </c>
      <c r="C210" s="211"/>
      <c r="D210" s="211"/>
      <c r="E210" s="128" t="s">
        <v>382</v>
      </c>
      <c r="F210" s="212">
        <v>1</v>
      </c>
      <c r="G210" s="213" t="str">
        <f>VLOOKUP(TBLBAHANKELUAR[[#This Row],[KODE BAHAN]],[4]!TBLKEBABSOSIZ[#Data],2,FALSE)</f>
        <v>SAOS TOMAT GRAM</v>
      </c>
      <c r="H210" s="214">
        <f>VLOOKUP(TBLBAHANKELUAR[[#This Row],[NAMA BAHAN]],TBLREKAPBAHAN[[NAMA BAHAN]:[MODAL SATUAN]],2,FALSE)</f>
        <v>20000</v>
      </c>
      <c r="I210" s="214">
        <f>VLOOKUP(TBLBAHANKELUAR[[#This Row],[NAMA BAHAN]],TBLREKAPBAHAN[[NAMA BAHAN]:[MODAL SATUAN]],3,FALSE)</f>
        <v>1000</v>
      </c>
      <c r="J210" s="214">
        <f>VLOOKUP(TBLBAHANKELUAR[[#This Row],[NAMA BAHAN]],TBLREKAPBAHAN[[NAMA BAHAN]:[MODAL SATUAN]],4,FALSE)</f>
        <v>20</v>
      </c>
      <c r="K210" s="215">
        <f>VLOOKUP(TBLBAHANKELUAR[[#This Row],[KODE BAHAN]],[4]!TBLKEBABSOSIZ[#Data],9,FALSE)</f>
        <v>0</v>
      </c>
      <c r="L210" s="215">
        <f>SUMIF(TBLPRODUKKELUARJULI[NAMA PRODUK],TBLBAHANKELUAR[[#This Row],[NAMA PRODUK]],TBLPRODUKKELUARJULI[JUMLAH TERJUAL])</f>
        <v>1</v>
      </c>
      <c r="M210" s="215">
        <f>TBLBAHANKELUAR[[#This Row],[KEB. BAHAN]]*TBLBAHANKELUAR[[#This Row],[JUMLAH KEB. BAHAN KELUAR]]</f>
        <v>0</v>
      </c>
      <c r="N210" s="214">
        <f>TBLBAHANKELUAR[[#This Row],[MODAL SATUAN]]*TBLBAHANKELUAR[[#This Row],[TOTAL BAHAN KELUAR]]</f>
        <v>0</v>
      </c>
    </row>
    <row r="211" spans="1:14" x14ac:dyDescent="0.3">
      <c r="A211" s="103">
        <v>2026</v>
      </c>
      <c r="B211" s="211" t="s">
        <v>590</v>
      </c>
      <c r="C211" s="211"/>
      <c r="D211" s="211"/>
      <c r="E211" s="128" t="s">
        <v>382</v>
      </c>
      <c r="F211" s="212">
        <v>2</v>
      </c>
      <c r="G211" s="213" t="str">
        <f>VLOOKUP(TBLBAHANKELUAR[[#This Row],[KODE BAHAN]],[4]!TBLKEBABSOSIZ[#Data],2,FALSE)</f>
        <v>SAOS SAMBAL GRAM</v>
      </c>
      <c r="H211" s="214">
        <f>VLOOKUP(TBLBAHANKELUAR[[#This Row],[NAMA BAHAN]],TBLREKAPBAHAN[[NAMA BAHAN]:[MODAL SATUAN]],2,FALSE)</f>
        <v>18000</v>
      </c>
      <c r="I211" s="214">
        <f>VLOOKUP(TBLBAHANKELUAR[[#This Row],[NAMA BAHAN]],TBLREKAPBAHAN[[NAMA BAHAN]:[MODAL SATUAN]],3,FALSE)</f>
        <v>1000</v>
      </c>
      <c r="J211" s="214">
        <f>VLOOKUP(TBLBAHANKELUAR[[#This Row],[NAMA BAHAN]],TBLREKAPBAHAN[[NAMA BAHAN]:[MODAL SATUAN]],4,FALSE)</f>
        <v>18</v>
      </c>
      <c r="K211" s="215">
        <f>VLOOKUP(TBLBAHANKELUAR[[#This Row],[KODE BAHAN]],[4]!TBLKEBABSOSIZ[#Data],9,FALSE)</f>
        <v>20</v>
      </c>
      <c r="L211" s="215">
        <f>SUMIF(TBLPRODUKKELUARJULI[NAMA PRODUK],TBLBAHANKELUAR[[#This Row],[NAMA PRODUK]],TBLPRODUKKELUARJULI[JUMLAH TERJUAL])</f>
        <v>1</v>
      </c>
      <c r="M211" s="215">
        <f>TBLBAHANKELUAR[[#This Row],[KEB. BAHAN]]*TBLBAHANKELUAR[[#This Row],[JUMLAH KEB. BAHAN KELUAR]]</f>
        <v>20</v>
      </c>
      <c r="N211" s="214">
        <f>TBLBAHANKELUAR[[#This Row],[MODAL SATUAN]]*TBLBAHANKELUAR[[#This Row],[TOTAL BAHAN KELUAR]]</f>
        <v>360</v>
      </c>
    </row>
    <row r="212" spans="1:14" x14ac:dyDescent="0.3">
      <c r="A212" s="103">
        <v>2026</v>
      </c>
      <c r="B212" s="211" t="s">
        <v>590</v>
      </c>
      <c r="C212" s="211"/>
      <c r="D212" s="211"/>
      <c r="E212" s="128" t="s">
        <v>382</v>
      </c>
      <c r="F212" s="212">
        <v>3</v>
      </c>
      <c r="G212" s="213" t="str">
        <f>VLOOKUP(TBLBAHANKELUAR[[#This Row],[KODE BAHAN]],[4]!TBLKEBABSOSIZ[#Data],2,FALSE)</f>
        <v>SAOS BBQ GRAM</v>
      </c>
      <c r="H212" s="214">
        <f>VLOOKUP(TBLBAHANKELUAR[[#This Row],[NAMA BAHAN]],TBLREKAPBAHAN[[NAMA BAHAN]:[MODAL SATUAN]],2,FALSE)</f>
        <v>12000</v>
      </c>
      <c r="I212" s="214">
        <f>VLOOKUP(TBLBAHANKELUAR[[#This Row],[NAMA BAHAN]],TBLREKAPBAHAN[[NAMA BAHAN]:[MODAL SATUAN]],3,FALSE)</f>
        <v>250</v>
      </c>
      <c r="J212" s="214">
        <f>VLOOKUP(TBLBAHANKELUAR[[#This Row],[NAMA BAHAN]],TBLREKAPBAHAN[[NAMA BAHAN]:[MODAL SATUAN]],4,FALSE)</f>
        <v>48</v>
      </c>
      <c r="K212" s="215">
        <f>VLOOKUP(TBLBAHANKELUAR[[#This Row],[KODE BAHAN]],[4]!TBLKEBABSOSIZ[#Data],9,FALSE)</f>
        <v>5</v>
      </c>
      <c r="L212" s="215">
        <f>SUMIF(TBLPRODUKKELUARJULI[NAMA PRODUK],TBLBAHANKELUAR[[#This Row],[NAMA PRODUK]],TBLPRODUKKELUARJULI[JUMLAH TERJUAL])</f>
        <v>1</v>
      </c>
      <c r="M212" s="215">
        <f>TBLBAHANKELUAR[[#This Row],[KEB. BAHAN]]*TBLBAHANKELUAR[[#This Row],[JUMLAH KEB. BAHAN KELUAR]]</f>
        <v>5</v>
      </c>
      <c r="N212" s="214">
        <f>TBLBAHANKELUAR[[#This Row],[MODAL SATUAN]]*TBLBAHANKELUAR[[#This Row],[TOTAL BAHAN KELUAR]]</f>
        <v>240</v>
      </c>
    </row>
    <row r="213" spans="1:14" x14ac:dyDescent="0.3">
      <c r="A213" s="103">
        <v>2026</v>
      </c>
      <c r="B213" s="211" t="s">
        <v>590</v>
      </c>
      <c r="C213" s="211"/>
      <c r="D213" s="211"/>
      <c r="E213" s="128" t="s">
        <v>382</v>
      </c>
      <c r="F213" s="212">
        <v>4</v>
      </c>
      <c r="G213" s="213" t="str">
        <f>VLOOKUP(TBLBAHANKELUAR[[#This Row],[KODE BAHAN]],[4]!TBLKEBABSOSIZ[#Data],2,FALSE)</f>
        <v>MAYONAIS GRAM</v>
      </c>
      <c r="H213" s="214">
        <f>VLOOKUP(TBLBAHANKELUAR[[#This Row],[NAMA BAHAN]],TBLREKAPBAHAN[[NAMA BAHAN]:[MODAL SATUAN]],2,FALSE)</f>
        <v>50000</v>
      </c>
      <c r="I213" s="214">
        <f>VLOOKUP(TBLBAHANKELUAR[[#This Row],[NAMA BAHAN]],TBLREKAPBAHAN[[NAMA BAHAN]:[MODAL SATUAN]],3,FALSE)</f>
        <v>1000</v>
      </c>
      <c r="J213" s="214">
        <f>VLOOKUP(TBLBAHANKELUAR[[#This Row],[NAMA BAHAN]],TBLREKAPBAHAN[[NAMA BAHAN]:[MODAL SATUAN]],4,FALSE)</f>
        <v>50</v>
      </c>
      <c r="K213" s="215">
        <f>VLOOKUP(TBLBAHANKELUAR[[#This Row],[KODE BAHAN]],[4]!TBLKEBABSOSIZ[#Data],9,FALSE)</f>
        <v>7</v>
      </c>
      <c r="L213" s="215">
        <f>SUMIF(TBLPRODUKKELUARJULI[NAMA PRODUK],TBLBAHANKELUAR[[#This Row],[NAMA PRODUK]],TBLPRODUKKELUARJULI[JUMLAH TERJUAL])</f>
        <v>1</v>
      </c>
      <c r="M213" s="215">
        <f>TBLBAHANKELUAR[[#This Row],[KEB. BAHAN]]*TBLBAHANKELUAR[[#This Row],[JUMLAH KEB. BAHAN KELUAR]]</f>
        <v>7</v>
      </c>
      <c r="N213" s="214">
        <f>TBLBAHANKELUAR[[#This Row],[MODAL SATUAN]]*TBLBAHANKELUAR[[#This Row],[TOTAL BAHAN KELUAR]]</f>
        <v>350</v>
      </c>
    </row>
    <row r="214" spans="1:14" x14ac:dyDescent="0.3">
      <c r="A214" s="103">
        <v>2026</v>
      </c>
      <c r="B214" s="211" t="s">
        <v>590</v>
      </c>
      <c r="C214" s="211"/>
      <c r="D214" s="211"/>
      <c r="E214" s="128" t="s">
        <v>382</v>
      </c>
      <c r="F214" s="212">
        <v>5</v>
      </c>
      <c r="G214" s="213" t="str">
        <f>VLOOKUP(TBLBAHANKELUAR[[#This Row],[KODE BAHAN]],[4]!TBLKEBABSOSIZ[#Data],2,FALSE)</f>
        <v>SAOS SPAGHETI GRAM</v>
      </c>
      <c r="H214" s="214">
        <f>VLOOKUP(TBLBAHANKELUAR[[#This Row],[NAMA BAHAN]],TBLREKAPBAHAN[[NAMA BAHAN]:[MODAL SATUAN]],2,FALSE)</f>
        <v>12000</v>
      </c>
      <c r="I214" s="214">
        <f>VLOOKUP(TBLBAHANKELUAR[[#This Row],[NAMA BAHAN]],TBLREKAPBAHAN[[NAMA BAHAN]:[MODAL SATUAN]],3,FALSE)</f>
        <v>250</v>
      </c>
      <c r="J214" s="214">
        <f>VLOOKUP(TBLBAHANKELUAR[[#This Row],[NAMA BAHAN]],TBLREKAPBAHAN[[NAMA BAHAN]:[MODAL SATUAN]],4,FALSE)</f>
        <v>48</v>
      </c>
      <c r="K214" s="215">
        <f>VLOOKUP(TBLBAHANKELUAR[[#This Row],[KODE BAHAN]],[4]!TBLKEBABSOSIZ[#Data],9,FALSE)</f>
        <v>5</v>
      </c>
      <c r="L214" s="215">
        <f>SUMIF(TBLPRODUKKELUARJULI[NAMA PRODUK],TBLBAHANKELUAR[[#This Row],[NAMA PRODUK]],TBLPRODUKKELUARJULI[JUMLAH TERJUAL])</f>
        <v>1</v>
      </c>
      <c r="M214" s="215">
        <f>TBLBAHANKELUAR[[#This Row],[KEB. BAHAN]]*TBLBAHANKELUAR[[#This Row],[JUMLAH KEB. BAHAN KELUAR]]</f>
        <v>5</v>
      </c>
      <c r="N214" s="214">
        <f>TBLBAHANKELUAR[[#This Row],[MODAL SATUAN]]*TBLBAHANKELUAR[[#This Row],[TOTAL BAHAN KELUAR]]</f>
        <v>240</v>
      </c>
    </row>
    <row r="215" spans="1:14" x14ac:dyDescent="0.3">
      <c r="A215" s="103">
        <v>2026</v>
      </c>
      <c r="B215" s="211" t="s">
        <v>590</v>
      </c>
      <c r="C215" s="211"/>
      <c r="D215" s="211"/>
      <c r="E215" s="128" t="s">
        <v>382</v>
      </c>
      <c r="F215" s="212">
        <v>6</v>
      </c>
      <c r="G215" s="213" t="str">
        <f>VLOOKUP(TBLBAHANKELUAR[[#This Row],[KODE BAHAN]],[4]!TBLKEBABSOSIZ[#Data],2,FALSE)</f>
        <v>SOSIZ BATANG</v>
      </c>
      <c r="H215" s="214">
        <f>VLOOKUP(TBLBAHANKELUAR[[#This Row],[NAMA BAHAN]],TBLREKAPBAHAN[[NAMA BAHAN]:[MODAL SATUAN]],2,FALSE)</f>
        <v>35000</v>
      </c>
      <c r="I215" s="214">
        <f>VLOOKUP(TBLBAHANKELUAR[[#This Row],[NAMA BAHAN]],TBLREKAPBAHAN[[NAMA BAHAN]:[MODAL SATUAN]],3,FALSE)</f>
        <v>38</v>
      </c>
      <c r="J215" s="214">
        <f>VLOOKUP(TBLBAHANKELUAR[[#This Row],[NAMA BAHAN]],TBLREKAPBAHAN[[NAMA BAHAN]:[MODAL SATUAN]],4,FALSE)</f>
        <v>921.0526315789474</v>
      </c>
      <c r="K215" s="215">
        <f>VLOOKUP(TBLBAHANKELUAR[[#This Row],[KODE BAHAN]],[4]!TBLKEBABSOSIZ[#Data],9,FALSE)</f>
        <v>2</v>
      </c>
      <c r="L215" s="215">
        <f>SUMIF(TBLPRODUKKELUARJULI[NAMA PRODUK],TBLBAHANKELUAR[[#This Row],[NAMA PRODUK]],TBLPRODUKKELUARJULI[JUMLAH TERJUAL])</f>
        <v>1</v>
      </c>
      <c r="M215" s="215">
        <f>TBLBAHANKELUAR[[#This Row],[KEB. BAHAN]]*TBLBAHANKELUAR[[#This Row],[JUMLAH KEB. BAHAN KELUAR]]</f>
        <v>2</v>
      </c>
      <c r="N215" s="214">
        <f>TBLBAHANKELUAR[[#This Row],[MODAL SATUAN]]*TBLBAHANKELUAR[[#This Row],[TOTAL BAHAN KELUAR]]</f>
        <v>1842.1052631578948</v>
      </c>
    </row>
    <row r="216" spans="1:14" x14ac:dyDescent="0.3">
      <c r="A216" s="103">
        <v>2026</v>
      </c>
      <c r="B216" s="211" t="s">
        <v>590</v>
      </c>
      <c r="C216" s="211"/>
      <c r="D216" s="211"/>
      <c r="E216" s="128" t="s">
        <v>382</v>
      </c>
      <c r="F216" s="212">
        <v>7</v>
      </c>
      <c r="G216" s="213" t="str">
        <f>VLOOKUP(TBLBAHANKELUAR[[#This Row],[KODE BAHAN]],[4]!TBLKEBABSOSIZ[#Data],2,FALSE)</f>
        <v>KULIT KEBAB 17/18 CM</v>
      </c>
      <c r="H216" s="214">
        <f>VLOOKUP(TBLBAHANKELUAR[[#This Row],[NAMA BAHAN]],TBLREKAPBAHAN[[NAMA BAHAN]:[MODAL SATUAN]],2,FALSE)</f>
        <v>27000</v>
      </c>
      <c r="I216" s="214">
        <f>VLOOKUP(TBLBAHANKELUAR[[#This Row],[NAMA BAHAN]],TBLREKAPBAHAN[[NAMA BAHAN]:[MODAL SATUAN]],3,FALSE)</f>
        <v>20</v>
      </c>
      <c r="J216" s="214">
        <f>VLOOKUP(TBLBAHANKELUAR[[#This Row],[NAMA BAHAN]],TBLREKAPBAHAN[[NAMA BAHAN]:[MODAL SATUAN]],4,FALSE)</f>
        <v>1350</v>
      </c>
      <c r="K216" s="215">
        <f>VLOOKUP(TBLBAHANKELUAR[[#This Row],[KODE BAHAN]],[4]!TBLKEBABSOSIZ[#Data],9,FALSE)</f>
        <v>1</v>
      </c>
      <c r="L216" s="215">
        <f>SUMIF(TBLPRODUKKELUARJULI[NAMA PRODUK],TBLBAHANKELUAR[[#This Row],[NAMA PRODUK]],TBLPRODUKKELUARJULI[JUMLAH TERJUAL])</f>
        <v>1</v>
      </c>
      <c r="M216" s="215">
        <f>TBLBAHANKELUAR[[#This Row],[KEB. BAHAN]]*TBLBAHANKELUAR[[#This Row],[JUMLAH KEB. BAHAN KELUAR]]</f>
        <v>1</v>
      </c>
      <c r="N216" s="214">
        <f>TBLBAHANKELUAR[[#This Row],[MODAL SATUAN]]*TBLBAHANKELUAR[[#This Row],[TOTAL BAHAN KELUAR]]</f>
        <v>1350</v>
      </c>
    </row>
    <row r="217" spans="1:14" x14ac:dyDescent="0.3">
      <c r="A217" s="103">
        <v>2026</v>
      </c>
      <c r="B217" s="211" t="s">
        <v>590</v>
      </c>
      <c r="C217" s="211"/>
      <c r="D217" s="211"/>
      <c r="E217" s="128" t="s">
        <v>382</v>
      </c>
      <c r="F217" s="212">
        <v>8</v>
      </c>
      <c r="G217" s="213" t="str">
        <f>VLOOKUP(TBLBAHANKELUAR[[#This Row],[KODE BAHAN]],[4]!TBLKEBABSOSIZ[#Data],2,FALSE)</f>
        <v>SLADA</v>
      </c>
      <c r="H217" s="214">
        <f>VLOOKUP(TBLBAHANKELUAR[[#This Row],[NAMA BAHAN]],TBLREKAPBAHAN[[NAMA BAHAN]:[MODAL SATUAN]],2,FALSE)</f>
        <v>60000</v>
      </c>
      <c r="I217" s="214">
        <f>VLOOKUP(TBLBAHANKELUAR[[#This Row],[NAMA BAHAN]],TBLREKAPBAHAN[[NAMA BAHAN]:[MODAL SATUAN]],3,FALSE)</f>
        <v>50</v>
      </c>
      <c r="J217" s="214">
        <f>VLOOKUP(TBLBAHANKELUAR[[#This Row],[NAMA BAHAN]],TBLREKAPBAHAN[[NAMA BAHAN]:[MODAL SATUAN]],4,FALSE)</f>
        <v>1200</v>
      </c>
      <c r="K217" s="215">
        <f>VLOOKUP(TBLBAHANKELUAR[[#This Row],[KODE BAHAN]],[4]!TBLKEBABSOSIZ[#Data],9,FALSE)</f>
        <v>1</v>
      </c>
      <c r="L217" s="215">
        <f>SUMIF(TBLPRODUKKELUARJULI[NAMA PRODUK],TBLBAHANKELUAR[[#This Row],[NAMA PRODUK]],TBLPRODUKKELUARJULI[JUMLAH TERJUAL])</f>
        <v>1</v>
      </c>
      <c r="M217" s="215">
        <f>TBLBAHANKELUAR[[#This Row],[KEB. BAHAN]]*TBLBAHANKELUAR[[#This Row],[JUMLAH KEB. BAHAN KELUAR]]</f>
        <v>1</v>
      </c>
      <c r="N217" s="214">
        <f>TBLBAHANKELUAR[[#This Row],[MODAL SATUAN]]*TBLBAHANKELUAR[[#This Row],[TOTAL BAHAN KELUAR]]</f>
        <v>1200</v>
      </c>
    </row>
    <row r="218" spans="1:14" x14ac:dyDescent="0.3">
      <c r="A218" s="103">
        <v>2026</v>
      </c>
      <c r="B218" s="211" t="s">
        <v>590</v>
      </c>
      <c r="C218" s="211"/>
      <c r="D218" s="211"/>
      <c r="E218" s="128" t="s">
        <v>382</v>
      </c>
      <c r="F218" s="212">
        <v>9</v>
      </c>
      <c r="G218" s="213" t="str">
        <f>VLOOKUP(TBLBAHANKELUAR[[#This Row],[KODE BAHAN]],[4]!TBLKEBABSOSIZ[#Data],2,FALSE)</f>
        <v>MENTEGA</v>
      </c>
      <c r="H218" s="214">
        <f>VLOOKUP(TBLBAHANKELUAR[[#This Row],[NAMA BAHAN]],TBLREKAPBAHAN[[NAMA BAHAN]:[MODAL SATUAN]],2,FALSE)</f>
        <v>35000</v>
      </c>
      <c r="I218" s="214">
        <f>VLOOKUP(TBLBAHANKELUAR[[#This Row],[NAMA BAHAN]],TBLREKAPBAHAN[[NAMA BAHAN]:[MODAL SATUAN]],3,FALSE)</f>
        <v>1000</v>
      </c>
      <c r="J218" s="214">
        <f>VLOOKUP(TBLBAHANKELUAR[[#This Row],[NAMA BAHAN]],TBLREKAPBAHAN[[NAMA BAHAN]:[MODAL SATUAN]],4,FALSE)</f>
        <v>35</v>
      </c>
      <c r="K218" s="215">
        <f>VLOOKUP(TBLBAHANKELUAR[[#This Row],[KODE BAHAN]],[4]!TBLKEBABSOSIZ[#Data],9,FALSE)</f>
        <v>20</v>
      </c>
      <c r="L218" s="215">
        <f>SUMIF(TBLPRODUKKELUARJULI[NAMA PRODUK],TBLBAHANKELUAR[[#This Row],[NAMA PRODUK]],TBLPRODUKKELUARJULI[JUMLAH TERJUAL])</f>
        <v>1</v>
      </c>
      <c r="M218" s="215">
        <f>TBLBAHANKELUAR[[#This Row],[KEB. BAHAN]]*TBLBAHANKELUAR[[#This Row],[JUMLAH KEB. BAHAN KELUAR]]</f>
        <v>20</v>
      </c>
      <c r="N218" s="214">
        <f>TBLBAHANKELUAR[[#This Row],[MODAL SATUAN]]*TBLBAHANKELUAR[[#This Row],[TOTAL BAHAN KELUAR]]</f>
        <v>700</v>
      </c>
    </row>
    <row r="219" spans="1:14" x14ac:dyDescent="0.3">
      <c r="A219" s="103">
        <v>2026</v>
      </c>
      <c r="B219" s="211" t="s">
        <v>590</v>
      </c>
      <c r="C219" s="211"/>
      <c r="D219" s="211"/>
      <c r="E219" s="128" t="s">
        <v>382</v>
      </c>
      <c r="F219" s="212">
        <v>10</v>
      </c>
      <c r="G219" s="213" t="str">
        <f>VLOOKUP(TBLBAHANKELUAR[[#This Row],[KODE BAHAN]],[4]!TBLKEBABSOSIZ[#Data],2,FALSE)</f>
        <v>GAS ELPIJI</v>
      </c>
      <c r="H219" s="214">
        <f>VLOOKUP(TBLBAHANKELUAR[[#This Row],[NAMA BAHAN]],TBLREKAPBAHAN[[NAMA BAHAN]:[MODAL SATUAN]],2,FALSE)</f>
        <v>23000</v>
      </c>
      <c r="I219" s="214">
        <f>VLOOKUP(TBLBAHANKELUAR[[#This Row],[NAMA BAHAN]],TBLREKAPBAHAN[[NAMA BAHAN]:[MODAL SATUAN]],3,FALSE)</f>
        <v>3000</v>
      </c>
      <c r="J219" s="214">
        <f>VLOOKUP(TBLBAHANKELUAR[[#This Row],[NAMA BAHAN]],TBLREKAPBAHAN[[NAMA BAHAN]:[MODAL SATUAN]],4,FALSE)</f>
        <v>7.666666666666667</v>
      </c>
      <c r="K219" s="215">
        <f>VLOOKUP(TBLBAHANKELUAR[[#This Row],[KODE BAHAN]],[4]!TBLKEBABSOSIZ[#Data],9,FALSE)</f>
        <v>20</v>
      </c>
      <c r="L219" s="215">
        <f>SUMIF(TBLPRODUKKELUARJULI[NAMA PRODUK],TBLBAHANKELUAR[[#This Row],[NAMA PRODUK]],TBLPRODUKKELUARJULI[JUMLAH TERJUAL])</f>
        <v>1</v>
      </c>
      <c r="M219" s="215">
        <f>TBLBAHANKELUAR[[#This Row],[KEB. BAHAN]]*TBLBAHANKELUAR[[#This Row],[JUMLAH KEB. BAHAN KELUAR]]</f>
        <v>20</v>
      </c>
      <c r="N219" s="214">
        <f>TBLBAHANKELUAR[[#This Row],[MODAL SATUAN]]*TBLBAHANKELUAR[[#This Row],[TOTAL BAHAN KELUAR]]</f>
        <v>153.33333333333334</v>
      </c>
    </row>
    <row r="220" spans="1:14" x14ac:dyDescent="0.3">
      <c r="A220" s="103">
        <v>2026</v>
      </c>
      <c r="B220" s="211" t="s">
        <v>590</v>
      </c>
      <c r="C220" s="211"/>
      <c r="D220" s="211"/>
      <c r="E220" s="128" t="s">
        <v>382</v>
      </c>
      <c r="F220" s="212">
        <v>11</v>
      </c>
      <c r="G220" s="213" t="str">
        <f>VLOOKUP(TBLBAHANKELUAR[[#This Row],[KODE BAHAN]],[4]!TBLKEBABSOSIZ[#Data],2,FALSE)</f>
        <v>KERTAS KEBAB</v>
      </c>
      <c r="H220" s="214">
        <f>VLOOKUP(TBLBAHANKELUAR[[#This Row],[NAMA BAHAN]],TBLREKAPBAHAN[[NAMA BAHAN]:[MODAL SATUAN]],2,FALSE)</f>
        <v>25000</v>
      </c>
      <c r="I220" s="214">
        <f>VLOOKUP(TBLBAHANKELUAR[[#This Row],[NAMA BAHAN]],TBLREKAPBAHAN[[NAMA BAHAN]:[MODAL SATUAN]],3,FALSE)</f>
        <v>100</v>
      </c>
      <c r="J220" s="214">
        <f>VLOOKUP(TBLBAHANKELUAR[[#This Row],[NAMA BAHAN]],TBLREKAPBAHAN[[NAMA BAHAN]:[MODAL SATUAN]],4,FALSE)</f>
        <v>250</v>
      </c>
      <c r="K220" s="215">
        <f>VLOOKUP(TBLBAHANKELUAR[[#This Row],[KODE BAHAN]],[4]!TBLKEBABSOSIZ[#Data],9,FALSE)</f>
        <v>1</v>
      </c>
      <c r="L220" s="215">
        <f>SUMIF(TBLPRODUKKELUARJULI[NAMA PRODUK],TBLBAHANKELUAR[[#This Row],[NAMA PRODUK]],TBLPRODUKKELUARJULI[JUMLAH TERJUAL])</f>
        <v>1</v>
      </c>
      <c r="M220" s="215">
        <f>TBLBAHANKELUAR[[#This Row],[KEB. BAHAN]]*TBLBAHANKELUAR[[#This Row],[JUMLAH KEB. BAHAN KELUAR]]</f>
        <v>1</v>
      </c>
      <c r="N220" s="214">
        <f>TBLBAHANKELUAR[[#This Row],[MODAL SATUAN]]*TBLBAHANKELUAR[[#This Row],[TOTAL BAHAN KELUAR]]</f>
        <v>250</v>
      </c>
    </row>
    <row r="221" spans="1:14" x14ac:dyDescent="0.3">
      <c r="A221" s="103">
        <v>2026</v>
      </c>
      <c r="B221" s="211" t="s">
        <v>590</v>
      </c>
      <c r="C221" s="211"/>
      <c r="D221" s="211"/>
      <c r="E221" s="128" t="s">
        <v>382</v>
      </c>
      <c r="F221" s="212">
        <v>12</v>
      </c>
      <c r="G221" s="213" t="str">
        <f>VLOOKUP(TBLBAHANKELUAR[[#This Row],[KODE BAHAN]],[4]!TBLKEBABSOSIZ[#Data],2,FALSE)</f>
        <v>KRESEK 10 CM</v>
      </c>
      <c r="H221" s="214">
        <f>VLOOKUP(TBLBAHANKELUAR[[#This Row],[NAMA BAHAN]],TBLREKAPBAHAN[[NAMA BAHAN]:[MODAL SATUAN]],2,FALSE)</f>
        <v>5500</v>
      </c>
      <c r="I221" s="214">
        <f>VLOOKUP(TBLBAHANKELUAR[[#This Row],[NAMA BAHAN]],TBLREKAPBAHAN[[NAMA BAHAN]:[MODAL SATUAN]],3,FALSE)</f>
        <v>100</v>
      </c>
      <c r="J221" s="214">
        <f>VLOOKUP(TBLBAHANKELUAR[[#This Row],[NAMA BAHAN]],TBLREKAPBAHAN[[NAMA BAHAN]:[MODAL SATUAN]],4,FALSE)</f>
        <v>55</v>
      </c>
      <c r="K221" s="215">
        <f>VLOOKUP(TBLBAHANKELUAR[[#This Row],[KODE BAHAN]],[4]!TBLKEBABSOSIZ[#Data],9,FALSE)</f>
        <v>1</v>
      </c>
      <c r="L221" s="215">
        <f>SUMIF(TBLPRODUKKELUARJULI[NAMA PRODUK],TBLBAHANKELUAR[[#This Row],[NAMA PRODUK]],TBLPRODUKKELUARJULI[JUMLAH TERJUAL])</f>
        <v>1</v>
      </c>
      <c r="M221" s="215">
        <f>TBLBAHANKELUAR[[#This Row],[KEB. BAHAN]]*TBLBAHANKELUAR[[#This Row],[JUMLAH KEB. BAHAN KELUAR]]</f>
        <v>1</v>
      </c>
      <c r="N221" s="214">
        <f>TBLBAHANKELUAR[[#This Row],[MODAL SATUAN]]*TBLBAHANKELUAR[[#This Row],[TOTAL BAHAN KELUAR]]</f>
        <v>55</v>
      </c>
    </row>
    <row r="222" spans="1:14" x14ac:dyDescent="0.3">
      <c r="A222" s="103">
        <v>2026</v>
      </c>
      <c r="B222" s="211" t="s">
        <v>590</v>
      </c>
      <c r="C222" s="103"/>
      <c r="D222" s="103"/>
      <c r="E222" s="255" t="s">
        <v>379</v>
      </c>
      <c r="F222" s="119">
        <v>1</v>
      </c>
      <c r="G222" s="107" t="str">
        <f>VLOOKUP(TBLBAHANKELUAR[[#This Row],[KODE BAHAN]],[4]!TBLKEBABSOSYAMMEDIUM[#Data],2,FALSE)</f>
        <v>SAOS TOMAT GRAM</v>
      </c>
      <c r="H222" s="104">
        <f>VLOOKUP(TBLBAHANKELUAR[[#This Row],[NAMA BAHAN]],TBLREKAPBAHAN[[NAMA BAHAN]:[MODAL SATUAN]],2,FALSE)</f>
        <v>20000</v>
      </c>
      <c r="I222" s="104">
        <f>VLOOKUP(TBLBAHANKELUAR[[#This Row],[NAMA BAHAN]],TBLREKAPBAHAN[[NAMA BAHAN]:[MODAL SATUAN]],3,FALSE)</f>
        <v>1000</v>
      </c>
      <c r="J222" s="104">
        <f>VLOOKUP(TBLBAHANKELUAR[[#This Row],[NAMA BAHAN]],TBLREKAPBAHAN[[NAMA BAHAN]:[MODAL SATUAN]],4,FALSE)</f>
        <v>20</v>
      </c>
      <c r="K222" s="105">
        <f>VLOOKUP(TBLBAHANKELUAR[[#This Row],[KODE BAHAN]],[4]!TBLKEBABSOSYAMMEDIUM[#Data],12,FALSE)</f>
        <v>15</v>
      </c>
      <c r="L222" s="215">
        <f>SUMIF(TBLPRODUKKELUARJULI[NAMA PRODUK],TBLBAHANKELUAR[[#This Row],[NAMA PRODUK]],TBLPRODUKKELUARJULI[JUMLAH TERJUAL])</f>
        <v>5</v>
      </c>
      <c r="M222" s="105">
        <f>TBLBAHANKELUAR[[#This Row],[KEB. BAHAN]]*TBLBAHANKELUAR[[#This Row],[JUMLAH KEB. BAHAN KELUAR]]</f>
        <v>75</v>
      </c>
      <c r="N222" s="104">
        <f>TBLBAHANKELUAR[[#This Row],[MODAL SATUAN]]*TBLBAHANKELUAR[[#This Row],[TOTAL BAHAN KELUAR]]</f>
        <v>1500</v>
      </c>
    </row>
    <row r="223" spans="1:14" x14ac:dyDescent="0.3">
      <c r="A223" s="103">
        <v>2026</v>
      </c>
      <c r="B223" s="211" t="s">
        <v>590</v>
      </c>
      <c r="C223" s="103"/>
      <c r="D223" s="103"/>
      <c r="E223" s="255" t="s">
        <v>379</v>
      </c>
      <c r="F223" s="119">
        <v>2</v>
      </c>
      <c r="G223" s="107" t="str">
        <f>VLOOKUP(TBLBAHANKELUAR[[#This Row],[KODE BAHAN]],[4]!TBLKEBABSOSYAMMEDIUM[#Data],2,FALSE)</f>
        <v>SAOS SAMBAL GRAM</v>
      </c>
      <c r="H223" s="104">
        <f>VLOOKUP(TBLBAHANKELUAR[[#This Row],[NAMA BAHAN]],TBLREKAPBAHAN[[NAMA BAHAN]:[MODAL SATUAN]],2,FALSE)</f>
        <v>18000</v>
      </c>
      <c r="I223" s="104">
        <f>VLOOKUP(TBLBAHANKELUAR[[#This Row],[NAMA BAHAN]],TBLREKAPBAHAN[[NAMA BAHAN]:[MODAL SATUAN]],3,FALSE)</f>
        <v>1000</v>
      </c>
      <c r="J223" s="104">
        <f>VLOOKUP(TBLBAHANKELUAR[[#This Row],[NAMA BAHAN]],TBLREKAPBAHAN[[NAMA BAHAN]:[MODAL SATUAN]],4,FALSE)</f>
        <v>18</v>
      </c>
      <c r="K223" s="105">
        <f>VLOOKUP(TBLBAHANKELUAR[[#This Row],[KODE BAHAN]],[4]!TBLKEBABSOSYAMMEDIUM[#Data],12,FALSE)</f>
        <v>0</v>
      </c>
      <c r="L223" s="215">
        <f>SUMIF(TBLPRODUKKELUARJULI[NAMA PRODUK],TBLBAHANKELUAR[[#This Row],[NAMA PRODUK]],TBLPRODUKKELUARJULI[JUMLAH TERJUAL])</f>
        <v>5</v>
      </c>
      <c r="M223" s="105">
        <f>TBLBAHANKELUAR[[#This Row],[KEB. BAHAN]]*TBLBAHANKELUAR[[#This Row],[JUMLAH KEB. BAHAN KELUAR]]</f>
        <v>0</v>
      </c>
      <c r="N223" s="104">
        <f>TBLBAHANKELUAR[[#This Row],[MODAL SATUAN]]*TBLBAHANKELUAR[[#This Row],[TOTAL BAHAN KELUAR]]</f>
        <v>0</v>
      </c>
    </row>
    <row r="224" spans="1:14" x14ac:dyDescent="0.3">
      <c r="A224" s="103">
        <v>2026</v>
      </c>
      <c r="B224" s="211" t="s">
        <v>590</v>
      </c>
      <c r="C224" s="103"/>
      <c r="D224" s="103"/>
      <c r="E224" s="255" t="s">
        <v>379</v>
      </c>
      <c r="F224" s="119">
        <v>3</v>
      </c>
      <c r="G224" s="107" t="str">
        <f>VLOOKUP(TBLBAHANKELUAR[[#This Row],[KODE BAHAN]],[4]!TBLKEBABSOSYAMMEDIUM[#Data],2,FALSE)</f>
        <v>SAOS BBQ GRAM</v>
      </c>
      <c r="H224" s="104">
        <f>VLOOKUP(TBLBAHANKELUAR[[#This Row],[NAMA BAHAN]],TBLREKAPBAHAN[[NAMA BAHAN]:[MODAL SATUAN]],2,FALSE)</f>
        <v>12000</v>
      </c>
      <c r="I224" s="104">
        <f>VLOOKUP(TBLBAHANKELUAR[[#This Row],[NAMA BAHAN]],TBLREKAPBAHAN[[NAMA BAHAN]:[MODAL SATUAN]],3,FALSE)</f>
        <v>250</v>
      </c>
      <c r="J224" s="104">
        <f>VLOOKUP(TBLBAHANKELUAR[[#This Row],[NAMA BAHAN]],TBLREKAPBAHAN[[NAMA BAHAN]:[MODAL SATUAN]],4,FALSE)</f>
        <v>48</v>
      </c>
      <c r="K224" s="105">
        <f>VLOOKUP(TBLBAHANKELUAR[[#This Row],[KODE BAHAN]],[4]!TBLKEBABSOSYAMMEDIUM[#Data],12,FALSE)</f>
        <v>7</v>
      </c>
      <c r="L224" s="215">
        <f>SUMIF(TBLPRODUKKELUARJULI[NAMA PRODUK],TBLBAHANKELUAR[[#This Row],[NAMA PRODUK]],TBLPRODUKKELUARJULI[JUMLAH TERJUAL])</f>
        <v>5</v>
      </c>
      <c r="M224" s="105">
        <f>TBLBAHANKELUAR[[#This Row],[KEB. BAHAN]]*TBLBAHANKELUAR[[#This Row],[JUMLAH KEB. BAHAN KELUAR]]</f>
        <v>35</v>
      </c>
      <c r="N224" s="104">
        <f>TBLBAHANKELUAR[[#This Row],[MODAL SATUAN]]*TBLBAHANKELUAR[[#This Row],[TOTAL BAHAN KELUAR]]</f>
        <v>1680</v>
      </c>
    </row>
    <row r="225" spans="1:14" x14ac:dyDescent="0.3">
      <c r="A225" s="103">
        <v>2026</v>
      </c>
      <c r="B225" s="211" t="s">
        <v>590</v>
      </c>
      <c r="C225" s="103"/>
      <c r="D225" s="103"/>
      <c r="E225" s="255" t="s">
        <v>379</v>
      </c>
      <c r="F225" s="119">
        <v>4</v>
      </c>
      <c r="G225" s="107" t="str">
        <f>VLOOKUP(TBLBAHANKELUAR[[#This Row],[KODE BAHAN]],[4]!TBLKEBABSOSYAMMEDIUM[#Data],2,FALSE)</f>
        <v>MAYONAIS GRAM</v>
      </c>
      <c r="H225" s="104">
        <f>VLOOKUP(TBLBAHANKELUAR[[#This Row],[NAMA BAHAN]],TBLREKAPBAHAN[[NAMA BAHAN]:[MODAL SATUAN]],2,FALSE)</f>
        <v>50000</v>
      </c>
      <c r="I225" s="104">
        <f>VLOOKUP(TBLBAHANKELUAR[[#This Row],[NAMA BAHAN]],TBLREKAPBAHAN[[NAMA BAHAN]:[MODAL SATUAN]],3,FALSE)</f>
        <v>1000</v>
      </c>
      <c r="J225" s="104">
        <f>VLOOKUP(TBLBAHANKELUAR[[#This Row],[NAMA BAHAN]],TBLREKAPBAHAN[[NAMA BAHAN]:[MODAL SATUAN]],4,FALSE)</f>
        <v>50</v>
      </c>
      <c r="K225" s="105">
        <f>VLOOKUP(TBLBAHANKELUAR[[#This Row],[KODE BAHAN]],[4]!TBLKEBABSOSYAMMEDIUM[#Data],12,FALSE)</f>
        <v>15</v>
      </c>
      <c r="L225" s="215">
        <f>SUMIF(TBLPRODUKKELUARJULI[NAMA PRODUK],TBLBAHANKELUAR[[#This Row],[NAMA PRODUK]],TBLPRODUKKELUARJULI[JUMLAH TERJUAL])</f>
        <v>5</v>
      </c>
      <c r="M225" s="105">
        <f>TBLBAHANKELUAR[[#This Row],[KEB. BAHAN]]*TBLBAHANKELUAR[[#This Row],[JUMLAH KEB. BAHAN KELUAR]]</f>
        <v>75</v>
      </c>
      <c r="N225" s="104">
        <f>TBLBAHANKELUAR[[#This Row],[MODAL SATUAN]]*TBLBAHANKELUAR[[#This Row],[TOTAL BAHAN KELUAR]]</f>
        <v>3750</v>
      </c>
    </row>
    <row r="226" spans="1:14" x14ac:dyDescent="0.3">
      <c r="A226" s="103">
        <v>2026</v>
      </c>
      <c r="B226" s="211" t="s">
        <v>590</v>
      </c>
      <c r="C226" s="103"/>
      <c r="D226" s="103"/>
      <c r="E226" s="255" t="s">
        <v>379</v>
      </c>
      <c r="F226" s="119">
        <v>5</v>
      </c>
      <c r="G226" s="107" t="str">
        <f>VLOOKUP(TBLBAHANKELUAR[[#This Row],[KODE BAHAN]],[4]!TBLKEBABSOSYAMMEDIUM[#Data],2,FALSE)</f>
        <v>SAOS SPAGHETI GRAM</v>
      </c>
      <c r="H226" s="104">
        <f>VLOOKUP(TBLBAHANKELUAR[[#This Row],[NAMA BAHAN]],TBLREKAPBAHAN[[NAMA BAHAN]:[MODAL SATUAN]],2,FALSE)</f>
        <v>12000</v>
      </c>
      <c r="I226" s="104">
        <f>VLOOKUP(TBLBAHANKELUAR[[#This Row],[NAMA BAHAN]],TBLREKAPBAHAN[[NAMA BAHAN]:[MODAL SATUAN]],3,FALSE)</f>
        <v>250</v>
      </c>
      <c r="J226" s="104">
        <f>VLOOKUP(TBLBAHANKELUAR[[#This Row],[NAMA BAHAN]],TBLREKAPBAHAN[[NAMA BAHAN]:[MODAL SATUAN]],4,FALSE)</f>
        <v>48</v>
      </c>
      <c r="K226" s="105">
        <f>VLOOKUP(TBLBAHANKELUAR[[#This Row],[KODE BAHAN]],[4]!TBLKEBABSOSYAMMEDIUM[#Data],12,FALSE)</f>
        <v>7</v>
      </c>
      <c r="L226" s="215">
        <f>SUMIF(TBLPRODUKKELUARJULI[NAMA PRODUK],TBLBAHANKELUAR[[#This Row],[NAMA PRODUK]],TBLPRODUKKELUARJULI[JUMLAH TERJUAL])</f>
        <v>5</v>
      </c>
      <c r="M226" s="105">
        <f>TBLBAHANKELUAR[[#This Row],[KEB. BAHAN]]*TBLBAHANKELUAR[[#This Row],[JUMLAH KEB. BAHAN KELUAR]]</f>
        <v>35</v>
      </c>
      <c r="N226" s="104">
        <f>TBLBAHANKELUAR[[#This Row],[MODAL SATUAN]]*TBLBAHANKELUAR[[#This Row],[TOTAL BAHAN KELUAR]]</f>
        <v>1680</v>
      </c>
    </row>
    <row r="227" spans="1:14" x14ac:dyDescent="0.3">
      <c r="A227" s="103">
        <v>2026</v>
      </c>
      <c r="B227" s="211" t="s">
        <v>590</v>
      </c>
      <c r="C227" s="103"/>
      <c r="D227" s="103"/>
      <c r="E227" s="255" t="s">
        <v>379</v>
      </c>
      <c r="F227" s="119">
        <v>6</v>
      </c>
      <c r="G227" s="107" t="str">
        <f>VLOOKUP(TBLBAHANKELUAR[[#This Row],[KODE BAHAN]],[4]!TBLKEBABSOSYAMMEDIUM[#Data],2,FALSE)</f>
        <v>SOSIZ BATANG</v>
      </c>
      <c r="H227" s="104">
        <f>VLOOKUP(TBLBAHANKELUAR[[#This Row],[NAMA BAHAN]],TBLREKAPBAHAN[[NAMA BAHAN]:[MODAL SATUAN]],2,FALSE)</f>
        <v>35000</v>
      </c>
      <c r="I227" s="104">
        <f>VLOOKUP(TBLBAHANKELUAR[[#This Row],[NAMA BAHAN]],TBLREKAPBAHAN[[NAMA BAHAN]:[MODAL SATUAN]],3,FALSE)</f>
        <v>38</v>
      </c>
      <c r="J227" s="104">
        <f>VLOOKUP(TBLBAHANKELUAR[[#This Row],[NAMA BAHAN]],TBLREKAPBAHAN[[NAMA BAHAN]:[MODAL SATUAN]],4,FALSE)</f>
        <v>921.0526315789474</v>
      </c>
      <c r="K227" s="105">
        <f>VLOOKUP(TBLBAHANKELUAR[[#This Row],[KODE BAHAN]],[4]!TBLKEBABSOSYAMMEDIUM[#Data],12,FALSE)</f>
        <v>1</v>
      </c>
      <c r="L227" s="215">
        <f>SUMIF(TBLPRODUKKELUARJULI[NAMA PRODUK],TBLBAHANKELUAR[[#This Row],[NAMA PRODUK]],TBLPRODUKKELUARJULI[JUMLAH TERJUAL])</f>
        <v>5</v>
      </c>
      <c r="M227" s="105">
        <f>TBLBAHANKELUAR[[#This Row],[KEB. BAHAN]]*TBLBAHANKELUAR[[#This Row],[JUMLAH KEB. BAHAN KELUAR]]</f>
        <v>5</v>
      </c>
      <c r="N227" s="104">
        <f>TBLBAHANKELUAR[[#This Row],[MODAL SATUAN]]*TBLBAHANKELUAR[[#This Row],[TOTAL BAHAN KELUAR]]</f>
        <v>4605.2631578947367</v>
      </c>
    </row>
    <row r="228" spans="1:14" x14ac:dyDescent="0.3">
      <c r="A228" s="103">
        <v>2026</v>
      </c>
      <c r="B228" s="211" t="s">
        <v>590</v>
      </c>
      <c r="C228" s="103"/>
      <c r="D228" s="103"/>
      <c r="E228" s="255" t="s">
        <v>379</v>
      </c>
      <c r="F228" s="119">
        <v>7</v>
      </c>
      <c r="G228" s="107" t="str">
        <f>VLOOKUP(TBLBAHANKELUAR[[#This Row],[KODE BAHAN]],[4]!TBLKEBABSOSYAMMEDIUM[#Data],2,FALSE)</f>
        <v>AYAM SUWIR</v>
      </c>
      <c r="H228" s="104">
        <f>VLOOKUP(TBLBAHANKELUAR[[#This Row],[NAMA BAHAN]],TBLREKAPBAHAN[[NAMA BAHAN]:[MODAL SATUAN]],2,FALSE)</f>
        <v>45000</v>
      </c>
      <c r="I228" s="104">
        <f>VLOOKUP(TBLBAHANKELUAR[[#This Row],[NAMA BAHAN]],TBLREKAPBAHAN[[NAMA BAHAN]:[MODAL SATUAN]],3,FALSE)</f>
        <v>400</v>
      </c>
      <c r="J228" s="104">
        <f>VLOOKUP(TBLBAHANKELUAR[[#This Row],[NAMA BAHAN]],TBLREKAPBAHAN[[NAMA BAHAN]:[MODAL SATUAN]],4,FALSE)</f>
        <v>112.5</v>
      </c>
      <c r="K228" s="105">
        <f>VLOOKUP(TBLBAHANKELUAR[[#This Row],[KODE BAHAN]],[4]!TBLKEBABSOSYAMMEDIUM[#Data],12,FALSE)</f>
        <v>35</v>
      </c>
      <c r="L228" s="215">
        <f>SUMIF(TBLPRODUKKELUARJULI[NAMA PRODUK],TBLBAHANKELUAR[[#This Row],[NAMA PRODUK]],TBLPRODUKKELUARJULI[JUMLAH TERJUAL])</f>
        <v>5</v>
      </c>
      <c r="M228" s="105">
        <f>TBLBAHANKELUAR[[#This Row],[KEB. BAHAN]]*TBLBAHANKELUAR[[#This Row],[JUMLAH KEB. BAHAN KELUAR]]</f>
        <v>175</v>
      </c>
      <c r="N228" s="104">
        <f>TBLBAHANKELUAR[[#This Row],[MODAL SATUAN]]*TBLBAHANKELUAR[[#This Row],[TOTAL BAHAN KELUAR]]</f>
        <v>19687.5</v>
      </c>
    </row>
    <row r="229" spans="1:14" x14ac:dyDescent="0.3">
      <c r="A229" s="103">
        <v>2026</v>
      </c>
      <c r="B229" s="211" t="s">
        <v>590</v>
      </c>
      <c r="C229" s="103"/>
      <c r="D229" s="103"/>
      <c r="E229" s="255" t="s">
        <v>379</v>
      </c>
      <c r="F229" s="119">
        <v>8</v>
      </c>
      <c r="G229" s="107" t="str">
        <f>VLOOKUP(TBLBAHANKELUAR[[#This Row],[KODE BAHAN]],[4]!TBLKEBABSOSYAMMEDIUM[#Data],2,FALSE)</f>
        <v>KULIT KEBAB 19/20 CM</v>
      </c>
      <c r="H229" s="104">
        <f>VLOOKUP(TBLBAHANKELUAR[[#This Row],[NAMA BAHAN]],TBLREKAPBAHAN[[NAMA BAHAN]:[MODAL SATUAN]],2,FALSE)</f>
        <v>29000</v>
      </c>
      <c r="I229" s="104">
        <f>VLOOKUP(TBLBAHANKELUAR[[#This Row],[NAMA BAHAN]],TBLREKAPBAHAN[[NAMA BAHAN]:[MODAL SATUAN]],3,FALSE)</f>
        <v>20</v>
      </c>
      <c r="J229" s="104">
        <f>VLOOKUP(TBLBAHANKELUAR[[#This Row],[NAMA BAHAN]],TBLREKAPBAHAN[[NAMA BAHAN]:[MODAL SATUAN]],4,FALSE)</f>
        <v>1450</v>
      </c>
      <c r="K229" s="105">
        <f>VLOOKUP(TBLBAHANKELUAR[[#This Row],[KODE BAHAN]],[4]!TBLKEBABSOSYAMMEDIUM[#Data],12,FALSE)</f>
        <v>1</v>
      </c>
      <c r="L229" s="215">
        <f>SUMIF(TBLPRODUKKELUARJULI[NAMA PRODUK],TBLBAHANKELUAR[[#This Row],[NAMA PRODUK]],TBLPRODUKKELUARJULI[JUMLAH TERJUAL])</f>
        <v>5</v>
      </c>
      <c r="M229" s="105">
        <f>TBLBAHANKELUAR[[#This Row],[KEB. BAHAN]]*TBLBAHANKELUAR[[#This Row],[JUMLAH KEB. BAHAN KELUAR]]</f>
        <v>5</v>
      </c>
      <c r="N229" s="104">
        <f>TBLBAHANKELUAR[[#This Row],[MODAL SATUAN]]*TBLBAHANKELUAR[[#This Row],[TOTAL BAHAN KELUAR]]</f>
        <v>7250</v>
      </c>
    </row>
    <row r="230" spans="1:14" x14ac:dyDescent="0.3">
      <c r="A230" s="103">
        <v>2026</v>
      </c>
      <c r="B230" s="211" t="s">
        <v>590</v>
      </c>
      <c r="C230" s="103"/>
      <c r="D230" s="103"/>
      <c r="E230" s="255" t="s">
        <v>379</v>
      </c>
      <c r="F230" s="119">
        <v>9</v>
      </c>
      <c r="G230" s="107" t="str">
        <f>VLOOKUP(TBLBAHANKELUAR[[#This Row],[KODE BAHAN]],[4]!TBLKEBABSOSYAMMEDIUM[#Data],2,FALSE)</f>
        <v>SLADA</v>
      </c>
      <c r="H230" s="104">
        <f>VLOOKUP(TBLBAHANKELUAR[[#This Row],[NAMA BAHAN]],TBLREKAPBAHAN[[NAMA BAHAN]:[MODAL SATUAN]],2,FALSE)</f>
        <v>60000</v>
      </c>
      <c r="I230" s="104">
        <f>VLOOKUP(TBLBAHANKELUAR[[#This Row],[NAMA BAHAN]],TBLREKAPBAHAN[[NAMA BAHAN]:[MODAL SATUAN]],3,FALSE)</f>
        <v>50</v>
      </c>
      <c r="J230" s="104">
        <f>VLOOKUP(TBLBAHANKELUAR[[#This Row],[NAMA BAHAN]],TBLREKAPBAHAN[[NAMA BAHAN]:[MODAL SATUAN]],4,FALSE)</f>
        <v>1200</v>
      </c>
      <c r="K230" s="105">
        <f>VLOOKUP(TBLBAHANKELUAR[[#This Row],[KODE BAHAN]],[4]!TBLKEBABSOSYAMMEDIUM[#Data],12,FALSE)</f>
        <v>0</v>
      </c>
      <c r="L230" s="215">
        <f>SUMIF(TBLPRODUKKELUARJULI[NAMA PRODUK],TBLBAHANKELUAR[[#This Row],[NAMA PRODUK]],TBLPRODUKKELUARJULI[JUMLAH TERJUAL])</f>
        <v>5</v>
      </c>
      <c r="M230" s="105">
        <f>TBLBAHANKELUAR[[#This Row],[KEB. BAHAN]]*TBLBAHANKELUAR[[#This Row],[JUMLAH KEB. BAHAN KELUAR]]</f>
        <v>0</v>
      </c>
      <c r="N230" s="104">
        <f>TBLBAHANKELUAR[[#This Row],[MODAL SATUAN]]*TBLBAHANKELUAR[[#This Row],[TOTAL BAHAN KELUAR]]</f>
        <v>0</v>
      </c>
    </row>
    <row r="231" spans="1:14" x14ac:dyDescent="0.3">
      <c r="A231" s="103">
        <v>2026</v>
      </c>
      <c r="B231" s="211" t="s">
        <v>590</v>
      </c>
      <c r="C231" s="103"/>
      <c r="D231" s="103"/>
      <c r="E231" s="255" t="s">
        <v>379</v>
      </c>
      <c r="F231" s="119">
        <v>10</v>
      </c>
      <c r="G231" s="107" t="str">
        <f>VLOOKUP(TBLBAHANKELUAR[[#This Row],[KODE BAHAN]],[4]!TBLKEBABSOSYAMMEDIUM[#Data],2,FALSE)</f>
        <v>MENTEGA</v>
      </c>
      <c r="H231" s="104">
        <f>VLOOKUP(TBLBAHANKELUAR[[#This Row],[NAMA BAHAN]],TBLREKAPBAHAN[[NAMA BAHAN]:[MODAL SATUAN]],2,FALSE)</f>
        <v>35000</v>
      </c>
      <c r="I231" s="104">
        <f>VLOOKUP(TBLBAHANKELUAR[[#This Row],[NAMA BAHAN]],TBLREKAPBAHAN[[NAMA BAHAN]:[MODAL SATUAN]],3,FALSE)</f>
        <v>1000</v>
      </c>
      <c r="J231" s="104">
        <f>VLOOKUP(TBLBAHANKELUAR[[#This Row],[NAMA BAHAN]],TBLREKAPBAHAN[[NAMA BAHAN]:[MODAL SATUAN]],4,FALSE)</f>
        <v>35</v>
      </c>
      <c r="K231" s="105">
        <f>VLOOKUP(TBLBAHANKELUAR[[#This Row],[KODE BAHAN]],[4]!TBLKEBABSOSYAMMEDIUM[#Data],12,FALSE)</f>
        <v>10</v>
      </c>
      <c r="L231" s="215">
        <f>SUMIF(TBLPRODUKKELUARJULI[NAMA PRODUK],TBLBAHANKELUAR[[#This Row],[NAMA PRODUK]],TBLPRODUKKELUARJULI[JUMLAH TERJUAL])</f>
        <v>5</v>
      </c>
      <c r="M231" s="105">
        <f>TBLBAHANKELUAR[[#This Row],[KEB. BAHAN]]*TBLBAHANKELUAR[[#This Row],[JUMLAH KEB. BAHAN KELUAR]]</f>
        <v>50</v>
      </c>
      <c r="N231" s="104">
        <f>TBLBAHANKELUAR[[#This Row],[MODAL SATUAN]]*TBLBAHANKELUAR[[#This Row],[TOTAL BAHAN KELUAR]]</f>
        <v>1750</v>
      </c>
    </row>
    <row r="232" spans="1:14" x14ac:dyDescent="0.3">
      <c r="A232" s="103">
        <v>2026</v>
      </c>
      <c r="B232" s="211" t="s">
        <v>590</v>
      </c>
      <c r="C232" s="103"/>
      <c r="D232" s="103"/>
      <c r="E232" s="255" t="s">
        <v>379</v>
      </c>
      <c r="F232" s="119">
        <v>11</v>
      </c>
      <c r="G232" s="107" t="str">
        <f>VLOOKUP(TBLBAHANKELUAR[[#This Row],[KODE BAHAN]],[4]!TBLKEBABSOSYAMMEDIUM[#Data],2,FALSE)</f>
        <v>GAS ELPIJI</v>
      </c>
      <c r="H232" s="104">
        <f>VLOOKUP(TBLBAHANKELUAR[[#This Row],[NAMA BAHAN]],TBLREKAPBAHAN[[NAMA BAHAN]:[MODAL SATUAN]],2,FALSE)</f>
        <v>23000</v>
      </c>
      <c r="I232" s="104">
        <f>VLOOKUP(TBLBAHANKELUAR[[#This Row],[NAMA BAHAN]],TBLREKAPBAHAN[[NAMA BAHAN]:[MODAL SATUAN]],3,FALSE)</f>
        <v>3000</v>
      </c>
      <c r="J232" s="104">
        <f>VLOOKUP(TBLBAHANKELUAR[[#This Row],[NAMA BAHAN]],TBLREKAPBAHAN[[NAMA BAHAN]:[MODAL SATUAN]],4,FALSE)</f>
        <v>7.666666666666667</v>
      </c>
      <c r="K232" s="105">
        <f>VLOOKUP(TBLBAHANKELUAR[[#This Row],[KODE BAHAN]],[4]!TBLKEBABSOSYAMMEDIUM[#Data],12,FALSE)</f>
        <v>10</v>
      </c>
      <c r="L232" s="215">
        <f>SUMIF(TBLPRODUKKELUARJULI[NAMA PRODUK],TBLBAHANKELUAR[[#This Row],[NAMA PRODUK]],TBLPRODUKKELUARJULI[JUMLAH TERJUAL])</f>
        <v>5</v>
      </c>
      <c r="M232" s="105">
        <f>TBLBAHANKELUAR[[#This Row],[KEB. BAHAN]]*TBLBAHANKELUAR[[#This Row],[JUMLAH KEB. BAHAN KELUAR]]</f>
        <v>50</v>
      </c>
      <c r="N232" s="104">
        <f>TBLBAHANKELUAR[[#This Row],[MODAL SATUAN]]*TBLBAHANKELUAR[[#This Row],[TOTAL BAHAN KELUAR]]</f>
        <v>383.33333333333337</v>
      </c>
    </row>
    <row r="233" spans="1:14" x14ac:dyDescent="0.3">
      <c r="A233" s="103">
        <v>2026</v>
      </c>
      <c r="B233" s="211" t="s">
        <v>590</v>
      </c>
      <c r="C233" s="103"/>
      <c r="D233" s="103"/>
      <c r="E233" s="255" t="s">
        <v>379</v>
      </c>
      <c r="F233" s="119">
        <v>12</v>
      </c>
      <c r="G233" s="107" t="str">
        <f>VLOOKUP(TBLBAHANKELUAR[[#This Row],[KODE BAHAN]],[4]!TBLKEBABSOSYAMMEDIUM[#Data],2,FALSE)</f>
        <v>KERTAS KEBAB</v>
      </c>
      <c r="H233" s="104">
        <f>VLOOKUP(TBLBAHANKELUAR[[#This Row],[NAMA BAHAN]],TBLREKAPBAHAN[[NAMA BAHAN]:[MODAL SATUAN]],2,FALSE)</f>
        <v>25000</v>
      </c>
      <c r="I233" s="104">
        <f>VLOOKUP(TBLBAHANKELUAR[[#This Row],[NAMA BAHAN]],TBLREKAPBAHAN[[NAMA BAHAN]:[MODAL SATUAN]],3,FALSE)</f>
        <v>100</v>
      </c>
      <c r="J233" s="104">
        <f>VLOOKUP(TBLBAHANKELUAR[[#This Row],[NAMA BAHAN]],TBLREKAPBAHAN[[NAMA BAHAN]:[MODAL SATUAN]],4,FALSE)</f>
        <v>250</v>
      </c>
      <c r="K233" s="105">
        <f>VLOOKUP(TBLBAHANKELUAR[[#This Row],[KODE BAHAN]],[4]!TBLKEBABSOSYAMMEDIUM[#Data],12,FALSE)</f>
        <v>1</v>
      </c>
      <c r="L233" s="215">
        <f>SUMIF(TBLPRODUKKELUARJULI[NAMA PRODUK],TBLBAHANKELUAR[[#This Row],[NAMA PRODUK]],TBLPRODUKKELUARJULI[JUMLAH TERJUAL])</f>
        <v>5</v>
      </c>
      <c r="M233" s="105">
        <f>TBLBAHANKELUAR[[#This Row],[KEB. BAHAN]]*TBLBAHANKELUAR[[#This Row],[JUMLAH KEB. BAHAN KELUAR]]</f>
        <v>5</v>
      </c>
      <c r="N233" s="104">
        <f>TBLBAHANKELUAR[[#This Row],[MODAL SATUAN]]*TBLBAHANKELUAR[[#This Row],[TOTAL BAHAN KELUAR]]</f>
        <v>1250</v>
      </c>
    </row>
    <row r="234" spans="1:14" x14ac:dyDescent="0.3">
      <c r="A234" s="103">
        <v>2026</v>
      </c>
      <c r="B234" s="211" t="s">
        <v>590</v>
      </c>
      <c r="C234" s="103"/>
      <c r="D234" s="103"/>
      <c r="E234" s="255" t="s">
        <v>379</v>
      </c>
      <c r="F234" s="119">
        <v>13</v>
      </c>
      <c r="G234" s="107" t="str">
        <f>VLOOKUP(TBLBAHANKELUAR[[#This Row],[KODE BAHAN]],[4]!TBLKEBABSOSYAMMEDIUM[#Data],2,FALSE)</f>
        <v>KRESEK 10 CM</v>
      </c>
      <c r="H234" s="104">
        <f>VLOOKUP(TBLBAHANKELUAR[[#This Row],[NAMA BAHAN]],TBLREKAPBAHAN[[NAMA BAHAN]:[MODAL SATUAN]],2,FALSE)</f>
        <v>5500</v>
      </c>
      <c r="I234" s="104">
        <f>VLOOKUP(TBLBAHANKELUAR[[#This Row],[NAMA BAHAN]],TBLREKAPBAHAN[[NAMA BAHAN]:[MODAL SATUAN]],3,FALSE)</f>
        <v>100</v>
      </c>
      <c r="J234" s="104">
        <f>VLOOKUP(TBLBAHANKELUAR[[#This Row],[NAMA BAHAN]],TBLREKAPBAHAN[[NAMA BAHAN]:[MODAL SATUAN]],4,FALSE)</f>
        <v>55</v>
      </c>
      <c r="K234" s="105">
        <f>VLOOKUP(TBLBAHANKELUAR[[#This Row],[KODE BAHAN]],[4]!TBLKEBABSOSYAMMEDIUM[#Data],12,FALSE)</f>
        <v>1</v>
      </c>
      <c r="L234" s="215">
        <f>SUMIF(TBLPRODUKKELUARJULI[NAMA PRODUK],TBLBAHANKELUAR[[#This Row],[NAMA PRODUK]],TBLPRODUKKELUARJULI[JUMLAH TERJUAL])</f>
        <v>5</v>
      </c>
      <c r="M234" s="105">
        <f>TBLBAHANKELUAR[[#This Row],[KEB. BAHAN]]*TBLBAHANKELUAR[[#This Row],[JUMLAH KEB. BAHAN KELUAR]]</f>
        <v>5</v>
      </c>
      <c r="N234" s="104">
        <f>TBLBAHANKELUAR[[#This Row],[MODAL SATUAN]]*TBLBAHANKELUAR[[#This Row],[TOTAL BAHAN KELUAR]]</f>
        <v>275</v>
      </c>
    </row>
    <row r="235" spans="1:14" x14ac:dyDescent="0.3">
      <c r="A235" s="103">
        <v>2026</v>
      </c>
      <c r="B235" s="211" t="s">
        <v>590</v>
      </c>
      <c r="C235" s="103"/>
      <c r="D235" s="103"/>
      <c r="E235" s="3" t="s">
        <v>473</v>
      </c>
      <c r="F235" s="119">
        <v>1</v>
      </c>
      <c r="G235" s="107" t="str">
        <f>VLOOKUP(TBLBAHANKELUAR[[#This Row],[KODE BAHAN]],[4]!TBLPIZZAYES[#Data],2,FALSE)</f>
        <v>SAOS SPAGHETI GRAM</v>
      </c>
      <c r="H235" s="104">
        <f>VLOOKUP(TBLBAHANKELUAR[[#This Row],[NAMA BAHAN]],TBLREKAPBAHAN[[NAMA BAHAN]:[MODAL SATUAN]],2,FALSE)</f>
        <v>12000</v>
      </c>
      <c r="I235" s="104">
        <f>VLOOKUP(TBLBAHANKELUAR[[#This Row],[NAMA BAHAN]],TBLREKAPBAHAN[[NAMA BAHAN]:[MODAL SATUAN]],3,FALSE)</f>
        <v>250</v>
      </c>
      <c r="J235" s="104">
        <f>VLOOKUP(TBLBAHANKELUAR[[#This Row],[NAMA BAHAN]],TBLREKAPBAHAN[[NAMA BAHAN]:[MODAL SATUAN]],4,FALSE)</f>
        <v>48</v>
      </c>
      <c r="K235" s="105">
        <f>VLOOKUP(TBLBAHANKELUAR[[#This Row],[KODE BAHAN]],[4]!TBLPIZZAYES[#Data],11,FALSE)</f>
        <v>30</v>
      </c>
      <c r="L235" s="215">
        <f>SUMIF(TBLPRODUKKELUARJULI[NAMA PRODUK],TBLBAHANKELUAR[[#This Row],[NAMA PRODUK]],TBLPRODUKKELUARJULI[JUMLAH TERJUAL])</f>
        <v>2</v>
      </c>
      <c r="M235" s="105">
        <f>TBLBAHANKELUAR[[#This Row],[KEB. BAHAN]]*TBLBAHANKELUAR[[#This Row],[JUMLAH KEB. BAHAN KELUAR]]</f>
        <v>60</v>
      </c>
      <c r="N235" s="104">
        <f>TBLBAHANKELUAR[[#This Row],[MODAL SATUAN]]*TBLBAHANKELUAR[[#This Row],[TOTAL BAHAN KELUAR]]</f>
        <v>2880</v>
      </c>
    </row>
    <row r="236" spans="1:14" x14ac:dyDescent="0.3">
      <c r="A236" s="103">
        <v>2026</v>
      </c>
      <c r="B236" s="211" t="s">
        <v>590</v>
      </c>
      <c r="C236" s="103"/>
      <c r="D236" s="103"/>
      <c r="E236" s="3" t="s">
        <v>473</v>
      </c>
      <c r="F236" s="119">
        <v>2</v>
      </c>
      <c r="G236" s="107" t="str">
        <f>VLOOKUP(TBLBAHANKELUAR[[#This Row],[KODE BAHAN]],[4]!TBLPIZZAYES[#Data],2,FALSE)</f>
        <v>SAOS TOMAT SACHET</v>
      </c>
      <c r="H236" s="104">
        <f>VLOOKUP(TBLBAHANKELUAR[[#This Row],[NAMA BAHAN]],TBLREKAPBAHAN[[NAMA BAHAN]:[MODAL SATUAN]],2,FALSE)</f>
        <v>7000</v>
      </c>
      <c r="I236" s="104">
        <f>VLOOKUP(TBLBAHANKELUAR[[#This Row],[NAMA BAHAN]],TBLREKAPBAHAN[[NAMA BAHAN]:[MODAL SATUAN]],3,FALSE)</f>
        <v>24</v>
      </c>
      <c r="J236" s="104">
        <f>VLOOKUP(TBLBAHANKELUAR[[#This Row],[NAMA BAHAN]],TBLREKAPBAHAN[[NAMA BAHAN]:[MODAL SATUAN]],4,FALSE)</f>
        <v>291.66666666666669</v>
      </c>
      <c r="K236" s="105">
        <f>VLOOKUP(TBLBAHANKELUAR[[#This Row],[KODE BAHAN]],[4]!TBLPIZZAYES[#Data],11,FALSE)</f>
        <v>2</v>
      </c>
      <c r="L236" s="215">
        <f>SUMIF(TBLPRODUKKELUARJULI[NAMA PRODUK],TBLBAHANKELUAR[[#This Row],[NAMA PRODUK]],TBLPRODUKKELUARJULI[JUMLAH TERJUAL])</f>
        <v>2</v>
      </c>
      <c r="M236" s="105">
        <f>TBLBAHANKELUAR[[#This Row],[KEB. BAHAN]]*TBLBAHANKELUAR[[#This Row],[JUMLAH KEB. BAHAN KELUAR]]</f>
        <v>4</v>
      </c>
      <c r="N236" s="104">
        <f>TBLBAHANKELUAR[[#This Row],[MODAL SATUAN]]*TBLBAHANKELUAR[[#This Row],[TOTAL BAHAN KELUAR]]</f>
        <v>1166.6666666666667</v>
      </c>
    </row>
    <row r="237" spans="1:14" x14ac:dyDescent="0.3">
      <c r="A237" s="103">
        <v>2026</v>
      </c>
      <c r="B237" s="211" t="s">
        <v>590</v>
      </c>
      <c r="C237" s="103"/>
      <c r="D237" s="103"/>
      <c r="E237" s="3" t="s">
        <v>473</v>
      </c>
      <c r="F237" s="119">
        <v>3</v>
      </c>
      <c r="G237" s="107" t="str">
        <f>VLOOKUP(TBLBAHANKELUAR[[#This Row],[KODE BAHAN]],[4]!TBLPIZZAYES[#Data],2,FALSE)</f>
        <v>SAOS SAMBAL SACHET</v>
      </c>
      <c r="H237" s="104">
        <f>VLOOKUP(TBLBAHANKELUAR[[#This Row],[NAMA BAHAN]],TBLREKAPBAHAN[[NAMA BAHAN]:[MODAL SATUAN]],2,FALSE)</f>
        <v>8000</v>
      </c>
      <c r="I237" s="104">
        <f>VLOOKUP(TBLBAHANKELUAR[[#This Row],[NAMA BAHAN]],TBLREKAPBAHAN[[NAMA BAHAN]:[MODAL SATUAN]],3,FALSE)</f>
        <v>24</v>
      </c>
      <c r="J237" s="104">
        <f>VLOOKUP(TBLBAHANKELUAR[[#This Row],[NAMA BAHAN]],TBLREKAPBAHAN[[NAMA BAHAN]:[MODAL SATUAN]],4,FALSE)</f>
        <v>333.33333333333331</v>
      </c>
      <c r="K237" s="105">
        <f>VLOOKUP(TBLBAHANKELUAR[[#This Row],[KODE BAHAN]],[4]!TBLPIZZAYES[#Data],11,FALSE)</f>
        <v>2</v>
      </c>
      <c r="L237" s="215">
        <f>SUMIF(TBLPRODUKKELUARJULI[NAMA PRODUK],TBLBAHANKELUAR[[#This Row],[NAMA PRODUK]],TBLPRODUKKELUARJULI[JUMLAH TERJUAL])</f>
        <v>2</v>
      </c>
      <c r="M237" s="105">
        <f>TBLBAHANKELUAR[[#This Row],[KEB. BAHAN]]*TBLBAHANKELUAR[[#This Row],[JUMLAH KEB. BAHAN KELUAR]]</f>
        <v>4</v>
      </c>
      <c r="N237" s="104">
        <f>TBLBAHANKELUAR[[#This Row],[MODAL SATUAN]]*TBLBAHANKELUAR[[#This Row],[TOTAL BAHAN KELUAR]]</f>
        <v>1333.3333333333333</v>
      </c>
    </row>
    <row r="238" spans="1:14" x14ac:dyDescent="0.3">
      <c r="A238" s="103">
        <v>2026</v>
      </c>
      <c r="B238" s="211" t="s">
        <v>590</v>
      </c>
      <c r="C238" s="103"/>
      <c r="D238" s="103"/>
      <c r="E238" s="3" t="s">
        <v>473</v>
      </c>
      <c r="F238" s="119">
        <v>4</v>
      </c>
      <c r="G238" s="107" t="str">
        <f>VLOOKUP(TBLBAHANKELUAR[[#This Row],[KODE BAHAN]],[4]!TBLPIZZAYES[#Data],2,FALSE)</f>
        <v>KEJU MOZZARELLA</v>
      </c>
      <c r="H238" s="104">
        <f>VLOOKUP(TBLBAHANKELUAR[[#This Row],[NAMA BAHAN]],TBLREKAPBAHAN[[NAMA BAHAN]:[MODAL SATUAN]],2,FALSE)</f>
        <v>90000</v>
      </c>
      <c r="I238" s="104">
        <f>VLOOKUP(TBLBAHANKELUAR[[#This Row],[NAMA BAHAN]],TBLREKAPBAHAN[[NAMA BAHAN]:[MODAL SATUAN]],3,FALSE)</f>
        <v>500</v>
      </c>
      <c r="J238" s="104">
        <f>VLOOKUP(TBLBAHANKELUAR[[#This Row],[NAMA BAHAN]],TBLREKAPBAHAN[[NAMA BAHAN]:[MODAL SATUAN]],4,FALSE)</f>
        <v>180</v>
      </c>
      <c r="K238" s="105">
        <f>VLOOKUP(TBLBAHANKELUAR[[#This Row],[KODE BAHAN]],[4]!TBLPIZZAYES[#Data],11,FALSE)</f>
        <v>64</v>
      </c>
      <c r="L238" s="215">
        <f>SUMIF(TBLPRODUKKELUARJULI[NAMA PRODUK],TBLBAHANKELUAR[[#This Row],[NAMA PRODUK]],TBLPRODUKKELUARJULI[JUMLAH TERJUAL])</f>
        <v>2</v>
      </c>
      <c r="M238" s="105">
        <f>TBLBAHANKELUAR[[#This Row],[KEB. BAHAN]]*TBLBAHANKELUAR[[#This Row],[JUMLAH KEB. BAHAN KELUAR]]</f>
        <v>128</v>
      </c>
      <c r="N238" s="104">
        <f>TBLBAHANKELUAR[[#This Row],[MODAL SATUAN]]*TBLBAHANKELUAR[[#This Row],[TOTAL BAHAN KELUAR]]</f>
        <v>23040</v>
      </c>
    </row>
    <row r="239" spans="1:14" x14ac:dyDescent="0.3">
      <c r="A239" s="103">
        <v>2026</v>
      </c>
      <c r="B239" s="211" t="s">
        <v>590</v>
      </c>
      <c r="C239" s="103"/>
      <c r="D239" s="103"/>
      <c r="E239" s="3" t="s">
        <v>473</v>
      </c>
      <c r="F239" s="119">
        <v>5</v>
      </c>
      <c r="G239" s="107" t="str">
        <f>VLOOKUP(TBLBAHANKELUAR[[#This Row],[KODE BAHAN]],[4]!TBLPIZZAYES[#Data],2,FALSE)</f>
        <v>SOSIZ BATANG</v>
      </c>
      <c r="H239" s="104">
        <f>VLOOKUP(TBLBAHANKELUAR[[#This Row],[NAMA BAHAN]],TBLREKAPBAHAN[[NAMA BAHAN]:[MODAL SATUAN]],2,FALSE)</f>
        <v>35000</v>
      </c>
      <c r="I239" s="104">
        <f>VLOOKUP(TBLBAHANKELUAR[[#This Row],[NAMA BAHAN]],TBLREKAPBAHAN[[NAMA BAHAN]:[MODAL SATUAN]],3,FALSE)</f>
        <v>38</v>
      </c>
      <c r="J239" s="104">
        <f>VLOOKUP(TBLBAHANKELUAR[[#This Row],[NAMA BAHAN]],TBLREKAPBAHAN[[NAMA BAHAN]:[MODAL SATUAN]],4,FALSE)</f>
        <v>921.0526315789474</v>
      </c>
      <c r="K239" s="105">
        <f>VLOOKUP(TBLBAHANKELUAR[[#This Row],[KODE BAHAN]],[4]!TBLPIZZAYES[#Data],11,FALSE)</f>
        <v>2</v>
      </c>
      <c r="L239" s="215">
        <f>SUMIF(TBLPRODUKKELUARJULI[NAMA PRODUK],TBLBAHANKELUAR[[#This Row],[NAMA PRODUK]],TBLPRODUKKELUARJULI[JUMLAH TERJUAL])</f>
        <v>2</v>
      </c>
      <c r="M239" s="105">
        <f>TBLBAHANKELUAR[[#This Row],[KEB. BAHAN]]*TBLBAHANKELUAR[[#This Row],[JUMLAH KEB. BAHAN KELUAR]]</f>
        <v>4</v>
      </c>
      <c r="N239" s="104">
        <f>TBLBAHANKELUAR[[#This Row],[MODAL SATUAN]]*TBLBAHANKELUAR[[#This Row],[TOTAL BAHAN KELUAR]]</f>
        <v>3684.2105263157896</v>
      </c>
    </row>
    <row r="240" spans="1:14" x14ac:dyDescent="0.3">
      <c r="A240" s="103">
        <v>2026</v>
      </c>
      <c r="B240" s="211" t="s">
        <v>590</v>
      </c>
      <c r="C240" s="103"/>
      <c r="D240" s="103"/>
      <c r="E240" s="3" t="s">
        <v>473</v>
      </c>
      <c r="F240" s="119">
        <v>6</v>
      </c>
      <c r="G240" s="107" t="str">
        <f>VLOOKUP(TBLBAHANKELUAR[[#This Row],[KODE BAHAN]],[4]!TBLPIZZAYES[#Data],2,FALSE)</f>
        <v>AYAM SUWIR</v>
      </c>
      <c r="H240" s="104">
        <f>VLOOKUP(TBLBAHANKELUAR[[#This Row],[NAMA BAHAN]],TBLREKAPBAHAN[[NAMA BAHAN]:[MODAL SATUAN]],2,FALSE)</f>
        <v>45000</v>
      </c>
      <c r="I240" s="104">
        <f>VLOOKUP(TBLBAHANKELUAR[[#This Row],[NAMA BAHAN]],TBLREKAPBAHAN[[NAMA BAHAN]:[MODAL SATUAN]],3,FALSE)</f>
        <v>400</v>
      </c>
      <c r="J240" s="104">
        <f>VLOOKUP(TBLBAHANKELUAR[[#This Row],[NAMA BAHAN]],TBLREKAPBAHAN[[NAMA BAHAN]:[MODAL SATUAN]],4,FALSE)</f>
        <v>112.5</v>
      </c>
      <c r="K240" s="105">
        <f>VLOOKUP(TBLBAHANKELUAR[[#This Row],[KODE BAHAN]],[4]!TBLPIZZAYES[#Data],11,FALSE)</f>
        <v>0</v>
      </c>
      <c r="L240" s="215">
        <f>SUMIF(TBLPRODUKKELUARJULI[NAMA PRODUK],TBLBAHANKELUAR[[#This Row],[NAMA PRODUK]],TBLPRODUKKELUARJULI[JUMLAH TERJUAL])</f>
        <v>2</v>
      </c>
      <c r="M240" s="105">
        <f>TBLBAHANKELUAR[[#This Row],[KEB. BAHAN]]*TBLBAHANKELUAR[[#This Row],[JUMLAH KEB. BAHAN KELUAR]]</f>
        <v>0</v>
      </c>
      <c r="N240" s="104">
        <f>TBLBAHANKELUAR[[#This Row],[MODAL SATUAN]]*TBLBAHANKELUAR[[#This Row],[TOTAL BAHAN KELUAR]]</f>
        <v>0</v>
      </c>
    </row>
    <row r="241" spans="1:14" x14ac:dyDescent="0.3">
      <c r="A241" s="103">
        <v>2026</v>
      </c>
      <c r="B241" s="211" t="s">
        <v>590</v>
      </c>
      <c r="C241" s="103"/>
      <c r="D241" s="103"/>
      <c r="E241" s="3" t="s">
        <v>473</v>
      </c>
      <c r="F241" s="119">
        <v>7</v>
      </c>
      <c r="G241" s="107" t="str">
        <f>VLOOKUP(TBLBAHANKELUAR[[#This Row],[KODE BAHAN]],[4]!TBLPIZZAYES[#Data],2,FALSE)</f>
        <v>DAGING SAPI</v>
      </c>
      <c r="H241" s="104">
        <f>VLOOKUP(TBLBAHANKELUAR[[#This Row],[NAMA BAHAN]],TBLREKAPBAHAN[[NAMA BAHAN]:[MODAL SATUAN]],2,FALSE)</f>
        <v>85000</v>
      </c>
      <c r="I241" s="104">
        <f>VLOOKUP(TBLBAHANKELUAR[[#This Row],[NAMA BAHAN]],TBLREKAPBAHAN[[NAMA BAHAN]:[MODAL SATUAN]],3,FALSE)</f>
        <v>1000</v>
      </c>
      <c r="J241" s="104">
        <f>VLOOKUP(TBLBAHANKELUAR[[#This Row],[NAMA BAHAN]],TBLREKAPBAHAN[[NAMA BAHAN]:[MODAL SATUAN]],4,FALSE)</f>
        <v>85</v>
      </c>
      <c r="K241" s="105">
        <f>VLOOKUP(TBLBAHANKELUAR[[#This Row],[KODE BAHAN]],[4]!TBLPIZZAYES[#Data],11,FALSE)</f>
        <v>0</v>
      </c>
      <c r="L241" s="215">
        <f>SUMIF(TBLPRODUKKELUARJULI[NAMA PRODUK],TBLBAHANKELUAR[[#This Row],[NAMA PRODUK]],TBLPRODUKKELUARJULI[JUMLAH TERJUAL])</f>
        <v>2</v>
      </c>
      <c r="M241" s="105">
        <f>TBLBAHANKELUAR[[#This Row],[KEB. BAHAN]]*TBLBAHANKELUAR[[#This Row],[JUMLAH KEB. BAHAN KELUAR]]</f>
        <v>0</v>
      </c>
      <c r="N241" s="104">
        <f>TBLBAHANKELUAR[[#This Row],[MODAL SATUAN]]*TBLBAHANKELUAR[[#This Row],[TOTAL BAHAN KELUAR]]</f>
        <v>0</v>
      </c>
    </row>
    <row r="242" spans="1:14" x14ac:dyDescent="0.3">
      <c r="A242" s="103">
        <v>2026</v>
      </c>
      <c r="B242" s="211" t="s">
        <v>590</v>
      </c>
      <c r="C242" s="103"/>
      <c r="D242" s="103"/>
      <c r="E242" s="3" t="s">
        <v>473</v>
      </c>
      <c r="F242" s="119">
        <v>8</v>
      </c>
      <c r="G242" s="107" t="str">
        <f>VLOOKUP(TBLBAHANKELUAR[[#This Row],[KODE BAHAN]],[4]!TBLPIZZAYES[#Data],2,FALSE)</f>
        <v>MENTEGA</v>
      </c>
      <c r="H242" s="104">
        <f>VLOOKUP(TBLBAHANKELUAR[[#This Row],[NAMA BAHAN]],TBLREKAPBAHAN[[NAMA BAHAN]:[MODAL SATUAN]],2,FALSE)</f>
        <v>35000</v>
      </c>
      <c r="I242" s="104">
        <f>VLOOKUP(TBLBAHANKELUAR[[#This Row],[NAMA BAHAN]],TBLREKAPBAHAN[[NAMA BAHAN]:[MODAL SATUAN]],3,FALSE)</f>
        <v>1000</v>
      </c>
      <c r="J242" s="104">
        <f>VLOOKUP(TBLBAHANKELUAR[[#This Row],[NAMA BAHAN]],TBLREKAPBAHAN[[NAMA BAHAN]:[MODAL SATUAN]],4,FALSE)</f>
        <v>35</v>
      </c>
      <c r="K242" s="105">
        <f>VLOOKUP(TBLBAHANKELUAR[[#This Row],[KODE BAHAN]],[4]!TBLPIZZAYES[#Data],11,FALSE)</f>
        <v>18</v>
      </c>
      <c r="L242" s="215">
        <f>SUMIF(TBLPRODUKKELUARJULI[NAMA PRODUK],TBLBAHANKELUAR[[#This Row],[NAMA PRODUK]],TBLPRODUKKELUARJULI[JUMLAH TERJUAL])</f>
        <v>2</v>
      </c>
      <c r="M242" s="105">
        <f>TBLBAHANKELUAR[[#This Row],[KEB. BAHAN]]*TBLBAHANKELUAR[[#This Row],[JUMLAH KEB. BAHAN KELUAR]]</f>
        <v>36</v>
      </c>
      <c r="N242" s="104">
        <f>TBLBAHANKELUAR[[#This Row],[MODAL SATUAN]]*TBLBAHANKELUAR[[#This Row],[TOTAL BAHAN KELUAR]]</f>
        <v>1260</v>
      </c>
    </row>
    <row r="243" spans="1:14" x14ac:dyDescent="0.3">
      <c r="A243" s="103">
        <v>2026</v>
      </c>
      <c r="B243" s="211" t="s">
        <v>590</v>
      </c>
      <c r="C243" s="103"/>
      <c r="D243" s="103"/>
      <c r="E243" s="3" t="s">
        <v>473</v>
      </c>
      <c r="F243" s="119">
        <v>9</v>
      </c>
      <c r="G243" s="107" t="str">
        <f>VLOOKUP(TBLBAHANKELUAR[[#This Row],[KODE BAHAN]],[4]!TBLPIZZAYES[#Data],2,FALSE)</f>
        <v>GULA PASIR</v>
      </c>
      <c r="H243" s="104">
        <f>VLOOKUP(TBLBAHANKELUAR[[#This Row],[NAMA BAHAN]],TBLREKAPBAHAN[[NAMA BAHAN]:[MODAL SATUAN]],2,FALSE)</f>
        <v>18000</v>
      </c>
      <c r="I243" s="104">
        <f>VLOOKUP(TBLBAHANKELUAR[[#This Row],[NAMA BAHAN]],TBLREKAPBAHAN[[NAMA BAHAN]:[MODAL SATUAN]],3,FALSE)</f>
        <v>1000</v>
      </c>
      <c r="J243" s="104">
        <f>VLOOKUP(TBLBAHANKELUAR[[#This Row],[NAMA BAHAN]],TBLREKAPBAHAN[[NAMA BAHAN]:[MODAL SATUAN]],4,FALSE)</f>
        <v>18</v>
      </c>
      <c r="K243" s="105">
        <f>VLOOKUP(TBLBAHANKELUAR[[#This Row],[KODE BAHAN]],[4]!TBLPIZZAYES[#Data],11,FALSE)</f>
        <v>13.5</v>
      </c>
      <c r="L243" s="215">
        <f>SUMIF(TBLPRODUKKELUARJULI[NAMA PRODUK],TBLBAHANKELUAR[[#This Row],[NAMA PRODUK]],TBLPRODUKKELUARJULI[JUMLAH TERJUAL])</f>
        <v>2</v>
      </c>
      <c r="M243" s="105">
        <f>TBLBAHANKELUAR[[#This Row],[KEB. BAHAN]]*TBLBAHANKELUAR[[#This Row],[JUMLAH KEB. BAHAN KELUAR]]</f>
        <v>27</v>
      </c>
      <c r="N243" s="104">
        <f>TBLBAHANKELUAR[[#This Row],[MODAL SATUAN]]*TBLBAHANKELUAR[[#This Row],[TOTAL BAHAN KELUAR]]</f>
        <v>486</v>
      </c>
    </row>
    <row r="244" spans="1:14" x14ac:dyDescent="0.3">
      <c r="A244" s="103">
        <v>2026</v>
      </c>
      <c r="B244" s="211" t="s">
        <v>590</v>
      </c>
      <c r="C244" s="103"/>
      <c r="D244" s="103"/>
      <c r="E244" s="3" t="s">
        <v>473</v>
      </c>
      <c r="F244" s="119">
        <v>10</v>
      </c>
      <c r="G244" s="107" t="str">
        <f>VLOOKUP(TBLBAHANKELUAR[[#This Row],[KODE BAHAN]],[4]!TBLPIZZAYES[#Data],2,FALSE)</f>
        <v>GARAM HALUS</v>
      </c>
      <c r="H244" s="104">
        <f>VLOOKUP(TBLBAHANKELUAR[[#This Row],[NAMA BAHAN]],TBLREKAPBAHAN[[NAMA BAHAN]:[MODAL SATUAN]],2,FALSE)</f>
        <v>4000</v>
      </c>
      <c r="I244" s="104">
        <f>VLOOKUP(TBLBAHANKELUAR[[#This Row],[NAMA BAHAN]],TBLREKAPBAHAN[[NAMA BAHAN]:[MODAL SATUAN]],3,FALSE)</f>
        <v>250</v>
      </c>
      <c r="J244" s="104">
        <f>VLOOKUP(TBLBAHANKELUAR[[#This Row],[NAMA BAHAN]],TBLREKAPBAHAN[[NAMA BAHAN]:[MODAL SATUAN]],4,FALSE)</f>
        <v>16</v>
      </c>
      <c r="K244" s="105">
        <f>VLOOKUP(TBLBAHANKELUAR[[#This Row],[KODE BAHAN]],[4]!TBLPIZZAYES[#Data],11,FALSE)</f>
        <v>3</v>
      </c>
      <c r="L244" s="215">
        <f>SUMIF(TBLPRODUKKELUARJULI[NAMA PRODUK],TBLBAHANKELUAR[[#This Row],[NAMA PRODUK]],TBLPRODUKKELUARJULI[JUMLAH TERJUAL])</f>
        <v>2</v>
      </c>
      <c r="M244" s="105">
        <f>TBLBAHANKELUAR[[#This Row],[KEB. BAHAN]]*TBLBAHANKELUAR[[#This Row],[JUMLAH KEB. BAHAN KELUAR]]</f>
        <v>6</v>
      </c>
      <c r="N244" s="104">
        <f>TBLBAHANKELUAR[[#This Row],[MODAL SATUAN]]*TBLBAHANKELUAR[[#This Row],[TOTAL BAHAN KELUAR]]</f>
        <v>96</v>
      </c>
    </row>
    <row r="245" spans="1:14" x14ac:dyDescent="0.3">
      <c r="A245" s="103">
        <v>2026</v>
      </c>
      <c r="B245" s="211" t="s">
        <v>590</v>
      </c>
      <c r="C245" s="103"/>
      <c r="D245" s="103"/>
      <c r="E245" s="3" t="s">
        <v>473</v>
      </c>
      <c r="F245" s="119">
        <v>11</v>
      </c>
      <c r="G245" s="107" t="str">
        <f>VLOOKUP(TBLBAHANKELUAR[[#This Row],[KODE BAHAN]],[4]!TBLPIZZAYES[#Data],2,FALSE)</f>
        <v>VERMIPAN</v>
      </c>
      <c r="H245" s="104">
        <f>VLOOKUP(TBLBAHANKELUAR[[#This Row],[NAMA BAHAN]],TBLREKAPBAHAN[[NAMA BAHAN]:[MODAL SATUAN]],2,FALSE)</f>
        <v>7000</v>
      </c>
      <c r="I245" s="104">
        <f>VLOOKUP(TBLBAHANKELUAR[[#This Row],[NAMA BAHAN]],TBLREKAPBAHAN[[NAMA BAHAN]:[MODAL SATUAN]],3,FALSE)</f>
        <v>11</v>
      </c>
      <c r="J245" s="104">
        <f>VLOOKUP(TBLBAHANKELUAR[[#This Row],[NAMA BAHAN]],TBLREKAPBAHAN[[NAMA BAHAN]:[MODAL SATUAN]],4,FALSE)</f>
        <v>636.36363636363637</v>
      </c>
      <c r="K245" s="105">
        <f>VLOOKUP(TBLBAHANKELUAR[[#This Row],[KODE BAHAN]],[4]!TBLPIZZAYES[#Data],11,FALSE)</f>
        <v>2</v>
      </c>
      <c r="L245" s="215">
        <f>SUMIF(TBLPRODUKKELUARJULI[NAMA PRODUK],TBLBAHANKELUAR[[#This Row],[NAMA PRODUK]],TBLPRODUKKELUARJULI[JUMLAH TERJUAL])</f>
        <v>2</v>
      </c>
      <c r="M245" s="105">
        <f>TBLBAHANKELUAR[[#This Row],[KEB. BAHAN]]*TBLBAHANKELUAR[[#This Row],[JUMLAH KEB. BAHAN KELUAR]]</f>
        <v>4</v>
      </c>
      <c r="N245" s="104">
        <f>TBLBAHANKELUAR[[#This Row],[MODAL SATUAN]]*TBLBAHANKELUAR[[#This Row],[TOTAL BAHAN KELUAR]]</f>
        <v>2545.4545454545455</v>
      </c>
    </row>
    <row r="246" spans="1:14" x14ac:dyDescent="0.3">
      <c r="A246" s="103">
        <v>2026</v>
      </c>
      <c r="B246" s="211" t="s">
        <v>590</v>
      </c>
      <c r="C246" s="103"/>
      <c r="D246" s="103"/>
      <c r="E246" s="3" t="s">
        <v>473</v>
      </c>
      <c r="F246" s="119">
        <v>12</v>
      </c>
      <c r="G246" s="107" t="str">
        <f>VLOOKUP(TBLBAHANKELUAR[[#This Row],[KODE BAHAN]],[4]!TBLPIZZAYES[#Data],2,FALSE)</f>
        <v>SUSU BUBUK</v>
      </c>
      <c r="H246" s="104">
        <f>VLOOKUP(TBLBAHANKELUAR[[#This Row],[NAMA BAHAN]],TBLREKAPBAHAN[[NAMA BAHAN]:[MODAL SATUAN]],2,FALSE)</f>
        <v>18000</v>
      </c>
      <c r="I246" s="104">
        <f>VLOOKUP(TBLBAHANKELUAR[[#This Row],[NAMA BAHAN]],TBLREKAPBAHAN[[NAMA BAHAN]:[MODAL SATUAN]],3,FALSE)</f>
        <v>250</v>
      </c>
      <c r="J246" s="104">
        <f>VLOOKUP(TBLBAHANKELUAR[[#This Row],[NAMA BAHAN]],TBLREKAPBAHAN[[NAMA BAHAN]:[MODAL SATUAN]],4,FALSE)</f>
        <v>72</v>
      </c>
      <c r="K246" s="105">
        <f>VLOOKUP(TBLBAHANKELUAR[[#This Row],[KODE BAHAN]],[4]!TBLPIZZAYES[#Data],11,FALSE)</f>
        <v>15</v>
      </c>
      <c r="L246" s="215">
        <f>SUMIF(TBLPRODUKKELUARJULI[NAMA PRODUK],TBLBAHANKELUAR[[#This Row],[NAMA PRODUK]],TBLPRODUKKELUARJULI[JUMLAH TERJUAL])</f>
        <v>2</v>
      </c>
      <c r="M246" s="105">
        <f>TBLBAHANKELUAR[[#This Row],[KEB. BAHAN]]*TBLBAHANKELUAR[[#This Row],[JUMLAH KEB. BAHAN KELUAR]]</f>
        <v>30</v>
      </c>
      <c r="N246" s="104">
        <f>TBLBAHANKELUAR[[#This Row],[MODAL SATUAN]]*TBLBAHANKELUAR[[#This Row],[TOTAL BAHAN KELUAR]]</f>
        <v>2160</v>
      </c>
    </row>
    <row r="247" spans="1:14" x14ac:dyDescent="0.3">
      <c r="A247" s="103">
        <v>2026</v>
      </c>
      <c r="B247" s="211" t="s">
        <v>590</v>
      </c>
      <c r="C247" s="103"/>
      <c r="D247" s="103"/>
      <c r="E247" s="3" t="s">
        <v>473</v>
      </c>
      <c r="F247" s="119">
        <v>13</v>
      </c>
      <c r="G247" s="107" t="str">
        <f>VLOOKUP(TBLBAHANKELUAR[[#This Row],[KODE BAHAN]],[4]!TBLPIZZAYES[#Data],2,FALSE)</f>
        <v>TEPUNG SEGITIGA BIRU</v>
      </c>
      <c r="H247" s="104">
        <f>VLOOKUP(TBLBAHANKELUAR[[#This Row],[NAMA BAHAN]],TBLREKAPBAHAN[[NAMA BAHAN]:[MODAL SATUAN]],2,FALSE)</f>
        <v>14000</v>
      </c>
      <c r="I247" s="104">
        <f>VLOOKUP(TBLBAHANKELUAR[[#This Row],[NAMA BAHAN]],TBLREKAPBAHAN[[NAMA BAHAN]:[MODAL SATUAN]],3,FALSE)</f>
        <v>1000</v>
      </c>
      <c r="J247" s="104">
        <f>VLOOKUP(TBLBAHANKELUAR[[#This Row],[NAMA BAHAN]],TBLREKAPBAHAN[[NAMA BAHAN]:[MODAL SATUAN]],4,FALSE)</f>
        <v>14</v>
      </c>
      <c r="K247" s="105">
        <f>VLOOKUP(TBLBAHANKELUAR[[#This Row],[KODE BAHAN]],[4]!TBLPIZZAYES[#Data],11,FALSE)</f>
        <v>30</v>
      </c>
      <c r="L247" s="215">
        <f>SUMIF(TBLPRODUKKELUARJULI[NAMA PRODUK],TBLBAHANKELUAR[[#This Row],[NAMA PRODUK]],TBLPRODUKKELUARJULI[JUMLAH TERJUAL])</f>
        <v>2</v>
      </c>
      <c r="M247" s="105">
        <f>TBLBAHANKELUAR[[#This Row],[KEB. BAHAN]]*TBLBAHANKELUAR[[#This Row],[JUMLAH KEB. BAHAN KELUAR]]</f>
        <v>60</v>
      </c>
      <c r="N247" s="104">
        <f>TBLBAHANKELUAR[[#This Row],[MODAL SATUAN]]*TBLBAHANKELUAR[[#This Row],[TOTAL BAHAN KELUAR]]</f>
        <v>840</v>
      </c>
    </row>
    <row r="248" spans="1:14" x14ac:dyDescent="0.3">
      <c r="A248" s="103">
        <v>2026</v>
      </c>
      <c r="B248" s="211" t="s">
        <v>590</v>
      </c>
      <c r="C248" s="103"/>
      <c r="D248" s="103"/>
      <c r="E248" s="3" t="s">
        <v>473</v>
      </c>
      <c r="F248" s="119">
        <v>14</v>
      </c>
      <c r="G248" s="107" t="str">
        <f>VLOOKUP(TBLBAHANKELUAR[[#This Row],[KODE BAHAN]],[4]!TBLPIZZAYES[#Data],2,FALSE)</f>
        <v>TEPUNG CAKRA KEMBAR</v>
      </c>
      <c r="H248" s="104">
        <f>VLOOKUP(TBLBAHANKELUAR[[#This Row],[NAMA BAHAN]],TBLREKAPBAHAN[[NAMA BAHAN]:[MODAL SATUAN]],2,FALSE)</f>
        <v>14000</v>
      </c>
      <c r="I248" s="104">
        <f>VLOOKUP(TBLBAHANKELUAR[[#This Row],[NAMA BAHAN]],TBLREKAPBAHAN[[NAMA BAHAN]:[MODAL SATUAN]],3,FALSE)</f>
        <v>1000</v>
      </c>
      <c r="J248" s="104">
        <f>VLOOKUP(TBLBAHANKELUAR[[#This Row],[NAMA BAHAN]],TBLREKAPBAHAN[[NAMA BAHAN]:[MODAL SATUAN]],4,FALSE)</f>
        <v>14</v>
      </c>
      <c r="K248" s="105">
        <f>VLOOKUP(TBLBAHANKELUAR[[#This Row],[KODE BAHAN]],[4]!TBLPIZZAYES[#Data],11,FALSE)</f>
        <v>50</v>
      </c>
      <c r="L248" s="215">
        <f>SUMIF(TBLPRODUKKELUARJULI[NAMA PRODUK],TBLBAHANKELUAR[[#This Row],[NAMA PRODUK]],TBLPRODUKKELUARJULI[JUMLAH TERJUAL])</f>
        <v>2</v>
      </c>
      <c r="M248" s="105">
        <f>TBLBAHANKELUAR[[#This Row],[KEB. BAHAN]]*TBLBAHANKELUAR[[#This Row],[JUMLAH KEB. BAHAN KELUAR]]</f>
        <v>100</v>
      </c>
      <c r="N248" s="104">
        <f>TBLBAHANKELUAR[[#This Row],[MODAL SATUAN]]*TBLBAHANKELUAR[[#This Row],[TOTAL BAHAN KELUAR]]</f>
        <v>1400</v>
      </c>
    </row>
    <row r="249" spans="1:14" x14ac:dyDescent="0.3">
      <c r="A249" s="103">
        <v>2026</v>
      </c>
      <c r="B249" s="211" t="s">
        <v>590</v>
      </c>
      <c r="C249" s="103"/>
      <c r="D249" s="103"/>
      <c r="E249" s="3" t="s">
        <v>473</v>
      </c>
      <c r="F249" s="119">
        <v>15</v>
      </c>
      <c r="G249" s="107" t="str">
        <f>VLOOKUP(TBLBAHANKELUAR[[#This Row],[KODE BAHAN]],[4]!TBLPIZZAYES[#Data],2,FALSE)</f>
        <v>BASIL</v>
      </c>
      <c r="H249" s="104">
        <f>VLOOKUP(TBLBAHANKELUAR[[#This Row],[NAMA BAHAN]],TBLREKAPBAHAN[[NAMA BAHAN]:[MODAL SATUAN]],2,FALSE)</f>
        <v>30000</v>
      </c>
      <c r="I249" s="104">
        <f>VLOOKUP(TBLBAHANKELUAR[[#This Row],[NAMA BAHAN]],TBLREKAPBAHAN[[NAMA BAHAN]:[MODAL SATUAN]],3,FALSE)</f>
        <v>30</v>
      </c>
      <c r="J249" s="104">
        <f>VLOOKUP(TBLBAHANKELUAR[[#This Row],[NAMA BAHAN]],TBLREKAPBAHAN[[NAMA BAHAN]:[MODAL SATUAN]],4,FALSE)</f>
        <v>1000</v>
      </c>
      <c r="K249" s="105">
        <f>VLOOKUP(TBLBAHANKELUAR[[#This Row],[KODE BAHAN]],[4]!TBLPIZZAYES[#Data],11,FALSE)</f>
        <v>1</v>
      </c>
      <c r="L249" s="215">
        <f>SUMIF(TBLPRODUKKELUARJULI[NAMA PRODUK],TBLBAHANKELUAR[[#This Row],[NAMA PRODUK]],TBLPRODUKKELUARJULI[JUMLAH TERJUAL])</f>
        <v>2</v>
      </c>
      <c r="M249" s="105">
        <f>TBLBAHANKELUAR[[#This Row],[KEB. BAHAN]]*TBLBAHANKELUAR[[#This Row],[JUMLAH KEB. BAHAN KELUAR]]</f>
        <v>2</v>
      </c>
      <c r="N249" s="104">
        <f>TBLBAHANKELUAR[[#This Row],[MODAL SATUAN]]*TBLBAHANKELUAR[[#This Row],[TOTAL BAHAN KELUAR]]</f>
        <v>2000</v>
      </c>
    </row>
    <row r="250" spans="1:14" x14ac:dyDescent="0.3">
      <c r="A250" s="103">
        <v>2026</v>
      </c>
      <c r="B250" s="211" t="s">
        <v>590</v>
      </c>
      <c r="C250" s="103"/>
      <c r="D250" s="103"/>
      <c r="E250" s="3" t="s">
        <v>473</v>
      </c>
      <c r="F250" s="119">
        <v>16</v>
      </c>
      <c r="G250" s="107" t="str">
        <f>VLOOKUP(TBLBAHANKELUAR[[#This Row],[KODE BAHAN]],[4]!TBLPIZZAYES[#Data],2,FALSE)</f>
        <v>KALDU JAMUR</v>
      </c>
      <c r="H250" s="104">
        <f>VLOOKUP(TBLBAHANKELUAR[[#This Row],[NAMA BAHAN]],TBLREKAPBAHAN[[NAMA BAHAN]:[MODAL SATUAN]],2,FALSE)</f>
        <v>15000</v>
      </c>
      <c r="I250" s="104">
        <f>VLOOKUP(TBLBAHANKELUAR[[#This Row],[NAMA BAHAN]],TBLREKAPBAHAN[[NAMA BAHAN]:[MODAL SATUAN]],3,FALSE)</f>
        <v>80</v>
      </c>
      <c r="J250" s="104">
        <f>VLOOKUP(TBLBAHANKELUAR[[#This Row],[NAMA BAHAN]],TBLREKAPBAHAN[[NAMA BAHAN]:[MODAL SATUAN]],4,FALSE)</f>
        <v>187.5</v>
      </c>
      <c r="K250" s="105">
        <f>VLOOKUP(TBLBAHANKELUAR[[#This Row],[KODE BAHAN]],[4]!TBLPIZZAYES[#Data],11,FALSE)</f>
        <v>0</v>
      </c>
      <c r="L250" s="215">
        <f>SUMIF(TBLPRODUKKELUARJULI[NAMA PRODUK],TBLBAHANKELUAR[[#This Row],[NAMA PRODUK]],TBLPRODUKKELUARJULI[JUMLAH TERJUAL])</f>
        <v>2</v>
      </c>
      <c r="M250" s="105">
        <f>TBLBAHANKELUAR[[#This Row],[KEB. BAHAN]]*TBLBAHANKELUAR[[#This Row],[JUMLAH KEB. BAHAN KELUAR]]</f>
        <v>0</v>
      </c>
      <c r="N250" s="104">
        <f>TBLBAHANKELUAR[[#This Row],[MODAL SATUAN]]*TBLBAHANKELUAR[[#This Row],[TOTAL BAHAN KELUAR]]</f>
        <v>0</v>
      </c>
    </row>
    <row r="251" spans="1:14" x14ac:dyDescent="0.3">
      <c r="A251" s="103">
        <v>2026</v>
      </c>
      <c r="B251" s="211" t="s">
        <v>590</v>
      </c>
      <c r="C251" s="103"/>
      <c r="D251" s="103"/>
      <c r="E251" s="3" t="s">
        <v>473</v>
      </c>
      <c r="F251" s="119">
        <v>17</v>
      </c>
      <c r="G251" s="107" t="str">
        <f>VLOOKUP(TBLBAHANKELUAR[[#This Row],[KODE BAHAN]],[4]!TBLPIZZAYES[#Data],2,FALSE)</f>
        <v>BAWANG BOMBAY</v>
      </c>
      <c r="H251" s="104">
        <f>VLOOKUP(TBLBAHANKELUAR[[#This Row],[NAMA BAHAN]],TBLREKAPBAHAN[[NAMA BAHAN]:[MODAL SATUAN]],2,FALSE)</f>
        <v>5000</v>
      </c>
      <c r="I251" s="104">
        <f>VLOOKUP(TBLBAHANKELUAR[[#This Row],[NAMA BAHAN]],TBLREKAPBAHAN[[NAMA BAHAN]:[MODAL SATUAN]],3,FALSE)</f>
        <v>8</v>
      </c>
      <c r="J251" s="104">
        <f>VLOOKUP(TBLBAHANKELUAR[[#This Row],[NAMA BAHAN]],TBLREKAPBAHAN[[NAMA BAHAN]:[MODAL SATUAN]],4,FALSE)</f>
        <v>625</v>
      </c>
      <c r="K251" s="105">
        <f>VLOOKUP(TBLBAHANKELUAR[[#This Row],[KODE BAHAN]],[4]!TBLPIZZAYES[#Data],11,FALSE)</f>
        <v>2</v>
      </c>
      <c r="L251" s="215">
        <f>SUMIF(TBLPRODUKKELUARJULI[NAMA PRODUK],TBLBAHANKELUAR[[#This Row],[NAMA PRODUK]],TBLPRODUKKELUARJULI[JUMLAH TERJUAL])</f>
        <v>2</v>
      </c>
      <c r="M251" s="105">
        <f>TBLBAHANKELUAR[[#This Row],[KEB. BAHAN]]*TBLBAHANKELUAR[[#This Row],[JUMLAH KEB. BAHAN KELUAR]]</f>
        <v>4</v>
      </c>
      <c r="N251" s="104">
        <f>TBLBAHANKELUAR[[#This Row],[MODAL SATUAN]]*TBLBAHANKELUAR[[#This Row],[TOTAL BAHAN KELUAR]]</f>
        <v>2500</v>
      </c>
    </row>
    <row r="252" spans="1:14" x14ac:dyDescent="0.3">
      <c r="A252" s="103">
        <v>2026</v>
      </c>
      <c r="B252" s="211" t="s">
        <v>590</v>
      </c>
      <c r="C252" s="103"/>
      <c r="D252" s="103"/>
      <c r="E252" s="3" t="s">
        <v>473</v>
      </c>
      <c r="F252" s="119">
        <v>18</v>
      </c>
      <c r="G252" s="107" t="str">
        <f>VLOOKUP(TBLBAHANKELUAR[[#This Row],[KODE BAHAN]],[4]!TBLPIZZAYES[#Data],2,FALSE)</f>
        <v>ABON</v>
      </c>
      <c r="H252" s="104">
        <f>VLOOKUP(TBLBAHANKELUAR[[#This Row],[NAMA BAHAN]],TBLREKAPBAHAN[[NAMA BAHAN]:[MODAL SATUAN]],2,FALSE)</f>
        <v>25000</v>
      </c>
      <c r="I252" s="104">
        <f>VLOOKUP(TBLBAHANKELUAR[[#This Row],[NAMA BAHAN]],TBLREKAPBAHAN[[NAMA BAHAN]:[MODAL SATUAN]],3,FALSE)</f>
        <v>100</v>
      </c>
      <c r="J252" s="104">
        <f>VLOOKUP(TBLBAHANKELUAR[[#This Row],[NAMA BAHAN]],TBLREKAPBAHAN[[NAMA BAHAN]:[MODAL SATUAN]],4,FALSE)</f>
        <v>250</v>
      </c>
      <c r="K252" s="105">
        <f>VLOOKUP(TBLBAHANKELUAR[[#This Row],[KODE BAHAN]],[4]!TBLPIZZAYES[#Data],11,FALSE)</f>
        <v>25</v>
      </c>
      <c r="L252" s="215">
        <f>SUMIF(TBLPRODUKKELUARJULI[NAMA PRODUK],TBLBAHANKELUAR[[#This Row],[NAMA PRODUK]],TBLPRODUKKELUARJULI[JUMLAH TERJUAL])</f>
        <v>2</v>
      </c>
      <c r="M252" s="105">
        <f>TBLBAHANKELUAR[[#This Row],[KEB. BAHAN]]*TBLBAHANKELUAR[[#This Row],[JUMLAH KEB. BAHAN KELUAR]]</f>
        <v>50</v>
      </c>
      <c r="N252" s="104">
        <f>TBLBAHANKELUAR[[#This Row],[MODAL SATUAN]]*TBLBAHANKELUAR[[#This Row],[TOTAL BAHAN KELUAR]]</f>
        <v>12500</v>
      </c>
    </row>
    <row r="253" spans="1:14" x14ac:dyDescent="0.3">
      <c r="A253" s="103">
        <v>2026</v>
      </c>
      <c r="B253" s="211" t="s">
        <v>590</v>
      </c>
      <c r="C253" s="103"/>
      <c r="D253" s="103"/>
      <c r="E253" s="3" t="s">
        <v>473</v>
      </c>
      <c r="F253" s="119">
        <v>19</v>
      </c>
      <c r="G253" s="107" t="str">
        <f>VLOOKUP(TBLBAHANKELUAR[[#This Row],[KODE BAHAN]],[4]!TBLPIZZAYES[#Data],2,FALSE)</f>
        <v>JAMUR</v>
      </c>
      <c r="H253" s="104">
        <f>VLOOKUP(TBLBAHANKELUAR[[#This Row],[NAMA BAHAN]],TBLREKAPBAHAN[[NAMA BAHAN]:[MODAL SATUAN]],2,FALSE)</f>
        <v>2000</v>
      </c>
      <c r="I253" s="104">
        <f>VLOOKUP(TBLBAHANKELUAR[[#This Row],[NAMA BAHAN]],TBLREKAPBAHAN[[NAMA BAHAN]:[MODAL SATUAN]],3,FALSE)</f>
        <v>10</v>
      </c>
      <c r="J253" s="104">
        <f>VLOOKUP(TBLBAHANKELUAR[[#This Row],[NAMA BAHAN]],TBLREKAPBAHAN[[NAMA BAHAN]:[MODAL SATUAN]],4,FALSE)</f>
        <v>200</v>
      </c>
      <c r="K253" s="105">
        <f>VLOOKUP(TBLBAHANKELUAR[[#This Row],[KODE BAHAN]],[4]!TBLPIZZAYES[#Data],11,FALSE)</f>
        <v>0</v>
      </c>
      <c r="L253" s="215">
        <f>SUMIF(TBLPRODUKKELUARJULI[NAMA PRODUK],TBLBAHANKELUAR[[#This Row],[NAMA PRODUK]],TBLPRODUKKELUARJULI[JUMLAH TERJUAL])</f>
        <v>2</v>
      </c>
      <c r="M253" s="105">
        <f>TBLBAHANKELUAR[[#This Row],[KEB. BAHAN]]*TBLBAHANKELUAR[[#This Row],[JUMLAH KEB. BAHAN KELUAR]]</f>
        <v>0</v>
      </c>
      <c r="N253" s="104">
        <f>TBLBAHANKELUAR[[#This Row],[MODAL SATUAN]]*TBLBAHANKELUAR[[#This Row],[TOTAL BAHAN KELUAR]]</f>
        <v>0</v>
      </c>
    </row>
    <row r="254" spans="1:14" x14ac:dyDescent="0.3">
      <c r="A254" s="103">
        <v>2026</v>
      </c>
      <c r="B254" s="211" t="s">
        <v>590</v>
      </c>
      <c r="C254" s="103"/>
      <c r="D254" s="103"/>
      <c r="E254" s="3" t="s">
        <v>473</v>
      </c>
      <c r="F254" s="119">
        <v>20</v>
      </c>
      <c r="G254" s="107" t="str">
        <f>VLOOKUP(TBLBAHANKELUAR[[#This Row],[KODE BAHAN]],[4]!TBLPIZZAYES[#Data],2,FALSE)</f>
        <v>JAGUNG</v>
      </c>
      <c r="H254" s="104">
        <f>VLOOKUP(TBLBAHANKELUAR[[#This Row],[NAMA BAHAN]],TBLREKAPBAHAN[[NAMA BAHAN]:[MODAL SATUAN]],2,FALSE)</f>
        <v>3000</v>
      </c>
      <c r="I254" s="104">
        <f>VLOOKUP(TBLBAHANKELUAR[[#This Row],[NAMA BAHAN]],TBLREKAPBAHAN[[NAMA BAHAN]:[MODAL SATUAN]],3,FALSE)</f>
        <v>2</v>
      </c>
      <c r="J254" s="104">
        <f>VLOOKUP(TBLBAHANKELUAR[[#This Row],[NAMA BAHAN]],TBLREKAPBAHAN[[NAMA BAHAN]:[MODAL SATUAN]],4,FALSE)</f>
        <v>1500</v>
      </c>
      <c r="K254" s="105">
        <f>VLOOKUP(TBLBAHANKELUAR[[#This Row],[KODE BAHAN]],[4]!TBLPIZZAYES[#Data],11,FALSE)</f>
        <v>0</v>
      </c>
      <c r="L254" s="215">
        <f>SUMIF(TBLPRODUKKELUARJULI[NAMA PRODUK],TBLBAHANKELUAR[[#This Row],[NAMA PRODUK]],TBLPRODUKKELUARJULI[JUMLAH TERJUAL])</f>
        <v>2</v>
      </c>
      <c r="M254" s="105">
        <f>TBLBAHANKELUAR[[#This Row],[KEB. BAHAN]]*TBLBAHANKELUAR[[#This Row],[JUMLAH KEB. BAHAN KELUAR]]</f>
        <v>0</v>
      </c>
      <c r="N254" s="104">
        <f>TBLBAHANKELUAR[[#This Row],[MODAL SATUAN]]*TBLBAHANKELUAR[[#This Row],[TOTAL BAHAN KELUAR]]</f>
        <v>0</v>
      </c>
    </row>
    <row r="255" spans="1:14" x14ac:dyDescent="0.3">
      <c r="A255" s="103">
        <v>2026</v>
      </c>
      <c r="B255" s="211" t="s">
        <v>590</v>
      </c>
      <c r="C255" s="103"/>
      <c r="D255" s="103"/>
      <c r="E255" s="3" t="s">
        <v>473</v>
      </c>
      <c r="F255" s="119">
        <v>21</v>
      </c>
      <c r="G255" s="107" t="str">
        <f>VLOOKUP(TBLBAHANKELUAR[[#This Row],[KODE BAHAN]],[4]!TBLPIZZAYES[#Data],2,FALSE)</f>
        <v>PAPRIKA GRAM</v>
      </c>
      <c r="H255" s="104">
        <f>VLOOKUP(TBLBAHANKELUAR[[#This Row],[NAMA BAHAN]],TBLREKAPBAHAN[[NAMA BAHAN]:[MODAL SATUAN]],2,FALSE)</f>
        <v>10000</v>
      </c>
      <c r="I255" s="104">
        <f>VLOOKUP(TBLBAHANKELUAR[[#This Row],[NAMA BAHAN]],TBLREKAPBAHAN[[NAMA BAHAN]:[MODAL SATUAN]],3,FALSE)</f>
        <v>100</v>
      </c>
      <c r="J255" s="104">
        <f>VLOOKUP(TBLBAHANKELUAR[[#This Row],[NAMA BAHAN]],TBLREKAPBAHAN[[NAMA BAHAN]:[MODAL SATUAN]],4,FALSE)</f>
        <v>100</v>
      </c>
      <c r="K255" s="105">
        <f>VLOOKUP(TBLBAHANKELUAR[[#This Row],[KODE BAHAN]],[4]!TBLPIZZAYES[#Data],11,FALSE)</f>
        <v>5</v>
      </c>
      <c r="L255" s="215">
        <f>SUMIF(TBLPRODUKKELUARJULI[NAMA PRODUK],TBLBAHANKELUAR[[#This Row],[NAMA PRODUK]],TBLPRODUKKELUARJULI[JUMLAH TERJUAL])</f>
        <v>2</v>
      </c>
      <c r="M255" s="105">
        <f>TBLBAHANKELUAR[[#This Row],[KEB. BAHAN]]*TBLBAHANKELUAR[[#This Row],[JUMLAH KEB. BAHAN KELUAR]]</f>
        <v>10</v>
      </c>
      <c r="N255" s="104">
        <f>TBLBAHANKELUAR[[#This Row],[MODAL SATUAN]]*TBLBAHANKELUAR[[#This Row],[TOTAL BAHAN KELUAR]]</f>
        <v>1000</v>
      </c>
    </row>
    <row r="256" spans="1:14" x14ac:dyDescent="0.3">
      <c r="A256" s="103">
        <v>2026</v>
      </c>
      <c r="B256" s="211" t="s">
        <v>590</v>
      </c>
      <c r="C256" s="103"/>
      <c r="D256" s="103"/>
      <c r="E256" s="3" t="s">
        <v>473</v>
      </c>
      <c r="F256" s="119">
        <v>22</v>
      </c>
      <c r="G256" s="107" t="str">
        <f>VLOOKUP(TBLBAHANKELUAR[[#This Row],[KODE BAHAN]],[4]!TBLPIZZAYES[#Data],2,FALSE)</f>
        <v>KENTANG</v>
      </c>
      <c r="H256" s="104">
        <f>VLOOKUP(TBLBAHANKELUAR[[#This Row],[NAMA BAHAN]],TBLREKAPBAHAN[[NAMA BAHAN]:[MODAL SATUAN]],2,FALSE)</f>
        <v>12000</v>
      </c>
      <c r="I256" s="104">
        <f>VLOOKUP(TBLBAHANKELUAR[[#This Row],[NAMA BAHAN]],TBLREKAPBAHAN[[NAMA BAHAN]:[MODAL SATUAN]],3,FALSE)</f>
        <v>10</v>
      </c>
      <c r="J256" s="104">
        <f>VLOOKUP(TBLBAHANKELUAR[[#This Row],[NAMA BAHAN]],TBLREKAPBAHAN[[NAMA BAHAN]:[MODAL SATUAN]],4,FALSE)</f>
        <v>1200</v>
      </c>
      <c r="K256" s="105">
        <f>VLOOKUP(TBLBAHANKELUAR[[#This Row],[KODE BAHAN]],[4]!TBLPIZZAYES[#Data],11,FALSE)</f>
        <v>0</v>
      </c>
      <c r="L256" s="215">
        <f>SUMIF(TBLPRODUKKELUARJULI[NAMA PRODUK],TBLBAHANKELUAR[[#This Row],[NAMA PRODUK]],TBLPRODUKKELUARJULI[JUMLAH TERJUAL])</f>
        <v>2</v>
      </c>
      <c r="M256" s="105">
        <f>TBLBAHANKELUAR[[#This Row],[KEB. BAHAN]]*TBLBAHANKELUAR[[#This Row],[JUMLAH KEB. BAHAN KELUAR]]</f>
        <v>0</v>
      </c>
      <c r="N256" s="104">
        <f>TBLBAHANKELUAR[[#This Row],[MODAL SATUAN]]*TBLBAHANKELUAR[[#This Row],[TOTAL BAHAN KELUAR]]</f>
        <v>0</v>
      </c>
    </row>
    <row r="257" spans="1:14" x14ac:dyDescent="0.3">
      <c r="A257" s="103">
        <v>2026</v>
      </c>
      <c r="B257" s="211" t="s">
        <v>590</v>
      </c>
      <c r="C257" s="103"/>
      <c r="D257" s="103"/>
      <c r="E257" s="3" t="s">
        <v>473</v>
      </c>
      <c r="F257" s="119">
        <v>23</v>
      </c>
      <c r="G257" s="107" t="str">
        <f>VLOOKUP(TBLBAHANKELUAR[[#This Row],[KODE BAHAN]],[4]!TBLPIZZAYES[#Data],2,FALSE)</f>
        <v>AIR PANAS (CC/GRAM)</v>
      </c>
      <c r="H257" s="104">
        <f>VLOOKUP(TBLBAHANKELUAR[[#This Row],[NAMA BAHAN]],TBLREKAPBAHAN[[NAMA BAHAN]:[MODAL SATUAN]],2,FALSE)</f>
        <v>17000</v>
      </c>
      <c r="I257" s="104">
        <f>VLOOKUP(TBLBAHANKELUAR[[#This Row],[NAMA BAHAN]],TBLREKAPBAHAN[[NAMA BAHAN]:[MODAL SATUAN]],3,FALSE)</f>
        <v>19000</v>
      </c>
      <c r="J257" s="104">
        <f>VLOOKUP(TBLBAHANKELUAR[[#This Row],[NAMA BAHAN]],TBLREKAPBAHAN[[NAMA BAHAN]:[MODAL SATUAN]],4,FALSE)</f>
        <v>0.89473684210526316</v>
      </c>
      <c r="K257" s="105">
        <f>VLOOKUP(TBLBAHANKELUAR[[#This Row],[KODE BAHAN]],[4]!TBLPIZZAYES[#Data],11,FALSE)</f>
        <v>60</v>
      </c>
      <c r="L257" s="215">
        <f>SUMIF(TBLPRODUKKELUARJULI[NAMA PRODUK],TBLBAHANKELUAR[[#This Row],[NAMA PRODUK]],TBLPRODUKKELUARJULI[JUMLAH TERJUAL])</f>
        <v>2</v>
      </c>
      <c r="M257" s="105">
        <f>TBLBAHANKELUAR[[#This Row],[KEB. BAHAN]]*TBLBAHANKELUAR[[#This Row],[JUMLAH KEB. BAHAN KELUAR]]</f>
        <v>120</v>
      </c>
      <c r="N257" s="104">
        <f>TBLBAHANKELUAR[[#This Row],[MODAL SATUAN]]*TBLBAHANKELUAR[[#This Row],[TOTAL BAHAN KELUAR]]</f>
        <v>107.36842105263158</v>
      </c>
    </row>
    <row r="258" spans="1:14" x14ac:dyDescent="0.3">
      <c r="A258" s="103">
        <v>2026</v>
      </c>
      <c r="B258" s="211" t="s">
        <v>590</v>
      </c>
      <c r="C258" s="103"/>
      <c r="D258" s="103"/>
      <c r="E258" s="3" t="s">
        <v>473</v>
      </c>
      <c r="F258" s="119">
        <v>24</v>
      </c>
      <c r="G258" s="107" t="str">
        <f>VLOOKUP(TBLBAHANKELUAR[[#This Row],[KODE BAHAN]],[4]!TBLPIZZAYES[#Data],2,FALSE)</f>
        <v>GAS ELPIJI</v>
      </c>
      <c r="H258" s="104">
        <f>VLOOKUP(TBLBAHANKELUAR[[#This Row],[NAMA BAHAN]],TBLREKAPBAHAN[[NAMA BAHAN]:[MODAL SATUAN]],2,FALSE)</f>
        <v>23000</v>
      </c>
      <c r="I258" s="104">
        <f>VLOOKUP(TBLBAHANKELUAR[[#This Row],[NAMA BAHAN]],TBLREKAPBAHAN[[NAMA BAHAN]:[MODAL SATUAN]],3,FALSE)</f>
        <v>3000</v>
      </c>
      <c r="J258" s="104">
        <f>VLOOKUP(TBLBAHANKELUAR[[#This Row],[NAMA BAHAN]],TBLREKAPBAHAN[[NAMA BAHAN]:[MODAL SATUAN]],4,FALSE)</f>
        <v>7.666666666666667</v>
      </c>
      <c r="K258" s="105">
        <f>VLOOKUP(TBLBAHANKELUAR[[#This Row],[KODE BAHAN]],[4]!TBLPIZZAYES[#Data],11,FALSE)</f>
        <v>50</v>
      </c>
      <c r="L258" s="215">
        <f>SUMIF(TBLPRODUKKELUARJULI[NAMA PRODUK],TBLBAHANKELUAR[[#This Row],[NAMA PRODUK]],TBLPRODUKKELUARJULI[JUMLAH TERJUAL])</f>
        <v>2</v>
      </c>
      <c r="M258" s="105">
        <f>TBLBAHANKELUAR[[#This Row],[KEB. BAHAN]]*TBLBAHANKELUAR[[#This Row],[JUMLAH KEB. BAHAN KELUAR]]</f>
        <v>100</v>
      </c>
      <c r="N258" s="104">
        <f>TBLBAHANKELUAR[[#This Row],[MODAL SATUAN]]*TBLBAHANKELUAR[[#This Row],[TOTAL BAHAN KELUAR]]</f>
        <v>766.66666666666674</v>
      </c>
    </row>
    <row r="259" spans="1:14" x14ac:dyDescent="0.3">
      <c r="A259" s="103">
        <v>2026</v>
      </c>
      <c r="B259" s="211" t="s">
        <v>590</v>
      </c>
      <c r="C259" s="103"/>
      <c r="D259" s="103"/>
      <c r="E259" s="3" t="s">
        <v>473</v>
      </c>
      <c r="F259" s="119">
        <v>25</v>
      </c>
      <c r="G259" s="107" t="str">
        <f>VLOOKUP(TBLBAHANKELUAR[[#This Row],[KODE BAHAN]],[4]!TBLPIZZAYES[#Data],2,FALSE)</f>
        <v>KERTAS ROTI OVEN</v>
      </c>
      <c r="H259" s="104">
        <f>VLOOKUP(TBLBAHANKELUAR[[#This Row],[NAMA BAHAN]],TBLREKAPBAHAN[[NAMA BAHAN]:[MODAL SATUAN]],2,FALSE)</f>
        <v>10000</v>
      </c>
      <c r="I259" s="104">
        <f>VLOOKUP(TBLBAHANKELUAR[[#This Row],[NAMA BAHAN]],TBLREKAPBAHAN[[NAMA BAHAN]:[MODAL SATUAN]],3,FALSE)</f>
        <v>50</v>
      </c>
      <c r="J259" s="104">
        <f>VLOOKUP(TBLBAHANKELUAR[[#This Row],[NAMA BAHAN]],TBLREKAPBAHAN[[NAMA BAHAN]:[MODAL SATUAN]],4,FALSE)</f>
        <v>200</v>
      </c>
      <c r="K259" s="105">
        <f>VLOOKUP(TBLBAHANKELUAR[[#This Row],[KODE BAHAN]],[4]!TBLPIZZAYES[#Data],11,FALSE)</f>
        <v>1</v>
      </c>
      <c r="L259" s="215">
        <f>SUMIF(TBLPRODUKKELUARJULI[NAMA PRODUK],TBLBAHANKELUAR[[#This Row],[NAMA PRODUK]],TBLPRODUKKELUARJULI[JUMLAH TERJUAL])</f>
        <v>2</v>
      </c>
      <c r="M259" s="105">
        <f>TBLBAHANKELUAR[[#This Row],[KEB. BAHAN]]*TBLBAHANKELUAR[[#This Row],[JUMLAH KEB. BAHAN KELUAR]]</f>
        <v>2</v>
      </c>
      <c r="N259" s="104">
        <f>TBLBAHANKELUAR[[#This Row],[MODAL SATUAN]]*TBLBAHANKELUAR[[#This Row],[TOTAL BAHAN KELUAR]]</f>
        <v>400</v>
      </c>
    </row>
    <row r="260" spans="1:14" x14ac:dyDescent="0.3">
      <c r="A260" s="103">
        <v>2026</v>
      </c>
      <c r="B260" s="211" t="s">
        <v>590</v>
      </c>
      <c r="C260" s="103"/>
      <c r="D260" s="103"/>
      <c r="E260" s="3" t="s">
        <v>473</v>
      </c>
      <c r="F260" s="119">
        <v>26</v>
      </c>
      <c r="G260" s="107" t="str">
        <f>VLOOKUP(TBLBAHANKELUAR[[#This Row],[KODE BAHAN]],[4]!TBLPIZZAYES[#Data],2,FALSE)</f>
        <v>KOTAK 18 CM</v>
      </c>
      <c r="H260" s="104">
        <f>VLOOKUP(TBLBAHANKELUAR[[#This Row],[NAMA BAHAN]],TBLREKAPBAHAN[[NAMA BAHAN]:[MODAL SATUAN]],2,FALSE)</f>
        <v>2000</v>
      </c>
      <c r="I260" s="104">
        <f>VLOOKUP(TBLBAHANKELUAR[[#This Row],[NAMA BAHAN]],TBLREKAPBAHAN[[NAMA BAHAN]:[MODAL SATUAN]],3,FALSE)</f>
        <v>1</v>
      </c>
      <c r="J260" s="104">
        <f>VLOOKUP(TBLBAHANKELUAR[[#This Row],[NAMA BAHAN]],TBLREKAPBAHAN[[NAMA BAHAN]:[MODAL SATUAN]],4,FALSE)</f>
        <v>2000</v>
      </c>
      <c r="K260" s="105">
        <f>VLOOKUP(TBLBAHANKELUAR[[#This Row],[KODE BAHAN]],[4]!TBLPIZZAYES[#Data],11,FALSE)</f>
        <v>1</v>
      </c>
      <c r="L260" s="215">
        <f>SUMIF(TBLPRODUKKELUARJULI[NAMA PRODUK],TBLBAHANKELUAR[[#This Row],[NAMA PRODUK]],TBLPRODUKKELUARJULI[JUMLAH TERJUAL])</f>
        <v>2</v>
      </c>
      <c r="M260" s="105">
        <f>TBLBAHANKELUAR[[#This Row],[KEB. BAHAN]]*TBLBAHANKELUAR[[#This Row],[JUMLAH KEB. BAHAN KELUAR]]</f>
        <v>2</v>
      </c>
      <c r="N260" s="104">
        <f>TBLBAHANKELUAR[[#This Row],[MODAL SATUAN]]*TBLBAHANKELUAR[[#This Row],[TOTAL BAHAN KELUAR]]</f>
        <v>4000</v>
      </c>
    </row>
    <row r="261" spans="1:14" x14ac:dyDescent="0.3">
      <c r="A261" s="103">
        <v>2026</v>
      </c>
      <c r="B261" s="211" t="s">
        <v>590</v>
      </c>
      <c r="C261" s="103"/>
      <c r="D261" s="103"/>
      <c r="E261" s="3" t="s">
        <v>473</v>
      </c>
      <c r="F261" s="119">
        <v>27</v>
      </c>
      <c r="G261" s="107" t="str">
        <f>VLOOKUP(TBLBAHANKELUAR[[#This Row],[KODE BAHAN]],[4]!TBLPIZZAYES[#Data],2,FALSE)</f>
        <v>TALI RAFIA</v>
      </c>
      <c r="H261" s="104">
        <f>VLOOKUP(TBLBAHANKELUAR[[#This Row],[NAMA BAHAN]],TBLREKAPBAHAN[[NAMA BAHAN]:[MODAL SATUAN]],2,FALSE)</f>
        <v>37500</v>
      </c>
      <c r="I261" s="104">
        <f>VLOOKUP(TBLBAHANKELUAR[[#This Row],[NAMA BAHAN]],TBLREKAPBAHAN[[NAMA BAHAN]:[MODAL SATUAN]],3,FALSE)</f>
        <v>300</v>
      </c>
      <c r="J261" s="104">
        <f>VLOOKUP(TBLBAHANKELUAR[[#This Row],[NAMA BAHAN]],TBLREKAPBAHAN[[NAMA BAHAN]:[MODAL SATUAN]],4,FALSE)</f>
        <v>125</v>
      </c>
      <c r="K261" s="105">
        <f>VLOOKUP(TBLBAHANKELUAR[[#This Row],[KODE BAHAN]],[4]!TBLPIZZAYES[#Data],11,FALSE)</f>
        <v>1</v>
      </c>
      <c r="L261" s="215">
        <f>SUMIF(TBLPRODUKKELUARJULI[NAMA PRODUK],TBLBAHANKELUAR[[#This Row],[NAMA PRODUK]],TBLPRODUKKELUARJULI[JUMLAH TERJUAL])</f>
        <v>2</v>
      </c>
      <c r="M261" s="105">
        <f>TBLBAHANKELUAR[[#This Row],[KEB. BAHAN]]*TBLBAHANKELUAR[[#This Row],[JUMLAH KEB. BAHAN KELUAR]]</f>
        <v>2</v>
      </c>
      <c r="N261" s="104">
        <f>TBLBAHANKELUAR[[#This Row],[MODAL SATUAN]]*TBLBAHANKELUAR[[#This Row],[TOTAL BAHAN KELUAR]]</f>
        <v>250</v>
      </c>
    </row>
    <row r="262" spans="1:14" x14ac:dyDescent="0.3">
      <c r="A262" s="103">
        <v>2026</v>
      </c>
      <c r="B262" s="211" t="s">
        <v>590</v>
      </c>
      <c r="C262" s="103"/>
      <c r="D262" s="103"/>
      <c r="E262" s="3" t="s">
        <v>473</v>
      </c>
      <c r="F262" s="119">
        <v>28</v>
      </c>
      <c r="G262" s="107" t="str">
        <f>VLOOKUP(TBLBAHANKELUAR[[#This Row],[KODE BAHAN]],[4]!TBLPIZZAYES[#Data],2,FALSE)</f>
        <v>KRESEK 30 CM</v>
      </c>
      <c r="H262" s="104">
        <f>VLOOKUP(TBLBAHANKELUAR[[#This Row],[NAMA BAHAN]],TBLREKAPBAHAN[[NAMA BAHAN]:[MODAL SATUAN]],2,FALSE)</f>
        <v>1000</v>
      </c>
      <c r="I262" s="104">
        <f>VLOOKUP(TBLBAHANKELUAR[[#This Row],[NAMA BAHAN]],TBLREKAPBAHAN[[NAMA BAHAN]:[MODAL SATUAN]],3,FALSE)</f>
        <v>2</v>
      </c>
      <c r="J262" s="104">
        <f>VLOOKUP(TBLBAHANKELUAR[[#This Row],[NAMA BAHAN]],TBLREKAPBAHAN[[NAMA BAHAN]:[MODAL SATUAN]],4,FALSE)</f>
        <v>500</v>
      </c>
      <c r="K262" s="105">
        <f>VLOOKUP(TBLBAHANKELUAR[[#This Row],[KODE BAHAN]],[4]!TBLPIZZAYES[#Data],11,FALSE)</f>
        <v>1</v>
      </c>
      <c r="L262" s="215">
        <f>SUMIF(TBLPRODUKKELUARJULI[NAMA PRODUK],TBLBAHANKELUAR[[#This Row],[NAMA PRODUK]],TBLPRODUKKELUARJULI[JUMLAH TERJUAL])</f>
        <v>2</v>
      </c>
      <c r="M262" s="105">
        <f>TBLBAHANKELUAR[[#This Row],[KEB. BAHAN]]*TBLBAHANKELUAR[[#This Row],[JUMLAH KEB. BAHAN KELUAR]]</f>
        <v>2</v>
      </c>
      <c r="N262" s="104">
        <f>TBLBAHANKELUAR[[#This Row],[MODAL SATUAN]]*TBLBAHANKELUAR[[#This Row],[TOTAL BAHAN KELUAR]]</f>
        <v>1000</v>
      </c>
    </row>
    <row r="263" spans="1:14" x14ac:dyDescent="0.3">
      <c r="A263" s="103">
        <v>2026</v>
      </c>
      <c r="B263" s="211" t="s">
        <v>590</v>
      </c>
      <c r="C263" s="103"/>
      <c r="D263" s="103"/>
      <c r="E263" s="255" t="s">
        <v>393</v>
      </c>
      <c r="F263" s="119">
        <v>1</v>
      </c>
      <c r="G263" s="107" t="str">
        <f>VLOOKUP(TBLBAHANKELUAR[[#This Row],[KODE BAHAN]],[4]!TBLPIZZAYES[#Data],2,FALSE)</f>
        <v>SAOS SPAGHETI GRAM</v>
      </c>
      <c r="H263" s="104">
        <f>VLOOKUP(TBLBAHANKELUAR[[#This Row],[NAMA BAHAN]],TBLREKAPBAHAN[[NAMA BAHAN]:[MODAL SATUAN]],2,FALSE)</f>
        <v>12000</v>
      </c>
      <c r="I263" s="104">
        <f>VLOOKUP(TBLBAHANKELUAR[[#This Row],[NAMA BAHAN]],TBLREKAPBAHAN[[NAMA BAHAN]:[MODAL SATUAN]],3,FALSE)</f>
        <v>250</v>
      </c>
      <c r="J263" s="104">
        <f>VLOOKUP(TBLBAHANKELUAR[[#This Row],[NAMA BAHAN]],TBLREKAPBAHAN[[NAMA BAHAN]:[MODAL SATUAN]],4,FALSE)</f>
        <v>48</v>
      </c>
      <c r="K263" s="105">
        <f>VLOOKUP(TBLBAHANKELUAR[[#This Row],[KODE BAHAN]],[4]!TBLPIZZAYES[#Data],13,FALSE)</f>
        <v>30</v>
      </c>
      <c r="L263" s="215">
        <f>SUMIF(TBLPRODUKKELUARJULI[NAMA PRODUK],TBLBAHANKELUAR[[#This Row],[NAMA PRODUK]],TBLPRODUKKELUARJULI[JUMLAH TERJUAL])</f>
        <v>2</v>
      </c>
      <c r="M263" s="105">
        <f>TBLBAHANKELUAR[[#This Row],[KEB. BAHAN]]*TBLBAHANKELUAR[[#This Row],[JUMLAH KEB. BAHAN KELUAR]]</f>
        <v>60</v>
      </c>
      <c r="N263" s="104">
        <f>TBLBAHANKELUAR[[#This Row],[MODAL SATUAN]]*TBLBAHANKELUAR[[#This Row],[TOTAL BAHAN KELUAR]]</f>
        <v>2880</v>
      </c>
    </row>
    <row r="264" spans="1:14" x14ac:dyDescent="0.3">
      <c r="A264" s="103">
        <v>2026</v>
      </c>
      <c r="B264" s="211" t="s">
        <v>590</v>
      </c>
      <c r="C264" s="103"/>
      <c r="D264" s="103"/>
      <c r="E264" s="255" t="s">
        <v>393</v>
      </c>
      <c r="F264" s="119">
        <v>2</v>
      </c>
      <c r="G264" s="107" t="str">
        <f>VLOOKUP(TBLBAHANKELUAR[[#This Row],[KODE BAHAN]],[4]!TBLPIZZAYES[#Data],2,FALSE)</f>
        <v>SAOS TOMAT SACHET</v>
      </c>
      <c r="H264" s="104">
        <f>VLOOKUP(TBLBAHANKELUAR[[#This Row],[NAMA BAHAN]],TBLREKAPBAHAN[[NAMA BAHAN]:[MODAL SATUAN]],2,FALSE)</f>
        <v>7000</v>
      </c>
      <c r="I264" s="104">
        <f>VLOOKUP(TBLBAHANKELUAR[[#This Row],[NAMA BAHAN]],TBLREKAPBAHAN[[NAMA BAHAN]:[MODAL SATUAN]],3,FALSE)</f>
        <v>24</v>
      </c>
      <c r="J264" s="104">
        <f>VLOOKUP(TBLBAHANKELUAR[[#This Row],[NAMA BAHAN]],TBLREKAPBAHAN[[NAMA BAHAN]:[MODAL SATUAN]],4,FALSE)</f>
        <v>291.66666666666669</v>
      </c>
      <c r="K264" s="105">
        <f>VLOOKUP(TBLBAHANKELUAR[[#This Row],[KODE BAHAN]],[4]!TBLPIZZAYES[#Data],13,FALSE)</f>
        <v>2</v>
      </c>
      <c r="L264" s="215">
        <f>SUMIF(TBLPRODUKKELUARJULI[NAMA PRODUK],TBLBAHANKELUAR[[#This Row],[NAMA PRODUK]],TBLPRODUKKELUARJULI[JUMLAH TERJUAL])</f>
        <v>2</v>
      </c>
      <c r="M264" s="105">
        <f>TBLBAHANKELUAR[[#This Row],[KEB. BAHAN]]*TBLBAHANKELUAR[[#This Row],[JUMLAH KEB. BAHAN KELUAR]]</f>
        <v>4</v>
      </c>
      <c r="N264" s="104">
        <f>TBLBAHANKELUAR[[#This Row],[MODAL SATUAN]]*TBLBAHANKELUAR[[#This Row],[TOTAL BAHAN KELUAR]]</f>
        <v>1166.6666666666667</v>
      </c>
    </row>
    <row r="265" spans="1:14" x14ac:dyDescent="0.3">
      <c r="A265" s="103">
        <v>2026</v>
      </c>
      <c r="B265" s="211" t="s">
        <v>590</v>
      </c>
      <c r="C265" s="103"/>
      <c r="D265" s="103"/>
      <c r="E265" s="255" t="s">
        <v>393</v>
      </c>
      <c r="F265" s="119">
        <v>3</v>
      </c>
      <c r="G265" s="107" t="str">
        <f>VLOOKUP(TBLBAHANKELUAR[[#This Row],[KODE BAHAN]],[4]!TBLPIZZAYES[#Data],2,FALSE)</f>
        <v>SAOS SAMBAL SACHET</v>
      </c>
      <c r="H265" s="104">
        <f>VLOOKUP(TBLBAHANKELUAR[[#This Row],[NAMA BAHAN]],TBLREKAPBAHAN[[NAMA BAHAN]:[MODAL SATUAN]],2,FALSE)</f>
        <v>8000</v>
      </c>
      <c r="I265" s="104">
        <f>VLOOKUP(TBLBAHANKELUAR[[#This Row],[NAMA BAHAN]],TBLREKAPBAHAN[[NAMA BAHAN]:[MODAL SATUAN]],3,FALSE)</f>
        <v>24</v>
      </c>
      <c r="J265" s="104">
        <f>VLOOKUP(TBLBAHANKELUAR[[#This Row],[NAMA BAHAN]],TBLREKAPBAHAN[[NAMA BAHAN]:[MODAL SATUAN]],4,FALSE)</f>
        <v>333.33333333333331</v>
      </c>
      <c r="K265" s="105">
        <f>VLOOKUP(TBLBAHANKELUAR[[#This Row],[KODE BAHAN]],[4]!TBLPIZZAYES[#Data],13,FALSE)</f>
        <v>2</v>
      </c>
      <c r="L265" s="215">
        <f>SUMIF(TBLPRODUKKELUARJULI[NAMA PRODUK],TBLBAHANKELUAR[[#This Row],[NAMA PRODUK]],TBLPRODUKKELUARJULI[JUMLAH TERJUAL])</f>
        <v>2</v>
      </c>
      <c r="M265" s="105">
        <f>TBLBAHANKELUAR[[#This Row],[KEB. BAHAN]]*TBLBAHANKELUAR[[#This Row],[JUMLAH KEB. BAHAN KELUAR]]</f>
        <v>4</v>
      </c>
      <c r="N265" s="104">
        <f>TBLBAHANKELUAR[[#This Row],[MODAL SATUAN]]*TBLBAHANKELUAR[[#This Row],[TOTAL BAHAN KELUAR]]</f>
        <v>1333.3333333333333</v>
      </c>
    </row>
    <row r="266" spans="1:14" x14ac:dyDescent="0.3">
      <c r="A266" s="103">
        <v>2026</v>
      </c>
      <c r="B266" s="211" t="s">
        <v>590</v>
      </c>
      <c r="C266" s="103"/>
      <c r="D266" s="103"/>
      <c r="E266" s="255" t="s">
        <v>393</v>
      </c>
      <c r="F266" s="119">
        <v>4</v>
      </c>
      <c r="G266" s="107" t="str">
        <f>VLOOKUP(TBLBAHANKELUAR[[#This Row],[KODE BAHAN]],[4]!TBLPIZZAYES[#Data],2,FALSE)</f>
        <v>KEJU MOZZARELLA</v>
      </c>
      <c r="H266" s="104">
        <f>VLOOKUP(TBLBAHANKELUAR[[#This Row],[NAMA BAHAN]],TBLREKAPBAHAN[[NAMA BAHAN]:[MODAL SATUAN]],2,FALSE)</f>
        <v>90000</v>
      </c>
      <c r="I266" s="104">
        <f>VLOOKUP(TBLBAHANKELUAR[[#This Row],[NAMA BAHAN]],TBLREKAPBAHAN[[NAMA BAHAN]:[MODAL SATUAN]],3,FALSE)</f>
        <v>500</v>
      </c>
      <c r="J266" s="104">
        <f>VLOOKUP(TBLBAHANKELUAR[[#This Row],[NAMA BAHAN]],TBLREKAPBAHAN[[NAMA BAHAN]:[MODAL SATUAN]],4,FALSE)</f>
        <v>180</v>
      </c>
      <c r="K266" s="105">
        <f>VLOOKUP(TBLBAHANKELUAR[[#This Row],[KODE BAHAN]],[4]!TBLPIZZAYES[#Data],13,FALSE)</f>
        <v>64</v>
      </c>
      <c r="L266" s="215">
        <f>SUMIF(TBLPRODUKKELUARJULI[NAMA PRODUK],TBLBAHANKELUAR[[#This Row],[NAMA PRODUK]],TBLPRODUKKELUARJULI[JUMLAH TERJUAL])</f>
        <v>2</v>
      </c>
      <c r="M266" s="105">
        <f>TBLBAHANKELUAR[[#This Row],[KEB. BAHAN]]*TBLBAHANKELUAR[[#This Row],[JUMLAH KEB. BAHAN KELUAR]]</f>
        <v>128</v>
      </c>
      <c r="N266" s="104">
        <f>TBLBAHANKELUAR[[#This Row],[MODAL SATUAN]]*TBLBAHANKELUAR[[#This Row],[TOTAL BAHAN KELUAR]]</f>
        <v>23040</v>
      </c>
    </row>
    <row r="267" spans="1:14" x14ac:dyDescent="0.3">
      <c r="A267" s="103">
        <v>2026</v>
      </c>
      <c r="B267" s="211" t="s">
        <v>590</v>
      </c>
      <c r="C267" s="103"/>
      <c r="D267" s="103"/>
      <c r="E267" s="255" t="s">
        <v>393</v>
      </c>
      <c r="F267" s="119">
        <v>5</v>
      </c>
      <c r="G267" s="107" t="str">
        <f>VLOOKUP(TBLBAHANKELUAR[[#This Row],[KODE BAHAN]],[4]!TBLPIZZAYES[#Data],2,FALSE)</f>
        <v>SOSIZ BATANG</v>
      </c>
      <c r="H267" s="104">
        <f>VLOOKUP(TBLBAHANKELUAR[[#This Row],[NAMA BAHAN]],TBLREKAPBAHAN[[NAMA BAHAN]:[MODAL SATUAN]],2,FALSE)</f>
        <v>35000</v>
      </c>
      <c r="I267" s="104">
        <f>VLOOKUP(TBLBAHANKELUAR[[#This Row],[NAMA BAHAN]],TBLREKAPBAHAN[[NAMA BAHAN]:[MODAL SATUAN]],3,FALSE)</f>
        <v>38</v>
      </c>
      <c r="J267" s="104">
        <f>VLOOKUP(TBLBAHANKELUAR[[#This Row],[NAMA BAHAN]],TBLREKAPBAHAN[[NAMA BAHAN]:[MODAL SATUAN]],4,FALSE)</f>
        <v>921.0526315789474</v>
      </c>
      <c r="K267" s="105">
        <f>VLOOKUP(TBLBAHANKELUAR[[#This Row],[KODE BAHAN]],[4]!TBLPIZZAYES[#Data],13,FALSE)</f>
        <v>1</v>
      </c>
      <c r="L267" s="215">
        <f>SUMIF(TBLPRODUKKELUARJULI[NAMA PRODUK],TBLBAHANKELUAR[[#This Row],[NAMA PRODUK]],TBLPRODUKKELUARJULI[JUMLAH TERJUAL])</f>
        <v>2</v>
      </c>
      <c r="M267" s="105">
        <f>TBLBAHANKELUAR[[#This Row],[KEB. BAHAN]]*TBLBAHANKELUAR[[#This Row],[JUMLAH KEB. BAHAN KELUAR]]</f>
        <v>2</v>
      </c>
      <c r="N267" s="104">
        <f>TBLBAHANKELUAR[[#This Row],[MODAL SATUAN]]*TBLBAHANKELUAR[[#This Row],[TOTAL BAHAN KELUAR]]</f>
        <v>1842.1052631578948</v>
      </c>
    </row>
    <row r="268" spans="1:14" x14ac:dyDescent="0.3">
      <c r="A268" s="103">
        <v>2026</v>
      </c>
      <c r="B268" s="211" t="s">
        <v>590</v>
      </c>
      <c r="C268" s="103"/>
      <c r="D268" s="103"/>
      <c r="E268" s="255" t="s">
        <v>393</v>
      </c>
      <c r="F268" s="119">
        <v>6</v>
      </c>
      <c r="G268" s="107" t="str">
        <f>VLOOKUP(TBLBAHANKELUAR[[#This Row],[KODE BAHAN]],[4]!TBLPIZZAYES[#Data],2,FALSE)</f>
        <v>AYAM SUWIR</v>
      </c>
      <c r="H268" s="104">
        <f>VLOOKUP(TBLBAHANKELUAR[[#This Row],[NAMA BAHAN]],TBLREKAPBAHAN[[NAMA BAHAN]:[MODAL SATUAN]],2,FALSE)</f>
        <v>45000</v>
      </c>
      <c r="I268" s="104">
        <f>VLOOKUP(TBLBAHANKELUAR[[#This Row],[NAMA BAHAN]],TBLREKAPBAHAN[[NAMA BAHAN]:[MODAL SATUAN]],3,FALSE)</f>
        <v>400</v>
      </c>
      <c r="J268" s="104">
        <f>VLOOKUP(TBLBAHANKELUAR[[#This Row],[NAMA BAHAN]],TBLREKAPBAHAN[[NAMA BAHAN]:[MODAL SATUAN]],4,FALSE)</f>
        <v>112.5</v>
      </c>
      <c r="K268" s="105">
        <f>VLOOKUP(TBLBAHANKELUAR[[#This Row],[KODE BAHAN]],[4]!TBLPIZZAYES[#Data],13,FALSE)</f>
        <v>30</v>
      </c>
      <c r="L268" s="215">
        <f>SUMIF(TBLPRODUKKELUARJULI[NAMA PRODUK],TBLBAHANKELUAR[[#This Row],[NAMA PRODUK]],TBLPRODUKKELUARJULI[JUMLAH TERJUAL])</f>
        <v>2</v>
      </c>
      <c r="M268" s="105">
        <f>TBLBAHANKELUAR[[#This Row],[KEB. BAHAN]]*TBLBAHANKELUAR[[#This Row],[JUMLAH KEB. BAHAN KELUAR]]</f>
        <v>60</v>
      </c>
      <c r="N268" s="104">
        <f>TBLBAHANKELUAR[[#This Row],[MODAL SATUAN]]*TBLBAHANKELUAR[[#This Row],[TOTAL BAHAN KELUAR]]</f>
        <v>6750</v>
      </c>
    </row>
    <row r="269" spans="1:14" x14ac:dyDescent="0.3">
      <c r="A269" s="103">
        <v>2026</v>
      </c>
      <c r="B269" s="211" t="s">
        <v>590</v>
      </c>
      <c r="C269" s="103"/>
      <c r="D269" s="103"/>
      <c r="E269" s="255" t="s">
        <v>393</v>
      </c>
      <c r="F269" s="119">
        <v>7</v>
      </c>
      <c r="G269" s="107" t="str">
        <f>VLOOKUP(TBLBAHANKELUAR[[#This Row],[KODE BAHAN]],[4]!TBLPIZZAYES[#Data],2,FALSE)</f>
        <v>DAGING SAPI</v>
      </c>
      <c r="H269" s="104">
        <f>VLOOKUP(TBLBAHANKELUAR[[#This Row],[NAMA BAHAN]],TBLREKAPBAHAN[[NAMA BAHAN]:[MODAL SATUAN]],2,FALSE)</f>
        <v>85000</v>
      </c>
      <c r="I269" s="104">
        <f>VLOOKUP(TBLBAHANKELUAR[[#This Row],[NAMA BAHAN]],TBLREKAPBAHAN[[NAMA BAHAN]:[MODAL SATUAN]],3,FALSE)</f>
        <v>1000</v>
      </c>
      <c r="J269" s="104">
        <f>VLOOKUP(TBLBAHANKELUAR[[#This Row],[NAMA BAHAN]],TBLREKAPBAHAN[[NAMA BAHAN]:[MODAL SATUAN]],4,FALSE)</f>
        <v>85</v>
      </c>
      <c r="K269" s="105">
        <f>VLOOKUP(TBLBAHANKELUAR[[#This Row],[KODE BAHAN]],[4]!TBLPIZZAYES[#Data],13,FALSE)</f>
        <v>0</v>
      </c>
      <c r="L269" s="215">
        <f>SUMIF(TBLPRODUKKELUARJULI[NAMA PRODUK],TBLBAHANKELUAR[[#This Row],[NAMA PRODUK]],TBLPRODUKKELUARJULI[JUMLAH TERJUAL])</f>
        <v>2</v>
      </c>
      <c r="M269" s="105">
        <f>TBLBAHANKELUAR[[#This Row],[KEB. BAHAN]]*TBLBAHANKELUAR[[#This Row],[JUMLAH KEB. BAHAN KELUAR]]</f>
        <v>0</v>
      </c>
      <c r="N269" s="104">
        <f>TBLBAHANKELUAR[[#This Row],[MODAL SATUAN]]*TBLBAHANKELUAR[[#This Row],[TOTAL BAHAN KELUAR]]</f>
        <v>0</v>
      </c>
    </row>
    <row r="270" spans="1:14" x14ac:dyDescent="0.3">
      <c r="A270" s="103">
        <v>2026</v>
      </c>
      <c r="B270" s="211" t="s">
        <v>590</v>
      </c>
      <c r="C270" s="103"/>
      <c r="D270" s="103"/>
      <c r="E270" s="255" t="s">
        <v>393</v>
      </c>
      <c r="F270" s="119">
        <v>8</v>
      </c>
      <c r="G270" s="107" t="str">
        <f>VLOOKUP(TBLBAHANKELUAR[[#This Row],[KODE BAHAN]],[4]!TBLPIZZAYES[#Data],2,FALSE)</f>
        <v>MENTEGA</v>
      </c>
      <c r="H270" s="104">
        <f>VLOOKUP(TBLBAHANKELUAR[[#This Row],[NAMA BAHAN]],TBLREKAPBAHAN[[NAMA BAHAN]:[MODAL SATUAN]],2,FALSE)</f>
        <v>35000</v>
      </c>
      <c r="I270" s="104">
        <f>VLOOKUP(TBLBAHANKELUAR[[#This Row],[NAMA BAHAN]],TBLREKAPBAHAN[[NAMA BAHAN]:[MODAL SATUAN]],3,FALSE)</f>
        <v>1000</v>
      </c>
      <c r="J270" s="104">
        <f>VLOOKUP(TBLBAHANKELUAR[[#This Row],[NAMA BAHAN]],TBLREKAPBAHAN[[NAMA BAHAN]:[MODAL SATUAN]],4,FALSE)</f>
        <v>35</v>
      </c>
      <c r="K270" s="105">
        <f>VLOOKUP(TBLBAHANKELUAR[[#This Row],[KODE BAHAN]],[4]!TBLPIZZAYES[#Data],13,FALSE)</f>
        <v>18</v>
      </c>
      <c r="L270" s="215">
        <f>SUMIF(TBLPRODUKKELUARJULI[NAMA PRODUK],TBLBAHANKELUAR[[#This Row],[NAMA PRODUK]],TBLPRODUKKELUARJULI[JUMLAH TERJUAL])</f>
        <v>2</v>
      </c>
      <c r="M270" s="105">
        <f>TBLBAHANKELUAR[[#This Row],[KEB. BAHAN]]*TBLBAHANKELUAR[[#This Row],[JUMLAH KEB. BAHAN KELUAR]]</f>
        <v>36</v>
      </c>
      <c r="N270" s="104">
        <f>TBLBAHANKELUAR[[#This Row],[MODAL SATUAN]]*TBLBAHANKELUAR[[#This Row],[TOTAL BAHAN KELUAR]]</f>
        <v>1260</v>
      </c>
    </row>
    <row r="271" spans="1:14" x14ac:dyDescent="0.3">
      <c r="A271" s="103">
        <v>2026</v>
      </c>
      <c r="B271" s="211" t="s">
        <v>590</v>
      </c>
      <c r="C271" s="103"/>
      <c r="D271" s="103"/>
      <c r="E271" s="255" t="s">
        <v>393</v>
      </c>
      <c r="F271" s="119">
        <v>9</v>
      </c>
      <c r="G271" s="107" t="str">
        <f>VLOOKUP(TBLBAHANKELUAR[[#This Row],[KODE BAHAN]],[4]!TBLPIZZAYES[#Data],2,FALSE)</f>
        <v>GULA PASIR</v>
      </c>
      <c r="H271" s="104">
        <f>VLOOKUP(TBLBAHANKELUAR[[#This Row],[NAMA BAHAN]],TBLREKAPBAHAN[[NAMA BAHAN]:[MODAL SATUAN]],2,FALSE)</f>
        <v>18000</v>
      </c>
      <c r="I271" s="104">
        <f>VLOOKUP(TBLBAHANKELUAR[[#This Row],[NAMA BAHAN]],TBLREKAPBAHAN[[NAMA BAHAN]:[MODAL SATUAN]],3,FALSE)</f>
        <v>1000</v>
      </c>
      <c r="J271" s="104">
        <f>VLOOKUP(TBLBAHANKELUAR[[#This Row],[NAMA BAHAN]],TBLREKAPBAHAN[[NAMA BAHAN]:[MODAL SATUAN]],4,FALSE)</f>
        <v>18</v>
      </c>
      <c r="K271" s="105">
        <f>VLOOKUP(TBLBAHANKELUAR[[#This Row],[KODE BAHAN]],[4]!TBLPIZZAYES[#Data],13,FALSE)</f>
        <v>13.5</v>
      </c>
      <c r="L271" s="215">
        <f>SUMIF(TBLPRODUKKELUARJULI[NAMA PRODUK],TBLBAHANKELUAR[[#This Row],[NAMA PRODUK]],TBLPRODUKKELUARJULI[JUMLAH TERJUAL])</f>
        <v>2</v>
      </c>
      <c r="M271" s="105">
        <f>TBLBAHANKELUAR[[#This Row],[KEB. BAHAN]]*TBLBAHANKELUAR[[#This Row],[JUMLAH KEB. BAHAN KELUAR]]</f>
        <v>27</v>
      </c>
      <c r="N271" s="104">
        <f>TBLBAHANKELUAR[[#This Row],[MODAL SATUAN]]*TBLBAHANKELUAR[[#This Row],[TOTAL BAHAN KELUAR]]</f>
        <v>486</v>
      </c>
    </row>
    <row r="272" spans="1:14" x14ac:dyDescent="0.3">
      <c r="A272" s="103">
        <v>2026</v>
      </c>
      <c r="B272" s="211" t="s">
        <v>590</v>
      </c>
      <c r="C272" s="103"/>
      <c r="D272" s="103"/>
      <c r="E272" s="255" t="s">
        <v>393</v>
      </c>
      <c r="F272" s="119">
        <v>10</v>
      </c>
      <c r="G272" s="107" t="str">
        <f>VLOOKUP(TBLBAHANKELUAR[[#This Row],[KODE BAHAN]],[4]!TBLPIZZAYES[#Data],2,FALSE)</f>
        <v>GARAM HALUS</v>
      </c>
      <c r="H272" s="104">
        <f>VLOOKUP(TBLBAHANKELUAR[[#This Row],[NAMA BAHAN]],TBLREKAPBAHAN[[NAMA BAHAN]:[MODAL SATUAN]],2,FALSE)</f>
        <v>4000</v>
      </c>
      <c r="I272" s="104">
        <f>VLOOKUP(TBLBAHANKELUAR[[#This Row],[NAMA BAHAN]],TBLREKAPBAHAN[[NAMA BAHAN]:[MODAL SATUAN]],3,FALSE)</f>
        <v>250</v>
      </c>
      <c r="J272" s="104">
        <f>VLOOKUP(TBLBAHANKELUAR[[#This Row],[NAMA BAHAN]],TBLREKAPBAHAN[[NAMA BAHAN]:[MODAL SATUAN]],4,FALSE)</f>
        <v>16</v>
      </c>
      <c r="K272" s="105">
        <f>VLOOKUP(TBLBAHANKELUAR[[#This Row],[KODE BAHAN]],[4]!TBLPIZZAYES[#Data],13,FALSE)</f>
        <v>3</v>
      </c>
      <c r="L272" s="215">
        <f>SUMIF(TBLPRODUKKELUARJULI[NAMA PRODUK],TBLBAHANKELUAR[[#This Row],[NAMA PRODUK]],TBLPRODUKKELUARJULI[JUMLAH TERJUAL])</f>
        <v>2</v>
      </c>
      <c r="M272" s="105">
        <f>TBLBAHANKELUAR[[#This Row],[KEB. BAHAN]]*TBLBAHANKELUAR[[#This Row],[JUMLAH KEB. BAHAN KELUAR]]</f>
        <v>6</v>
      </c>
      <c r="N272" s="104">
        <f>TBLBAHANKELUAR[[#This Row],[MODAL SATUAN]]*TBLBAHANKELUAR[[#This Row],[TOTAL BAHAN KELUAR]]</f>
        <v>96</v>
      </c>
    </row>
    <row r="273" spans="1:14" x14ac:dyDescent="0.3">
      <c r="A273" s="103">
        <v>2026</v>
      </c>
      <c r="B273" s="211" t="s">
        <v>590</v>
      </c>
      <c r="C273" s="103"/>
      <c r="D273" s="103"/>
      <c r="E273" s="255" t="s">
        <v>393</v>
      </c>
      <c r="F273" s="119">
        <v>11</v>
      </c>
      <c r="G273" s="107" t="str">
        <f>VLOOKUP(TBLBAHANKELUAR[[#This Row],[KODE BAHAN]],[4]!TBLPIZZAYES[#Data],2,FALSE)</f>
        <v>VERMIPAN</v>
      </c>
      <c r="H273" s="104">
        <f>VLOOKUP(TBLBAHANKELUAR[[#This Row],[NAMA BAHAN]],TBLREKAPBAHAN[[NAMA BAHAN]:[MODAL SATUAN]],2,FALSE)</f>
        <v>7000</v>
      </c>
      <c r="I273" s="104">
        <f>VLOOKUP(TBLBAHANKELUAR[[#This Row],[NAMA BAHAN]],TBLREKAPBAHAN[[NAMA BAHAN]:[MODAL SATUAN]],3,FALSE)</f>
        <v>11</v>
      </c>
      <c r="J273" s="104">
        <f>VLOOKUP(TBLBAHANKELUAR[[#This Row],[NAMA BAHAN]],TBLREKAPBAHAN[[NAMA BAHAN]:[MODAL SATUAN]],4,FALSE)</f>
        <v>636.36363636363637</v>
      </c>
      <c r="K273" s="105">
        <f>VLOOKUP(TBLBAHANKELUAR[[#This Row],[KODE BAHAN]],[4]!TBLPIZZAYES[#Data],13,FALSE)</f>
        <v>2</v>
      </c>
      <c r="L273" s="215">
        <f>SUMIF(TBLPRODUKKELUARJULI[NAMA PRODUK],TBLBAHANKELUAR[[#This Row],[NAMA PRODUK]],TBLPRODUKKELUARJULI[JUMLAH TERJUAL])</f>
        <v>2</v>
      </c>
      <c r="M273" s="105">
        <f>TBLBAHANKELUAR[[#This Row],[KEB. BAHAN]]*TBLBAHANKELUAR[[#This Row],[JUMLAH KEB. BAHAN KELUAR]]</f>
        <v>4</v>
      </c>
      <c r="N273" s="104">
        <f>TBLBAHANKELUAR[[#This Row],[MODAL SATUAN]]*TBLBAHANKELUAR[[#This Row],[TOTAL BAHAN KELUAR]]</f>
        <v>2545.4545454545455</v>
      </c>
    </row>
    <row r="274" spans="1:14" x14ac:dyDescent="0.3">
      <c r="A274" s="103">
        <v>2026</v>
      </c>
      <c r="B274" s="211" t="s">
        <v>590</v>
      </c>
      <c r="C274" s="103"/>
      <c r="D274" s="103"/>
      <c r="E274" s="255" t="s">
        <v>393</v>
      </c>
      <c r="F274" s="119">
        <v>12</v>
      </c>
      <c r="G274" s="107" t="str">
        <f>VLOOKUP(TBLBAHANKELUAR[[#This Row],[KODE BAHAN]],[4]!TBLPIZZAYES[#Data],2,FALSE)</f>
        <v>SUSU BUBUK</v>
      </c>
      <c r="H274" s="104">
        <f>VLOOKUP(TBLBAHANKELUAR[[#This Row],[NAMA BAHAN]],TBLREKAPBAHAN[[NAMA BAHAN]:[MODAL SATUAN]],2,FALSE)</f>
        <v>18000</v>
      </c>
      <c r="I274" s="104">
        <f>VLOOKUP(TBLBAHANKELUAR[[#This Row],[NAMA BAHAN]],TBLREKAPBAHAN[[NAMA BAHAN]:[MODAL SATUAN]],3,FALSE)</f>
        <v>250</v>
      </c>
      <c r="J274" s="104">
        <f>VLOOKUP(TBLBAHANKELUAR[[#This Row],[NAMA BAHAN]],TBLREKAPBAHAN[[NAMA BAHAN]:[MODAL SATUAN]],4,FALSE)</f>
        <v>72</v>
      </c>
      <c r="K274" s="105">
        <f>VLOOKUP(TBLBAHANKELUAR[[#This Row],[KODE BAHAN]],[4]!TBLPIZZAYES[#Data],13,FALSE)</f>
        <v>15</v>
      </c>
      <c r="L274" s="215">
        <f>SUMIF(TBLPRODUKKELUARJULI[NAMA PRODUK],TBLBAHANKELUAR[[#This Row],[NAMA PRODUK]],TBLPRODUKKELUARJULI[JUMLAH TERJUAL])</f>
        <v>2</v>
      </c>
      <c r="M274" s="105">
        <f>TBLBAHANKELUAR[[#This Row],[KEB. BAHAN]]*TBLBAHANKELUAR[[#This Row],[JUMLAH KEB. BAHAN KELUAR]]</f>
        <v>30</v>
      </c>
      <c r="N274" s="104">
        <f>TBLBAHANKELUAR[[#This Row],[MODAL SATUAN]]*TBLBAHANKELUAR[[#This Row],[TOTAL BAHAN KELUAR]]</f>
        <v>2160</v>
      </c>
    </row>
    <row r="275" spans="1:14" x14ac:dyDescent="0.3">
      <c r="A275" s="103">
        <v>2026</v>
      </c>
      <c r="B275" s="211" t="s">
        <v>590</v>
      </c>
      <c r="C275" s="103"/>
      <c r="D275" s="103"/>
      <c r="E275" s="255" t="s">
        <v>393</v>
      </c>
      <c r="F275" s="119">
        <v>13</v>
      </c>
      <c r="G275" s="107" t="str">
        <f>VLOOKUP(TBLBAHANKELUAR[[#This Row],[KODE BAHAN]],[4]!TBLPIZZAYES[#Data],2,FALSE)</f>
        <v>TEPUNG SEGITIGA BIRU</v>
      </c>
      <c r="H275" s="104">
        <f>VLOOKUP(TBLBAHANKELUAR[[#This Row],[NAMA BAHAN]],TBLREKAPBAHAN[[NAMA BAHAN]:[MODAL SATUAN]],2,FALSE)</f>
        <v>14000</v>
      </c>
      <c r="I275" s="104">
        <f>VLOOKUP(TBLBAHANKELUAR[[#This Row],[NAMA BAHAN]],TBLREKAPBAHAN[[NAMA BAHAN]:[MODAL SATUAN]],3,FALSE)</f>
        <v>1000</v>
      </c>
      <c r="J275" s="104">
        <f>VLOOKUP(TBLBAHANKELUAR[[#This Row],[NAMA BAHAN]],TBLREKAPBAHAN[[NAMA BAHAN]:[MODAL SATUAN]],4,FALSE)</f>
        <v>14</v>
      </c>
      <c r="K275" s="105">
        <f>VLOOKUP(TBLBAHANKELUAR[[#This Row],[KODE BAHAN]],[4]!TBLPIZZAYES[#Data],13,FALSE)</f>
        <v>30</v>
      </c>
      <c r="L275" s="215">
        <f>SUMIF(TBLPRODUKKELUARJULI[NAMA PRODUK],TBLBAHANKELUAR[[#This Row],[NAMA PRODUK]],TBLPRODUKKELUARJULI[JUMLAH TERJUAL])</f>
        <v>2</v>
      </c>
      <c r="M275" s="105">
        <f>TBLBAHANKELUAR[[#This Row],[KEB. BAHAN]]*TBLBAHANKELUAR[[#This Row],[JUMLAH KEB. BAHAN KELUAR]]</f>
        <v>60</v>
      </c>
      <c r="N275" s="104">
        <f>TBLBAHANKELUAR[[#This Row],[MODAL SATUAN]]*TBLBAHANKELUAR[[#This Row],[TOTAL BAHAN KELUAR]]</f>
        <v>840</v>
      </c>
    </row>
    <row r="276" spans="1:14" x14ac:dyDescent="0.3">
      <c r="A276" s="103">
        <v>2026</v>
      </c>
      <c r="B276" s="211" t="s">
        <v>590</v>
      </c>
      <c r="C276" s="103"/>
      <c r="D276" s="103"/>
      <c r="E276" s="255" t="s">
        <v>393</v>
      </c>
      <c r="F276" s="119">
        <v>14</v>
      </c>
      <c r="G276" s="107" t="str">
        <f>VLOOKUP(TBLBAHANKELUAR[[#This Row],[KODE BAHAN]],[4]!TBLPIZZAYES[#Data],2,FALSE)</f>
        <v>TEPUNG CAKRA KEMBAR</v>
      </c>
      <c r="H276" s="104">
        <f>VLOOKUP(TBLBAHANKELUAR[[#This Row],[NAMA BAHAN]],TBLREKAPBAHAN[[NAMA BAHAN]:[MODAL SATUAN]],2,FALSE)</f>
        <v>14000</v>
      </c>
      <c r="I276" s="104">
        <f>VLOOKUP(TBLBAHANKELUAR[[#This Row],[NAMA BAHAN]],TBLREKAPBAHAN[[NAMA BAHAN]:[MODAL SATUAN]],3,FALSE)</f>
        <v>1000</v>
      </c>
      <c r="J276" s="104">
        <f>VLOOKUP(TBLBAHANKELUAR[[#This Row],[NAMA BAHAN]],TBLREKAPBAHAN[[NAMA BAHAN]:[MODAL SATUAN]],4,FALSE)</f>
        <v>14</v>
      </c>
      <c r="K276" s="105">
        <f>VLOOKUP(TBLBAHANKELUAR[[#This Row],[KODE BAHAN]],[4]!TBLPIZZAYES[#Data],13,FALSE)</f>
        <v>50</v>
      </c>
      <c r="L276" s="215">
        <f>SUMIF(TBLPRODUKKELUARJULI[NAMA PRODUK],TBLBAHANKELUAR[[#This Row],[NAMA PRODUK]],TBLPRODUKKELUARJULI[JUMLAH TERJUAL])</f>
        <v>2</v>
      </c>
      <c r="M276" s="105">
        <f>TBLBAHANKELUAR[[#This Row],[KEB. BAHAN]]*TBLBAHANKELUAR[[#This Row],[JUMLAH KEB. BAHAN KELUAR]]</f>
        <v>100</v>
      </c>
      <c r="N276" s="104">
        <f>TBLBAHANKELUAR[[#This Row],[MODAL SATUAN]]*TBLBAHANKELUAR[[#This Row],[TOTAL BAHAN KELUAR]]</f>
        <v>1400</v>
      </c>
    </row>
    <row r="277" spans="1:14" x14ac:dyDescent="0.3">
      <c r="A277" s="103">
        <v>2026</v>
      </c>
      <c r="B277" s="211" t="s">
        <v>590</v>
      </c>
      <c r="C277" s="103"/>
      <c r="D277" s="103"/>
      <c r="E277" s="255" t="s">
        <v>393</v>
      </c>
      <c r="F277" s="119">
        <v>15</v>
      </c>
      <c r="G277" s="107" t="str">
        <f>VLOOKUP(TBLBAHANKELUAR[[#This Row],[KODE BAHAN]],[4]!TBLPIZZAYES[#Data],2,FALSE)</f>
        <v>BASIL</v>
      </c>
      <c r="H277" s="104">
        <f>VLOOKUP(TBLBAHANKELUAR[[#This Row],[NAMA BAHAN]],TBLREKAPBAHAN[[NAMA BAHAN]:[MODAL SATUAN]],2,FALSE)</f>
        <v>30000</v>
      </c>
      <c r="I277" s="104">
        <f>VLOOKUP(TBLBAHANKELUAR[[#This Row],[NAMA BAHAN]],TBLREKAPBAHAN[[NAMA BAHAN]:[MODAL SATUAN]],3,FALSE)</f>
        <v>30</v>
      </c>
      <c r="J277" s="104">
        <f>VLOOKUP(TBLBAHANKELUAR[[#This Row],[NAMA BAHAN]],TBLREKAPBAHAN[[NAMA BAHAN]:[MODAL SATUAN]],4,FALSE)</f>
        <v>1000</v>
      </c>
      <c r="K277" s="105">
        <f>VLOOKUP(TBLBAHANKELUAR[[#This Row],[KODE BAHAN]],[4]!TBLPIZZAYES[#Data],13,FALSE)</f>
        <v>1</v>
      </c>
      <c r="L277" s="215">
        <f>SUMIF(TBLPRODUKKELUARJULI[NAMA PRODUK],TBLBAHANKELUAR[[#This Row],[NAMA PRODUK]],TBLPRODUKKELUARJULI[JUMLAH TERJUAL])</f>
        <v>2</v>
      </c>
      <c r="M277" s="105">
        <f>TBLBAHANKELUAR[[#This Row],[KEB. BAHAN]]*TBLBAHANKELUAR[[#This Row],[JUMLAH KEB. BAHAN KELUAR]]</f>
        <v>2</v>
      </c>
      <c r="N277" s="104">
        <f>TBLBAHANKELUAR[[#This Row],[MODAL SATUAN]]*TBLBAHANKELUAR[[#This Row],[TOTAL BAHAN KELUAR]]</f>
        <v>2000</v>
      </c>
    </row>
    <row r="278" spans="1:14" x14ac:dyDescent="0.3">
      <c r="A278" s="103">
        <v>2026</v>
      </c>
      <c r="B278" s="211" t="s">
        <v>590</v>
      </c>
      <c r="C278" s="103"/>
      <c r="D278" s="103"/>
      <c r="E278" s="255" t="s">
        <v>393</v>
      </c>
      <c r="F278" s="119">
        <v>16</v>
      </c>
      <c r="G278" s="107" t="str">
        <f>VLOOKUP(TBLBAHANKELUAR[[#This Row],[KODE BAHAN]],[4]!TBLPIZZAYES[#Data],2,FALSE)</f>
        <v>KALDU JAMUR</v>
      </c>
      <c r="H278" s="104">
        <f>VLOOKUP(TBLBAHANKELUAR[[#This Row],[NAMA BAHAN]],TBLREKAPBAHAN[[NAMA BAHAN]:[MODAL SATUAN]],2,FALSE)</f>
        <v>15000</v>
      </c>
      <c r="I278" s="104">
        <f>VLOOKUP(TBLBAHANKELUAR[[#This Row],[NAMA BAHAN]],TBLREKAPBAHAN[[NAMA BAHAN]:[MODAL SATUAN]],3,FALSE)</f>
        <v>80</v>
      </c>
      <c r="J278" s="104">
        <f>VLOOKUP(TBLBAHANKELUAR[[#This Row],[NAMA BAHAN]],TBLREKAPBAHAN[[NAMA BAHAN]:[MODAL SATUAN]],4,FALSE)</f>
        <v>187.5</v>
      </c>
      <c r="K278" s="105">
        <f>VLOOKUP(TBLBAHANKELUAR[[#This Row],[KODE BAHAN]],[4]!TBLPIZZAYES[#Data],13,FALSE)</f>
        <v>0</v>
      </c>
      <c r="L278" s="215">
        <f>SUMIF(TBLPRODUKKELUARJULI[NAMA PRODUK],TBLBAHANKELUAR[[#This Row],[NAMA PRODUK]],TBLPRODUKKELUARJULI[JUMLAH TERJUAL])</f>
        <v>2</v>
      </c>
      <c r="M278" s="105">
        <f>TBLBAHANKELUAR[[#This Row],[KEB. BAHAN]]*TBLBAHANKELUAR[[#This Row],[JUMLAH KEB. BAHAN KELUAR]]</f>
        <v>0</v>
      </c>
      <c r="N278" s="104">
        <f>TBLBAHANKELUAR[[#This Row],[MODAL SATUAN]]*TBLBAHANKELUAR[[#This Row],[TOTAL BAHAN KELUAR]]</f>
        <v>0</v>
      </c>
    </row>
    <row r="279" spans="1:14" x14ac:dyDescent="0.3">
      <c r="A279" s="103">
        <v>2026</v>
      </c>
      <c r="B279" s="211" t="s">
        <v>590</v>
      </c>
      <c r="C279" s="103"/>
      <c r="D279" s="103"/>
      <c r="E279" s="255" t="s">
        <v>393</v>
      </c>
      <c r="F279" s="119">
        <v>17</v>
      </c>
      <c r="G279" s="107" t="str">
        <f>VLOOKUP(TBLBAHANKELUAR[[#This Row],[KODE BAHAN]],[4]!TBLPIZZAYES[#Data],2,FALSE)</f>
        <v>BAWANG BOMBAY</v>
      </c>
      <c r="H279" s="104">
        <f>VLOOKUP(TBLBAHANKELUAR[[#This Row],[NAMA BAHAN]],TBLREKAPBAHAN[[NAMA BAHAN]:[MODAL SATUAN]],2,FALSE)</f>
        <v>5000</v>
      </c>
      <c r="I279" s="104">
        <f>VLOOKUP(TBLBAHANKELUAR[[#This Row],[NAMA BAHAN]],TBLREKAPBAHAN[[NAMA BAHAN]:[MODAL SATUAN]],3,FALSE)</f>
        <v>8</v>
      </c>
      <c r="J279" s="104">
        <f>VLOOKUP(TBLBAHANKELUAR[[#This Row],[NAMA BAHAN]],TBLREKAPBAHAN[[NAMA BAHAN]:[MODAL SATUAN]],4,FALSE)</f>
        <v>625</v>
      </c>
      <c r="K279" s="105">
        <f>VLOOKUP(TBLBAHANKELUAR[[#This Row],[KODE BAHAN]],[4]!TBLPIZZAYES[#Data],13,FALSE)</f>
        <v>2</v>
      </c>
      <c r="L279" s="215">
        <f>SUMIF(TBLPRODUKKELUARJULI[NAMA PRODUK],TBLBAHANKELUAR[[#This Row],[NAMA PRODUK]],TBLPRODUKKELUARJULI[JUMLAH TERJUAL])</f>
        <v>2</v>
      </c>
      <c r="M279" s="105">
        <f>TBLBAHANKELUAR[[#This Row],[KEB. BAHAN]]*TBLBAHANKELUAR[[#This Row],[JUMLAH KEB. BAHAN KELUAR]]</f>
        <v>4</v>
      </c>
      <c r="N279" s="104">
        <f>TBLBAHANKELUAR[[#This Row],[MODAL SATUAN]]*TBLBAHANKELUAR[[#This Row],[TOTAL BAHAN KELUAR]]</f>
        <v>2500</v>
      </c>
    </row>
    <row r="280" spans="1:14" x14ac:dyDescent="0.3">
      <c r="A280" s="103">
        <v>2026</v>
      </c>
      <c r="B280" s="211" t="s">
        <v>590</v>
      </c>
      <c r="C280" s="103"/>
      <c r="D280" s="103"/>
      <c r="E280" s="255" t="s">
        <v>393</v>
      </c>
      <c r="F280" s="119">
        <v>18</v>
      </c>
      <c r="G280" s="107" t="str">
        <f>VLOOKUP(TBLBAHANKELUAR[[#This Row],[KODE BAHAN]],[4]!TBLPIZZAYES[#Data],2,FALSE)</f>
        <v>ABON</v>
      </c>
      <c r="H280" s="104">
        <f>VLOOKUP(TBLBAHANKELUAR[[#This Row],[NAMA BAHAN]],TBLREKAPBAHAN[[NAMA BAHAN]:[MODAL SATUAN]],2,FALSE)</f>
        <v>25000</v>
      </c>
      <c r="I280" s="104">
        <f>VLOOKUP(TBLBAHANKELUAR[[#This Row],[NAMA BAHAN]],TBLREKAPBAHAN[[NAMA BAHAN]:[MODAL SATUAN]],3,FALSE)</f>
        <v>100</v>
      </c>
      <c r="J280" s="104">
        <f>VLOOKUP(TBLBAHANKELUAR[[#This Row],[NAMA BAHAN]],TBLREKAPBAHAN[[NAMA BAHAN]:[MODAL SATUAN]],4,FALSE)</f>
        <v>250</v>
      </c>
      <c r="K280" s="105">
        <f>VLOOKUP(TBLBAHANKELUAR[[#This Row],[KODE BAHAN]],[4]!TBLPIZZAYES[#Data],13,FALSE)</f>
        <v>0</v>
      </c>
      <c r="L280" s="215">
        <f>SUMIF(TBLPRODUKKELUARJULI[NAMA PRODUK],TBLBAHANKELUAR[[#This Row],[NAMA PRODUK]],TBLPRODUKKELUARJULI[JUMLAH TERJUAL])</f>
        <v>2</v>
      </c>
      <c r="M280" s="105">
        <f>TBLBAHANKELUAR[[#This Row],[KEB. BAHAN]]*TBLBAHANKELUAR[[#This Row],[JUMLAH KEB. BAHAN KELUAR]]</f>
        <v>0</v>
      </c>
      <c r="N280" s="104">
        <f>TBLBAHANKELUAR[[#This Row],[MODAL SATUAN]]*TBLBAHANKELUAR[[#This Row],[TOTAL BAHAN KELUAR]]</f>
        <v>0</v>
      </c>
    </row>
    <row r="281" spans="1:14" x14ac:dyDescent="0.3">
      <c r="A281" s="103">
        <v>2026</v>
      </c>
      <c r="B281" s="211" t="s">
        <v>590</v>
      </c>
      <c r="C281" s="103"/>
      <c r="D281" s="103"/>
      <c r="E281" s="255" t="s">
        <v>393</v>
      </c>
      <c r="F281" s="119">
        <v>19</v>
      </c>
      <c r="G281" s="107" t="str">
        <f>VLOOKUP(TBLBAHANKELUAR[[#This Row],[KODE BAHAN]],[4]!TBLPIZZAYES[#Data],2,FALSE)</f>
        <v>JAMUR</v>
      </c>
      <c r="H281" s="104">
        <f>VLOOKUP(TBLBAHANKELUAR[[#This Row],[NAMA BAHAN]],TBLREKAPBAHAN[[NAMA BAHAN]:[MODAL SATUAN]],2,FALSE)</f>
        <v>2000</v>
      </c>
      <c r="I281" s="104">
        <f>VLOOKUP(TBLBAHANKELUAR[[#This Row],[NAMA BAHAN]],TBLREKAPBAHAN[[NAMA BAHAN]:[MODAL SATUAN]],3,FALSE)</f>
        <v>10</v>
      </c>
      <c r="J281" s="104">
        <f>VLOOKUP(TBLBAHANKELUAR[[#This Row],[NAMA BAHAN]],TBLREKAPBAHAN[[NAMA BAHAN]:[MODAL SATUAN]],4,FALSE)</f>
        <v>200</v>
      </c>
      <c r="K281" s="105">
        <f>VLOOKUP(TBLBAHANKELUAR[[#This Row],[KODE BAHAN]],[4]!TBLPIZZAYES[#Data],13,FALSE)</f>
        <v>0</v>
      </c>
      <c r="L281" s="215">
        <f>SUMIF(TBLPRODUKKELUARJULI[NAMA PRODUK],TBLBAHANKELUAR[[#This Row],[NAMA PRODUK]],TBLPRODUKKELUARJULI[JUMLAH TERJUAL])</f>
        <v>2</v>
      </c>
      <c r="M281" s="105">
        <f>TBLBAHANKELUAR[[#This Row],[KEB. BAHAN]]*TBLBAHANKELUAR[[#This Row],[JUMLAH KEB. BAHAN KELUAR]]</f>
        <v>0</v>
      </c>
      <c r="N281" s="104">
        <f>TBLBAHANKELUAR[[#This Row],[MODAL SATUAN]]*TBLBAHANKELUAR[[#This Row],[TOTAL BAHAN KELUAR]]</f>
        <v>0</v>
      </c>
    </row>
    <row r="282" spans="1:14" x14ac:dyDescent="0.3">
      <c r="A282" s="103">
        <v>2026</v>
      </c>
      <c r="B282" s="211" t="s">
        <v>590</v>
      </c>
      <c r="C282" s="103"/>
      <c r="D282" s="103"/>
      <c r="E282" s="255" t="s">
        <v>393</v>
      </c>
      <c r="F282" s="119">
        <v>20</v>
      </c>
      <c r="G282" s="107" t="str">
        <f>VLOOKUP(TBLBAHANKELUAR[[#This Row],[KODE BAHAN]],[4]!TBLPIZZAYES[#Data],2,FALSE)</f>
        <v>JAGUNG</v>
      </c>
      <c r="H282" s="104">
        <f>VLOOKUP(TBLBAHANKELUAR[[#This Row],[NAMA BAHAN]],TBLREKAPBAHAN[[NAMA BAHAN]:[MODAL SATUAN]],2,FALSE)</f>
        <v>3000</v>
      </c>
      <c r="I282" s="104">
        <f>VLOOKUP(TBLBAHANKELUAR[[#This Row],[NAMA BAHAN]],TBLREKAPBAHAN[[NAMA BAHAN]:[MODAL SATUAN]],3,FALSE)</f>
        <v>2</v>
      </c>
      <c r="J282" s="104">
        <f>VLOOKUP(TBLBAHANKELUAR[[#This Row],[NAMA BAHAN]],TBLREKAPBAHAN[[NAMA BAHAN]:[MODAL SATUAN]],4,FALSE)</f>
        <v>1500</v>
      </c>
      <c r="K282" s="105">
        <f>VLOOKUP(TBLBAHANKELUAR[[#This Row],[KODE BAHAN]],[4]!TBLPIZZAYES[#Data],13,FALSE)</f>
        <v>0.5</v>
      </c>
      <c r="L282" s="215">
        <f>SUMIF(TBLPRODUKKELUARJULI[NAMA PRODUK],TBLBAHANKELUAR[[#This Row],[NAMA PRODUK]],TBLPRODUKKELUARJULI[JUMLAH TERJUAL])</f>
        <v>2</v>
      </c>
      <c r="M282" s="105">
        <f>TBLBAHANKELUAR[[#This Row],[KEB. BAHAN]]*TBLBAHANKELUAR[[#This Row],[JUMLAH KEB. BAHAN KELUAR]]</f>
        <v>1</v>
      </c>
      <c r="N282" s="104">
        <f>TBLBAHANKELUAR[[#This Row],[MODAL SATUAN]]*TBLBAHANKELUAR[[#This Row],[TOTAL BAHAN KELUAR]]</f>
        <v>1500</v>
      </c>
    </row>
    <row r="283" spans="1:14" x14ac:dyDescent="0.3">
      <c r="A283" s="103">
        <v>2026</v>
      </c>
      <c r="B283" s="211" t="s">
        <v>590</v>
      </c>
      <c r="C283" s="103"/>
      <c r="D283" s="103"/>
      <c r="E283" s="255" t="s">
        <v>393</v>
      </c>
      <c r="F283" s="119">
        <v>21</v>
      </c>
      <c r="G283" s="107" t="str">
        <f>VLOOKUP(TBLBAHANKELUAR[[#This Row],[KODE BAHAN]],[4]!TBLPIZZAYES[#Data],2,FALSE)</f>
        <v>PAPRIKA GRAM</v>
      </c>
      <c r="H283" s="104">
        <f>VLOOKUP(TBLBAHANKELUAR[[#This Row],[NAMA BAHAN]],TBLREKAPBAHAN[[NAMA BAHAN]:[MODAL SATUAN]],2,FALSE)</f>
        <v>10000</v>
      </c>
      <c r="I283" s="104">
        <f>VLOOKUP(TBLBAHANKELUAR[[#This Row],[NAMA BAHAN]],TBLREKAPBAHAN[[NAMA BAHAN]:[MODAL SATUAN]],3,FALSE)</f>
        <v>100</v>
      </c>
      <c r="J283" s="104">
        <f>VLOOKUP(TBLBAHANKELUAR[[#This Row],[NAMA BAHAN]],TBLREKAPBAHAN[[NAMA BAHAN]:[MODAL SATUAN]],4,FALSE)</f>
        <v>100</v>
      </c>
      <c r="K283" s="105">
        <f>VLOOKUP(TBLBAHANKELUAR[[#This Row],[KODE BAHAN]],[4]!TBLPIZZAYES[#Data],13,FALSE)</f>
        <v>5</v>
      </c>
      <c r="L283" s="215">
        <f>SUMIF(TBLPRODUKKELUARJULI[NAMA PRODUK],TBLBAHANKELUAR[[#This Row],[NAMA PRODUK]],TBLPRODUKKELUARJULI[JUMLAH TERJUAL])</f>
        <v>2</v>
      </c>
      <c r="M283" s="105">
        <f>TBLBAHANKELUAR[[#This Row],[KEB. BAHAN]]*TBLBAHANKELUAR[[#This Row],[JUMLAH KEB. BAHAN KELUAR]]</f>
        <v>10</v>
      </c>
      <c r="N283" s="104">
        <f>TBLBAHANKELUAR[[#This Row],[MODAL SATUAN]]*TBLBAHANKELUAR[[#This Row],[TOTAL BAHAN KELUAR]]</f>
        <v>1000</v>
      </c>
    </row>
    <row r="284" spans="1:14" x14ac:dyDescent="0.3">
      <c r="A284" s="103">
        <v>2026</v>
      </c>
      <c r="B284" s="211" t="s">
        <v>590</v>
      </c>
      <c r="C284" s="103"/>
      <c r="D284" s="103"/>
      <c r="E284" s="255" t="s">
        <v>393</v>
      </c>
      <c r="F284" s="119">
        <v>22</v>
      </c>
      <c r="G284" s="107" t="str">
        <f>VLOOKUP(TBLBAHANKELUAR[[#This Row],[KODE BAHAN]],[4]!TBLPIZZAYES[#Data],2,FALSE)</f>
        <v>KENTANG</v>
      </c>
      <c r="H284" s="104">
        <f>VLOOKUP(TBLBAHANKELUAR[[#This Row],[NAMA BAHAN]],TBLREKAPBAHAN[[NAMA BAHAN]:[MODAL SATUAN]],2,FALSE)</f>
        <v>12000</v>
      </c>
      <c r="I284" s="104">
        <f>VLOOKUP(TBLBAHANKELUAR[[#This Row],[NAMA BAHAN]],TBLREKAPBAHAN[[NAMA BAHAN]:[MODAL SATUAN]],3,FALSE)</f>
        <v>10</v>
      </c>
      <c r="J284" s="104">
        <f>VLOOKUP(TBLBAHANKELUAR[[#This Row],[NAMA BAHAN]],TBLREKAPBAHAN[[NAMA BAHAN]:[MODAL SATUAN]],4,FALSE)</f>
        <v>1200</v>
      </c>
      <c r="K284" s="105">
        <f>VLOOKUP(TBLBAHANKELUAR[[#This Row],[KODE BAHAN]],[4]!TBLPIZZAYES[#Data],13,FALSE)</f>
        <v>0</v>
      </c>
      <c r="L284" s="215">
        <f>SUMIF(TBLPRODUKKELUARJULI[NAMA PRODUK],TBLBAHANKELUAR[[#This Row],[NAMA PRODUK]],TBLPRODUKKELUARJULI[JUMLAH TERJUAL])</f>
        <v>2</v>
      </c>
      <c r="M284" s="105">
        <f>TBLBAHANKELUAR[[#This Row],[KEB. BAHAN]]*TBLBAHANKELUAR[[#This Row],[JUMLAH KEB. BAHAN KELUAR]]</f>
        <v>0</v>
      </c>
      <c r="N284" s="104">
        <f>TBLBAHANKELUAR[[#This Row],[MODAL SATUAN]]*TBLBAHANKELUAR[[#This Row],[TOTAL BAHAN KELUAR]]</f>
        <v>0</v>
      </c>
    </row>
    <row r="285" spans="1:14" x14ac:dyDescent="0.3">
      <c r="A285" s="103">
        <v>2026</v>
      </c>
      <c r="B285" s="211" t="s">
        <v>590</v>
      </c>
      <c r="C285" s="103"/>
      <c r="D285" s="103"/>
      <c r="E285" s="255" t="s">
        <v>393</v>
      </c>
      <c r="F285" s="119">
        <v>23</v>
      </c>
      <c r="G285" s="107" t="str">
        <f>VLOOKUP(TBLBAHANKELUAR[[#This Row],[KODE BAHAN]],[4]!TBLPIZZAYES[#Data],2,FALSE)</f>
        <v>AIR PANAS (CC/GRAM)</v>
      </c>
      <c r="H285" s="104">
        <f>VLOOKUP(TBLBAHANKELUAR[[#This Row],[NAMA BAHAN]],TBLREKAPBAHAN[[NAMA BAHAN]:[MODAL SATUAN]],2,FALSE)</f>
        <v>17000</v>
      </c>
      <c r="I285" s="104">
        <f>VLOOKUP(TBLBAHANKELUAR[[#This Row],[NAMA BAHAN]],TBLREKAPBAHAN[[NAMA BAHAN]:[MODAL SATUAN]],3,FALSE)</f>
        <v>19000</v>
      </c>
      <c r="J285" s="104">
        <f>VLOOKUP(TBLBAHANKELUAR[[#This Row],[NAMA BAHAN]],TBLREKAPBAHAN[[NAMA BAHAN]:[MODAL SATUAN]],4,FALSE)</f>
        <v>0.89473684210526316</v>
      </c>
      <c r="K285" s="105">
        <f>VLOOKUP(TBLBAHANKELUAR[[#This Row],[KODE BAHAN]],[4]!TBLPIZZAYES[#Data],13,FALSE)</f>
        <v>60</v>
      </c>
      <c r="L285" s="215">
        <f>SUMIF(TBLPRODUKKELUARJULI[NAMA PRODUK],TBLBAHANKELUAR[[#This Row],[NAMA PRODUK]],TBLPRODUKKELUARJULI[JUMLAH TERJUAL])</f>
        <v>2</v>
      </c>
      <c r="M285" s="105">
        <f>TBLBAHANKELUAR[[#This Row],[KEB. BAHAN]]*TBLBAHANKELUAR[[#This Row],[JUMLAH KEB. BAHAN KELUAR]]</f>
        <v>120</v>
      </c>
      <c r="N285" s="104">
        <f>TBLBAHANKELUAR[[#This Row],[MODAL SATUAN]]*TBLBAHANKELUAR[[#This Row],[TOTAL BAHAN KELUAR]]</f>
        <v>107.36842105263158</v>
      </c>
    </row>
    <row r="286" spans="1:14" x14ac:dyDescent="0.3">
      <c r="A286" s="103">
        <v>2026</v>
      </c>
      <c r="B286" s="211" t="s">
        <v>590</v>
      </c>
      <c r="C286" s="103"/>
      <c r="D286" s="103"/>
      <c r="E286" s="255" t="s">
        <v>393</v>
      </c>
      <c r="F286" s="119">
        <v>24</v>
      </c>
      <c r="G286" s="107" t="str">
        <f>VLOOKUP(TBLBAHANKELUAR[[#This Row],[KODE BAHAN]],[4]!TBLPIZZAYES[#Data],2,FALSE)</f>
        <v>GAS ELPIJI</v>
      </c>
      <c r="H286" s="104">
        <f>VLOOKUP(TBLBAHANKELUAR[[#This Row],[NAMA BAHAN]],TBLREKAPBAHAN[[NAMA BAHAN]:[MODAL SATUAN]],2,FALSE)</f>
        <v>23000</v>
      </c>
      <c r="I286" s="104">
        <f>VLOOKUP(TBLBAHANKELUAR[[#This Row],[NAMA BAHAN]],TBLREKAPBAHAN[[NAMA BAHAN]:[MODAL SATUAN]],3,FALSE)</f>
        <v>3000</v>
      </c>
      <c r="J286" s="104">
        <f>VLOOKUP(TBLBAHANKELUAR[[#This Row],[NAMA BAHAN]],TBLREKAPBAHAN[[NAMA BAHAN]:[MODAL SATUAN]],4,FALSE)</f>
        <v>7.666666666666667</v>
      </c>
      <c r="K286" s="105">
        <f>VLOOKUP(TBLBAHANKELUAR[[#This Row],[KODE BAHAN]],[4]!TBLPIZZAYES[#Data],13,FALSE)</f>
        <v>50</v>
      </c>
      <c r="L286" s="215">
        <f>SUMIF(TBLPRODUKKELUARJULI[NAMA PRODUK],TBLBAHANKELUAR[[#This Row],[NAMA PRODUK]],TBLPRODUKKELUARJULI[JUMLAH TERJUAL])</f>
        <v>2</v>
      </c>
      <c r="M286" s="105">
        <f>TBLBAHANKELUAR[[#This Row],[KEB. BAHAN]]*TBLBAHANKELUAR[[#This Row],[JUMLAH KEB. BAHAN KELUAR]]</f>
        <v>100</v>
      </c>
      <c r="N286" s="104">
        <f>TBLBAHANKELUAR[[#This Row],[MODAL SATUAN]]*TBLBAHANKELUAR[[#This Row],[TOTAL BAHAN KELUAR]]</f>
        <v>766.66666666666674</v>
      </c>
    </row>
    <row r="287" spans="1:14" x14ac:dyDescent="0.3">
      <c r="A287" s="103">
        <v>2026</v>
      </c>
      <c r="B287" s="211" t="s">
        <v>590</v>
      </c>
      <c r="C287" s="103"/>
      <c r="D287" s="103"/>
      <c r="E287" s="255" t="s">
        <v>393</v>
      </c>
      <c r="F287" s="119">
        <v>25</v>
      </c>
      <c r="G287" s="107" t="str">
        <f>VLOOKUP(TBLBAHANKELUAR[[#This Row],[KODE BAHAN]],[4]!TBLPIZZAYES[#Data],2,FALSE)</f>
        <v>KERTAS ROTI OVEN</v>
      </c>
      <c r="H287" s="104">
        <f>VLOOKUP(TBLBAHANKELUAR[[#This Row],[NAMA BAHAN]],TBLREKAPBAHAN[[NAMA BAHAN]:[MODAL SATUAN]],2,FALSE)</f>
        <v>10000</v>
      </c>
      <c r="I287" s="104">
        <f>VLOOKUP(TBLBAHANKELUAR[[#This Row],[NAMA BAHAN]],TBLREKAPBAHAN[[NAMA BAHAN]:[MODAL SATUAN]],3,FALSE)</f>
        <v>50</v>
      </c>
      <c r="J287" s="104">
        <f>VLOOKUP(TBLBAHANKELUAR[[#This Row],[NAMA BAHAN]],TBLREKAPBAHAN[[NAMA BAHAN]:[MODAL SATUAN]],4,FALSE)</f>
        <v>200</v>
      </c>
      <c r="K287" s="105">
        <f>VLOOKUP(TBLBAHANKELUAR[[#This Row],[KODE BAHAN]],[4]!TBLPIZZAYES[#Data],13,FALSE)</f>
        <v>1</v>
      </c>
      <c r="L287" s="215">
        <f>SUMIF(TBLPRODUKKELUARJULI[NAMA PRODUK],TBLBAHANKELUAR[[#This Row],[NAMA PRODUK]],TBLPRODUKKELUARJULI[JUMLAH TERJUAL])</f>
        <v>2</v>
      </c>
      <c r="M287" s="105">
        <f>TBLBAHANKELUAR[[#This Row],[KEB. BAHAN]]*TBLBAHANKELUAR[[#This Row],[JUMLAH KEB. BAHAN KELUAR]]</f>
        <v>2</v>
      </c>
      <c r="N287" s="104">
        <f>TBLBAHANKELUAR[[#This Row],[MODAL SATUAN]]*TBLBAHANKELUAR[[#This Row],[TOTAL BAHAN KELUAR]]</f>
        <v>400</v>
      </c>
    </row>
    <row r="288" spans="1:14" x14ac:dyDescent="0.3">
      <c r="A288" s="103">
        <v>2026</v>
      </c>
      <c r="B288" s="211" t="s">
        <v>590</v>
      </c>
      <c r="C288" s="103"/>
      <c r="D288" s="103"/>
      <c r="E288" s="255" t="s">
        <v>393</v>
      </c>
      <c r="F288" s="119">
        <v>26</v>
      </c>
      <c r="G288" s="107" t="str">
        <f>VLOOKUP(TBLBAHANKELUAR[[#This Row],[KODE BAHAN]],[4]!TBLPIZZAYES[#Data],2,FALSE)</f>
        <v>KOTAK 18 CM</v>
      </c>
      <c r="H288" s="104">
        <f>VLOOKUP(TBLBAHANKELUAR[[#This Row],[NAMA BAHAN]],TBLREKAPBAHAN[[NAMA BAHAN]:[MODAL SATUAN]],2,FALSE)</f>
        <v>2000</v>
      </c>
      <c r="I288" s="104">
        <f>VLOOKUP(TBLBAHANKELUAR[[#This Row],[NAMA BAHAN]],TBLREKAPBAHAN[[NAMA BAHAN]:[MODAL SATUAN]],3,FALSE)</f>
        <v>1</v>
      </c>
      <c r="J288" s="104">
        <f>VLOOKUP(TBLBAHANKELUAR[[#This Row],[NAMA BAHAN]],TBLREKAPBAHAN[[NAMA BAHAN]:[MODAL SATUAN]],4,FALSE)</f>
        <v>2000</v>
      </c>
      <c r="K288" s="105">
        <f>VLOOKUP(TBLBAHANKELUAR[[#This Row],[KODE BAHAN]],[4]!TBLPIZZAYES[#Data],13,FALSE)</f>
        <v>1</v>
      </c>
      <c r="L288" s="215">
        <f>SUMIF(TBLPRODUKKELUARJULI[NAMA PRODUK],TBLBAHANKELUAR[[#This Row],[NAMA PRODUK]],TBLPRODUKKELUARJULI[JUMLAH TERJUAL])</f>
        <v>2</v>
      </c>
      <c r="M288" s="105">
        <f>TBLBAHANKELUAR[[#This Row],[KEB. BAHAN]]*TBLBAHANKELUAR[[#This Row],[JUMLAH KEB. BAHAN KELUAR]]</f>
        <v>2</v>
      </c>
      <c r="N288" s="104">
        <f>TBLBAHANKELUAR[[#This Row],[MODAL SATUAN]]*TBLBAHANKELUAR[[#This Row],[TOTAL BAHAN KELUAR]]</f>
        <v>4000</v>
      </c>
    </row>
    <row r="289" spans="1:14" x14ac:dyDescent="0.3">
      <c r="A289" s="103">
        <v>2026</v>
      </c>
      <c r="B289" s="211" t="s">
        <v>590</v>
      </c>
      <c r="C289" s="103"/>
      <c r="D289" s="103"/>
      <c r="E289" s="255" t="s">
        <v>393</v>
      </c>
      <c r="F289" s="119">
        <v>27</v>
      </c>
      <c r="G289" s="107" t="str">
        <f>VLOOKUP(TBLBAHANKELUAR[[#This Row],[KODE BAHAN]],[4]!TBLPIZZAYES[#Data],2,FALSE)</f>
        <v>TALI RAFIA</v>
      </c>
      <c r="H289" s="104">
        <f>VLOOKUP(TBLBAHANKELUAR[[#This Row],[NAMA BAHAN]],TBLREKAPBAHAN[[NAMA BAHAN]:[MODAL SATUAN]],2,FALSE)</f>
        <v>37500</v>
      </c>
      <c r="I289" s="104">
        <f>VLOOKUP(TBLBAHANKELUAR[[#This Row],[NAMA BAHAN]],TBLREKAPBAHAN[[NAMA BAHAN]:[MODAL SATUAN]],3,FALSE)</f>
        <v>300</v>
      </c>
      <c r="J289" s="104">
        <f>VLOOKUP(TBLBAHANKELUAR[[#This Row],[NAMA BAHAN]],TBLREKAPBAHAN[[NAMA BAHAN]:[MODAL SATUAN]],4,FALSE)</f>
        <v>125</v>
      </c>
      <c r="K289" s="105">
        <f>VLOOKUP(TBLBAHANKELUAR[[#This Row],[KODE BAHAN]],[4]!TBLPIZZAYES[#Data],13,FALSE)</f>
        <v>1</v>
      </c>
      <c r="L289" s="215">
        <f>SUMIF(TBLPRODUKKELUARJULI[NAMA PRODUK],TBLBAHANKELUAR[[#This Row],[NAMA PRODUK]],TBLPRODUKKELUARJULI[JUMLAH TERJUAL])</f>
        <v>2</v>
      </c>
      <c r="M289" s="105">
        <f>TBLBAHANKELUAR[[#This Row],[KEB. BAHAN]]*TBLBAHANKELUAR[[#This Row],[JUMLAH KEB. BAHAN KELUAR]]</f>
        <v>2</v>
      </c>
      <c r="N289" s="104">
        <f>TBLBAHANKELUAR[[#This Row],[MODAL SATUAN]]*TBLBAHANKELUAR[[#This Row],[TOTAL BAHAN KELUAR]]</f>
        <v>250</v>
      </c>
    </row>
    <row r="290" spans="1:14" x14ac:dyDescent="0.3">
      <c r="A290" s="103">
        <v>2026</v>
      </c>
      <c r="B290" s="211" t="s">
        <v>590</v>
      </c>
      <c r="C290" s="103"/>
      <c r="D290" s="103"/>
      <c r="E290" s="255" t="s">
        <v>393</v>
      </c>
      <c r="F290" s="119">
        <v>28</v>
      </c>
      <c r="G290" s="107" t="str">
        <f>VLOOKUP(TBLBAHANKELUAR[[#This Row],[KODE BAHAN]],[4]!TBLPIZZAYES[#Data],2,FALSE)</f>
        <v>KRESEK 30 CM</v>
      </c>
      <c r="H290" s="104">
        <f>VLOOKUP(TBLBAHANKELUAR[[#This Row],[NAMA BAHAN]],TBLREKAPBAHAN[[NAMA BAHAN]:[MODAL SATUAN]],2,FALSE)</f>
        <v>1000</v>
      </c>
      <c r="I290" s="104">
        <f>VLOOKUP(TBLBAHANKELUAR[[#This Row],[NAMA BAHAN]],TBLREKAPBAHAN[[NAMA BAHAN]:[MODAL SATUAN]],3,FALSE)</f>
        <v>2</v>
      </c>
      <c r="J290" s="104">
        <f>VLOOKUP(TBLBAHANKELUAR[[#This Row],[NAMA BAHAN]],TBLREKAPBAHAN[[NAMA BAHAN]:[MODAL SATUAN]],4,FALSE)</f>
        <v>500</v>
      </c>
      <c r="K290" s="105">
        <f>VLOOKUP(TBLBAHANKELUAR[[#This Row],[KODE BAHAN]],[4]!TBLPIZZAYES[#Data],13,FALSE)</f>
        <v>1</v>
      </c>
      <c r="L290" s="215">
        <f>SUMIF(TBLPRODUKKELUARJULI[NAMA PRODUK],TBLBAHANKELUAR[[#This Row],[NAMA PRODUK]],TBLPRODUKKELUARJULI[JUMLAH TERJUAL])</f>
        <v>2</v>
      </c>
      <c r="M290" s="105">
        <f>TBLBAHANKELUAR[[#This Row],[KEB. BAHAN]]*TBLBAHANKELUAR[[#This Row],[JUMLAH KEB. BAHAN KELUAR]]</f>
        <v>2</v>
      </c>
      <c r="N290" s="104">
        <f>TBLBAHANKELUAR[[#This Row],[MODAL SATUAN]]*TBLBAHANKELUAR[[#This Row],[TOTAL BAHAN KELUAR]]</f>
        <v>1000</v>
      </c>
    </row>
    <row r="291" spans="1:14" x14ac:dyDescent="0.3">
      <c r="A291" s="103">
        <v>2026</v>
      </c>
      <c r="B291" s="211" t="s">
        <v>590</v>
      </c>
      <c r="C291" s="211"/>
      <c r="D291" s="211"/>
      <c r="E291" s="256" t="s">
        <v>475</v>
      </c>
      <c r="F291" s="212">
        <v>1</v>
      </c>
      <c r="G291" s="213" t="str">
        <f>VLOOKUP(TBLBAHANKELUAR[[#This Row],[KODE BAHAN]],[4]!TBLKEBABAYAMMEDIUM[#Data],2,FALSE)</f>
        <v>SAOS TOMAT GRAM</v>
      </c>
      <c r="H291" s="214">
        <f>VLOOKUP(TBLBAHANKELUAR[[#This Row],[NAMA BAHAN]],TBLREKAPBAHAN[[NAMA BAHAN]:[MODAL SATUAN]],2,FALSE)</f>
        <v>20000</v>
      </c>
      <c r="I291" s="214">
        <f>VLOOKUP(TBLBAHANKELUAR[[#This Row],[NAMA BAHAN]],TBLREKAPBAHAN[[NAMA BAHAN]:[MODAL SATUAN]],3,FALSE)</f>
        <v>1000</v>
      </c>
      <c r="J291" s="214">
        <f>VLOOKUP(TBLBAHANKELUAR[[#This Row],[NAMA BAHAN]],TBLREKAPBAHAN[[NAMA BAHAN]:[MODAL SATUAN]],4,FALSE)</f>
        <v>20</v>
      </c>
      <c r="K291" s="215">
        <f>VLOOKUP(TBLBAHANKELUAR[[#This Row],[KODE BAHAN]],[4]!TBLKEBABAYAMMEDIUM[#Data],10,FALSE)</f>
        <v>0</v>
      </c>
      <c r="L291" s="215">
        <f>SUMIF(TBLPRODUKKELUARJULI[NAMA PRODUK],TBLBAHANKELUAR[[#This Row],[NAMA PRODUK]],TBLPRODUKKELUARJULI[JUMLAH TERJUAL])</f>
        <v>1</v>
      </c>
      <c r="M291" s="215">
        <f>TBLBAHANKELUAR[[#This Row],[KEB. BAHAN]]*TBLBAHANKELUAR[[#This Row],[JUMLAH KEB. BAHAN KELUAR]]</f>
        <v>0</v>
      </c>
      <c r="N291" s="214">
        <f>TBLBAHANKELUAR[[#This Row],[MODAL SATUAN]]*TBLBAHANKELUAR[[#This Row],[TOTAL BAHAN KELUAR]]</f>
        <v>0</v>
      </c>
    </row>
    <row r="292" spans="1:14" x14ac:dyDescent="0.3">
      <c r="A292" s="103">
        <v>2026</v>
      </c>
      <c r="B292" s="211" t="s">
        <v>590</v>
      </c>
      <c r="C292" s="211"/>
      <c r="D292" s="211"/>
      <c r="E292" s="256" t="s">
        <v>475</v>
      </c>
      <c r="F292" s="212">
        <v>2</v>
      </c>
      <c r="G292" s="213" t="str">
        <f>VLOOKUP(TBLBAHANKELUAR[[#This Row],[KODE BAHAN]],[4]!TBLKEBABAYAMMEDIUM[#Data],2,FALSE)</f>
        <v>SAOS SAMBAL GRAM</v>
      </c>
      <c r="H292" s="214">
        <f>VLOOKUP(TBLBAHANKELUAR[[#This Row],[NAMA BAHAN]],TBLREKAPBAHAN[[NAMA BAHAN]:[MODAL SATUAN]],2,FALSE)</f>
        <v>18000</v>
      </c>
      <c r="I292" s="214">
        <f>VLOOKUP(TBLBAHANKELUAR[[#This Row],[NAMA BAHAN]],TBLREKAPBAHAN[[NAMA BAHAN]:[MODAL SATUAN]],3,FALSE)</f>
        <v>1000</v>
      </c>
      <c r="J292" s="214">
        <f>VLOOKUP(TBLBAHANKELUAR[[#This Row],[NAMA BAHAN]],TBLREKAPBAHAN[[NAMA BAHAN]:[MODAL SATUAN]],4,FALSE)</f>
        <v>18</v>
      </c>
      <c r="K292" s="215">
        <f>VLOOKUP(TBLBAHANKELUAR[[#This Row],[KODE BAHAN]],[4]!TBLKEBABAYAMMEDIUM[#Data],10,FALSE)</f>
        <v>25</v>
      </c>
      <c r="L292" s="215">
        <f>SUMIF(TBLPRODUKKELUARJULI[NAMA PRODUK],TBLBAHANKELUAR[[#This Row],[NAMA PRODUK]],TBLPRODUKKELUARJULI[JUMLAH TERJUAL])</f>
        <v>1</v>
      </c>
      <c r="M292" s="215">
        <f>TBLBAHANKELUAR[[#This Row],[KEB. BAHAN]]*TBLBAHANKELUAR[[#This Row],[JUMLAH KEB. BAHAN KELUAR]]</f>
        <v>25</v>
      </c>
      <c r="N292" s="214">
        <f>TBLBAHANKELUAR[[#This Row],[MODAL SATUAN]]*TBLBAHANKELUAR[[#This Row],[TOTAL BAHAN KELUAR]]</f>
        <v>450</v>
      </c>
    </row>
    <row r="293" spans="1:14" x14ac:dyDescent="0.3">
      <c r="A293" s="103">
        <v>2026</v>
      </c>
      <c r="B293" s="211" t="s">
        <v>590</v>
      </c>
      <c r="C293" s="211"/>
      <c r="D293" s="211"/>
      <c r="E293" s="256" t="s">
        <v>475</v>
      </c>
      <c r="F293" s="212">
        <v>3</v>
      </c>
      <c r="G293" s="213" t="str">
        <f>VLOOKUP(TBLBAHANKELUAR[[#This Row],[KODE BAHAN]],[4]!TBLKEBABAYAMMEDIUM[#Data],2,FALSE)</f>
        <v>SAOS BBQ GRAM</v>
      </c>
      <c r="H293" s="214">
        <f>VLOOKUP(TBLBAHANKELUAR[[#This Row],[NAMA BAHAN]],TBLREKAPBAHAN[[NAMA BAHAN]:[MODAL SATUAN]],2,FALSE)</f>
        <v>12000</v>
      </c>
      <c r="I293" s="214">
        <f>VLOOKUP(TBLBAHANKELUAR[[#This Row],[NAMA BAHAN]],TBLREKAPBAHAN[[NAMA BAHAN]:[MODAL SATUAN]],3,FALSE)</f>
        <v>250</v>
      </c>
      <c r="J293" s="214">
        <f>VLOOKUP(TBLBAHANKELUAR[[#This Row],[NAMA BAHAN]],TBLREKAPBAHAN[[NAMA BAHAN]:[MODAL SATUAN]],4,FALSE)</f>
        <v>48</v>
      </c>
      <c r="K293" s="215">
        <f>VLOOKUP(TBLBAHANKELUAR[[#This Row],[KODE BAHAN]],[4]!TBLKEBABAYAMMEDIUM[#Data],10,FALSE)</f>
        <v>7</v>
      </c>
      <c r="L293" s="215">
        <f>SUMIF(TBLPRODUKKELUARJULI[NAMA PRODUK],TBLBAHANKELUAR[[#This Row],[NAMA PRODUK]],TBLPRODUKKELUARJULI[JUMLAH TERJUAL])</f>
        <v>1</v>
      </c>
      <c r="M293" s="215">
        <f>TBLBAHANKELUAR[[#This Row],[KEB. BAHAN]]*TBLBAHANKELUAR[[#This Row],[JUMLAH KEB. BAHAN KELUAR]]</f>
        <v>7</v>
      </c>
      <c r="N293" s="214">
        <f>TBLBAHANKELUAR[[#This Row],[MODAL SATUAN]]*TBLBAHANKELUAR[[#This Row],[TOTAL BAHAN KELUAR]]</f>
        <v>336</v>
      </c>
    </row>
    <row r="294" spans="1:14" x14ac:dyDescent="0.3">
      <c r="A294" s="103">
        <v>2026</v>
      </c>
      <c r="B294" s="211" t="s">
        <v>590</v>
      </c>
      <c r="C294" s="211"/>
      <c r="D294" s="211"/>
      <c r="E294" s="256" t="s">
        <v>475</v>
      </c>
      <c r="F294" s="212">
        <v>4</v>
      </c>
      <c r="G294" s="213" t="str">
        <f>VLOOKUP(TBLBAHANKELUAR[[#This Row],[KODE BAHAN]],[4]!TBLKEBABAYAMMEDIUM[#Data],2,FALSE)</f>
        <v>MAYONAIS GRAM</v>
      </c>
      <c r="H294" s="214">
        <f>VLOOKUP(TBLBAHANKELUAR[[#This Row],[NAMA BAHAN]],TBLREKAPBAHAN[[NAMA BAHAN]:[MODAL SATUAN]],2,FALSE)</f>
        <v>50000</v>
      </c>
      <c r="I294" s="214">
        <f>VLOOKUP(TBLBAHANKELUAR[[#This Row],[NAMA BAHAN]],TBLREKAPBAHAN[[NAMA BAHAN]:[MODAL SATUAN]],3,FALSE)</f>
        <v>1000</v>
      </c>
      <c r="J294" s="214">
        <f>VLOOKUP(TBLBAHANKELUAR[[#This Row],[NAMA BAHAN]],TBLREKAPBAHAN[[NAMA BAHAN]:[MODAL SATUAN]],4,FALSE)</f>
        <v>50</v>
      </c>
      <c r="K294" s="215">
        <f>VLOOKUP(TBLBAHANKELUAR[[#This Row],[KODE BAHAN]],[4]!TBLKEBABAYAMMEDIUM[#Data],10,FALSE)</f>
        <v>10</v>
      </c>
      <c r="L294" s="215">
        <f>SUMIF(TBLPRODUKKELUARJULI[NAMA PRODUK],TBLBAHANKELUAR[[#This Row],[NAMA PRODUK]],TBLPRODUKKELUARJULI[JUMLAH TERJUAL])</f>
        <v>1</v>
      </c>
      <c r="M294" s="215">
        <f>TBLBAHANKELUAR[[#This Row],[KEB. BAHAN]]*TBLBAHANKELUAR[[#This Row],[JUMLAH KEB. BAHAN KELUAR]]</f>
        <v>10</v>
      </c>
      <c r="N294" s="214">
        <f>TBLBAHANKELUAR[[#This Row],[MODAL SATUAN]]*TBLBAHANKELUAR[[#This Row],[TOTAL BAHAN KELUAR]]</f>
        <v>500</v>
      </c>
    </row>
    <row r="295" spans="1:14" x14ac:dyDescent="0.3">
      <c r="A295" s="103">
        <v>2026</v>
      </c>
      <c r="B295" s="211" t="s">
        <v>590</v>
      </c>
      <c r="C295" s="211"/>
      <c r="D295" s="211"/>
      <c r="E295" s="256" t="s">
        <v>475</v>
      </c>
      <c r="F295" s="212">
        <v>5</v>
      </c>
      <c r="G295" s="213" t="str">
        <f>VLOOKUP(TBLBAHANKELUAR[[#This Row],[KODE BAHAN]],[4]!TBLKEBABAYAMMEDIUM[#Data],2,FALSE)</f>
        <v>SAOS SPAGHETI GRAM</v>
      </c>
      <c r="H295" s="214">
        <f>VLOOKUP(TBLBAHANKELUAR[[#This Row],[NAMA BAHAN]],TBLREKAPBAHAN[[NAMA BAHAN]:[MODAL SATUAN]],2,FALSE)</f>
        <v>12000</v>
      </c>
      <c r="I295" s="214">
        <f>VLOOKUP(TBLBAHANKELUAR[[#This Row],[NAMA BAHAN]],TBLREKAPBAHAN[[NAMA BAHAN]:[MODAL SATUAN]],3,FALSE)</f>
        <v>250</v>
      </c>
      <c r="J295" s="214">
        <f>VLOOKUP(TBLBAHANKELUAR[[#This Row],[NAMA BAHAN]],TBLREKAPBAHAN[[NAMA BAHAN]:[MODAL SATUAN]],4,FALSE)</f>
        <v>48</v>
      </c>
      <c r="K295" s="215">
        <f>VLOOKUP(TBLBAHANKELUAR[[#This Row],[KODE BAHAN]],[4]!TBLKEBABAYAMMEDIUM[#Data],10,FALSE)</f>
        <v>7</v>
      </c>
      <c r="L295" s="215">
        <f>SUMIF(TBLPRODUKKELUARJULI[NAMA PRODUK],TBLBAHANKELUAR[[#This Row],[NAMA PRODUK]],TBLPRODUKKELUARJULI[JUMLAH TERJUAL])</f>
        <v>1</v>
      </c>
      <c r="M295" s="215">
        <f>TBLBAHANKELUAR[[#This Row],[KEB. BAHAN]]*TBLBAHANKELUAR[[#This Row],[JUMLAH KEB. BAHAN KELUAR]]</f>
        <v>7</v>
      </c>
      <c r="N295" s="214">
        <f>TBLBAHANKELUAR[[#This Row],[MODAL SATUAN]]*TBLBAHANKELUAR[[#This Row],[TOTAL BAHAN KELUAR]]</f>
        <v>336</v>
      </c>
    </row>
    <row r="296" spans="1:14" x14ac:dyDescent="0.3">
      <c r="A296" s="103">
        <v>2026</v>
      </c>
      <c r="B296" s="211" t="s">
        <v>590</v>
      </c>
      <c r="C296" s="211"/>
      <c r="D296" s="211"/>
      <c r="E296" s="256" t="s">
        <v>475</v>
      </c>
      <c r="F296" s="212">
        <v>6</v>
      </c>
      <c r="G296" s="213" t="str">
        <f>VLOOKUP(TBLBAHANKELUAR[[#This Row],[KODE BAHAN]],[4]!TBLKEBABAYAMMEDIUM[#Data],2,FALSE)</f>
        <v>AYAM SUWIR</v>
      </c>
      <c r="H296" s="214">
        <f>VLOOKUP(TBLBAHANKELUAR[[#This Row],[NAMA BAHAN]],TBLREKAPBAHAN[[NAMA BAHAN]:[MODAL SATUAN]],2,FALSE)</f>
        <v>45000</v>
      </c>
      <c r="I296" s="214">
        <f>VLOOKUP(TBLBAHANKELUAR[[#This Row],[NAMA BAHAN]],TBLREKAPBAHAN[[NAMA BAHAN]:[MODAL SATUAN]],3,FALSE)</f>
        <v>400</v>
      </c>
      <c r="J296" s="214">
        <f>VLOOKUP(TBLBAHANKELUAR[[#This Row],[NAMA BAHAN]],TBLREKAPBAHAN[[NAMA BAHAN]:[MODAL SATUAN]],4,FALSE)</f>
        <v>112.5</v>
      </c>
      <c r="K296" s="215">
        <f>VLOOKUP(TBLBAHANKELUAR[[#This Row],[KODE BAHAN]],[4]!TBLKEBABAYAMMEDIUM[#Data],10,FALSE)</f>
        <v>30</v>
      </c>
      <c r="L296" s="215">
        <f>SUMIF(TBLPRODUKKELUARJULI[NAMA PRODUK],TBLBAHANKELUAR[[#This Row],[NAMA PRODUK]],TBLPRODUKKELUARJULI[JUMLAH TERJUAL])</f>
        <v>1</v>
      </c>
      <c r="M296" s="215">
        <f>TBLBAHANKELUAR[[#This Row],[KEB. BAHAN]]*TBLBAHANKELUAR[[#This Row],[JUMLAH KEB. BAHAN KELUAR]]</f>
        <v>30</v>
      </c>
      <c r="N296" s="214">
        <f>TBLBAHANKELUAR[[#This Row],[MODAL SATUAN]]*TBLBAHANKELUAR[[#This Row],[TOTAL BAHAN KELUAR]]</f>
        <v>3375</v>
      </c>
    </row>
    <row r="297" spans="1:14" x14ac:dyDescent="0.3">
      <c r="A297" s="103">
        <v>2026</v>
      </c>
      <c r="B297" s="211" t="s">
        <v>590</v>
      </c>
      <c r="C297" s="211"/>
      <c r="D297" s="211"/>
      <c r="E297" s="256" t="s">
        <v>475</v>
      </c>
      <c r="F297" s="212">
        <v>7</v>
      </c>
      <c r="G297" s="213" t="str">
        <f>VLOOKUP(TBLBAHANKELUAR[[#This Row],[KODE BAHAN]],[4]!TBLKEBABAYAMMEDIUM[#Data],2,FALSE)</f>
        <v>KULIT KEBAB 19/20 CM</v>
      </c>
      <c r="H297" s="214">
        <f>VLOOKUP(TBLBAHANKELUAR[[#This Row],[NAMA BAHAN]],TBLREKAPBAHAN[[NAMA BAHAN]:[MODAL SATUAN]],2,FALSE)</f>
        <v>29000</v>
      </c>
      <c r="I297" s="214">
        <f>VLOOKUP(TBLBAHANKELUAR[[#This Row],[NAMA BAHAN]],TBLREKAPBAHAN[[NAMA BAHAN]:[MODAL SATUAN]],3,FALSE)</f>
        <v>20</v>
      </c>
      <c r="J297" s="214">
        <f>VLOOKUP(TBLBAHANKELUAR[[#This Row],[NAMA BAHAN]],TBLREKAPBAHAN[[NAMA BAHAN]:[MODAL SATUAN]],4,FALSE)</f>
        <v>1450</v>
      </c>
      <c r="K297" s="215">
        <f>VLOOKUP(TBLBAHANKELUAR[[#This Row],[KODE BAHAN]],[4]!TBLKEBABAYAMMEDIUM[#Data],10,FALSE)</f>
        <v>1</v>
      </c>
      <c r="L297" s="215">
        <f>SUMIF(TBLPRODUKKELUARJULI[NAMA PRODUK],TBLBAHANKELUAR[[#This Row],[NAMA PRODUK]],TBLPRODUKKELUARJULI[JUMLAH TERJUAL])</f>
        <v>1</v>
      </c>
      <c r="M297" s="215">
        <f>TBLBAHANKELUAR[[#This Row],[KEB. BAHAN]]*TBLBAHANKELUAR[[#This Row],[JUMLAH KEB. BAHAN KELUAR]]</f>
        <v>1</v>
      </c>
      <c r="N297" s="214">
        <f>TBLBAHANKELUAR[[#This Row],[MODAL SATUAN]]*TBLBAHANKELUAR[[#This Row],[TOTAL BAHAN KELUAR]]</f>
        <v>1450</v>
      </c>
    </row>
    <row r="298" spans="1:14" x14ac:dyDescent="0.3">
      <c r="A298" s="103">
        <v>2026</v>
      </c>
      <c r="B298" s="211" t="s">
        <v>590</v>
      </c>
      <c r="C298" s="211"/>
      <c r="D298" s="211"/>
      <c r="E298" s="256" t="s">
        <v>475</v>
      </c>
      <c r="F298" s="212">
        <v>8</v>
      </c>
      <c r="G298" s="213" t="str">
        <f>VLOOKUP(TBLBAHANKELUAR[[#This Row],[KODE BAHAN]],[4]!TBLKEBABAYAMMEDIUM[#Data],2,FALSE)</f>
        <v>SLADA</v>
      </c>
      <c r="H298" s="214">
        <f>VLOOKUP(TBLBAHANKELUAR[[#This Row],[NAMA BAHAN]],TBLREKAPBAHAN[[NAMA BAHAN]:[MODAL SATUAN]],2,FALSE)</f>
        <v>60000</v>
      </c>
      <c r="I298" s="214">
        <f>VLOOKUP(TBLBAHANKELUAR[[#This Row],[NAMA BAHAN]],TBLREKAPBAHAN[[NAMA BAHAN]:[MODAL SATUAN]],3,FALSE)</f>
        <v>50</v>
      </c>
      <c r="J298" s="214">
        <f>VLOOKUP(TBLBAHANKELUAR[[#This Row],[NAMA BAHAN]],TBLREKAPBAHAN[[NAMA BAHAN]:[MODAL SATUAN]],4,FALSE)</f>
        <v>1200</v>
      </c>
      <c r="K298" s="215">
        <f>VLOOKUP(TBLBAHANKELUAR[[#This Row],[KODE BAHAN]],[4]!TBLKEBABAYAMMEDIUM[#Data],10,FALSE)</f>
        <v>1</v>
      </c>
      <c r="L298" s="215">
        <f>SUMIF(TBLPRODUKKELUARJULI[NAMA PRODUK],TBLBAHANKELUAR[[#This Row],[NAMA PRODUK]],TBLPRODUKKELUARJULI[JUMLAH TERJUAL])</f>
        <v>1</v>
      </c>
      <c r="M298" s="215">
        <f>TBLBAHANKELUAR[[#This Row],[KEB. BAHAN]]*TBLBAHANKELUAR[[#This Row],[JUMLAH KEB. BAHAN KELUAR]]</f>
        <v>1</v>
      </c>
      <c r="N298" s="214">
        <f>TBLBAHANKELUAR[[#This Row],[MODAL SATUAN]]*TBLBAHANKELUAR[[#This Row],[TOTAL BAHAN KELUAR]]</f>
        <v>1200</v>
      </c>
    </row>
    <row r="299" spans="1:14" x14ac:dyDescent="0.3">
      <c r="A299" s="103">
        <v>2026</v>
      </c>
      <c r="B299" s="211" t="s">
        <v>590</v>
      </c>
      <c r="C299" s="211"/>
      <c r="D299" s="211"/>
      <c r="E299" s="256" t="s">
        <v>475</v>
      </c>
      <c r="F299" s="212">
        <v>9</v>
      </c>
      <c r="G299" s="213" t="str">
        <f>VLOOKUP(TBLBAHANKELUAR[[#This Row],[KODE BAHAN]],[4]!TBLKEBABAYAMMEDIUM[#Data],2,FALSE)</f>
        <v>MENTEGA</v>
      </c>
      <c r="H299" s="214">
        <f>VLOOKUP(TBLBAHANKELUAR[[#This Row],[NAMA BAHAN]],TBLREKAPBAHAN[[NAMA BAHAN]:[MODAL SATUAN]],2,FALSE)</f>
        <v>35000</v>
      </c>
      <c r="I299" s="214">
        <f>VLOOKUP(TBLBAHANKELUAR[[#This Row],[NAMA BAHAN]],TBLREKAPBAHAN[[NAMA BAHAN]:[MODAL SATUAN]],3,FALSE)</f>
        <v>1000</v>
      </c>
      <c r="J299" s="214">
        <f>VLOOKUP(TBLBAHANKELUAR[[#This Row],[NAMA BAHAN]],TBLREKAPBAHAN[[NAMA BAHAN]:[MODAL SATUAN]],4,FALSE)</f>
        <v>35</v>
      </c>
      <c r="K299" s="215">
        <f>VLOOKUP(TBLBAHANKELUAR[[#This Row],[KODE BAHAN]],[4]!TBLKEBABAYAMMEDIUM[#Data],10,FALSE)</f>
        <v>10</v>
      </c>
      <c r="L299" s="215">
        <f>SUMIF(TBLPRODUKKELUARJULI[NAMA PRODUK],TBLBAHANKELUAR[[#This Row],[NAMA PRODUK]],TBLPRODUKKELUARJULI[JUMLAH TERJUAL])</f>
        <v>1</v>
      </c>
      <c r="M299" s="215">
        <f>TBLBAHANKELUAR[[#This Row],[KEB. BAHAN]]*TBLBAHANKELUAR[[#This Row],[JUMLAH KEB. BAHAN KELUAR]]</f>
        <v>10</v>
      </c>
      <c r="N299" s="214">
        <f>TBLBAHANKELUAR[[#This Row],[MODAL SATUAN]]*TBLBAHANKELUAR[[#This Row],[TOTAL BAHAN KELUAR]]</f>
        <v>350</v>
      </c>
    </row>
    <row r="300" spans="1:14" x14ac:dyDescent="0.3">
      <c r="A300" s="103">
        <v>2026</v>
      </c>
      <c r="B300" s="211" t="s">
        <v>590</v>
      </c>
      <c r="C300" s="211"/>
      <c r="D300" s="211"/>
      <c r="E300" s="256" t="s">
        <v>475</v>
      </c>
      <c r="F300" s="212">
        <v>10</v>
      </c>
      <c r="G300" s="213" t="str">
        <f>VLOOKUP(TBLBAHANKELUAR[[#This Row],[KODE BAHAN]],[4]!TBLKEBABAYAMMEDIUM[#Data],2,FALSE)</f>
        <v>GAS ELPIJI</v>
      </c>
      <c r="H300" s="214">
        <f>VLOOKUP(TBLBAHANKELUAR[[#This Row],[NAMA BAHAN]],TBLREKAPBAHAN[[NAMA BAHAN]:[MODAL SATUAN]],2,FALSE)</f>
        <v>23000</v>
      </c>
      <c r="I300" s="214">
        <f>VLOOKUP(TBLBAHANKELUAR[[#This Row],[NAMA BAHAN]],TBLREKAPBAHAN[[NAMA BAHAN]:[MODAL SATUAN]],3,FALSE)</f>
        <v>3000</v>
      </c>
      <c r="J300" s="214">
        <f>VLOOKUP(TBLBAHANKELUAR[[#This Row],[NAMA BAHAN]],TBLREKAPBAHAN[[NAMA BAHAN]:[MODAL SATUAN]],4,FALSE)</f>
        <v>7.666666666666667</v>
      </c>
      <c r="K300" s="215">
        <f>VLOOKUP(TBLBAHANKELUAR[[#This Row],[KODE BAHAN]],[4]!TBLKEBABAYAMMEDIUM[#Data],10,FALSE)</f>
        <v>10</v>
      </c>
      <c r="L300" s="215">
        <f>SUMIF(TBLPRODUKKELUARJULI[NAMA PRODUK],TBLBAHANKELUAR[[#This Row],[NAMA PRODUK]],TBLPRODUKKELUARJULI[JUMLAH TERJUAL])</f>
        <v>1</v>
      </c>
      <c r="M300" s="215">
        <f>TBLBAHANKELUAR[[#This Row],[KEB. BAHAN]]*TBLBAHANKELUAR[[#This Row],[JUMLAH KEB. BAHAN KELUAR]]</f>
        <v>10</v>
      </c>
      <c r="N300" s="214">
        <f>TBLBAHANKELUAR[[#This Row],[MODAL SATUAN]]*TBLBAHANKELUAR[[#This Row],[TOTAL BAHAN KELUAR]]</f>
        <v>76.666666666666671</v>
      </c>
    </row>
    <row r="301" spans="1:14" x14ac:dyDescent="0.3">
      <c r="A301" s="103">
        <v>2026</v>
      </c>
      <c r="B301" s="211" t="s">
        <v>590</v>
      </c>
      <c r="C301" s="211"/>
      <c r="D301" s="211"/>
      <c r="E301" s="256" t="s">
        <v>475</v>
      </c>
      <c r="F301" s="212">
        <v>11</v>
      </c>
      <c r="G301" s="213" t="str">
        <f>VLOOKUP(TBLBAHANKELUAR[[#This Row],[KODE BAHAN]],[4]!TBLKEBABAYAMMEDIUM[#Data],2,FALSE)</f>
        <v>KERTAS KEBAB</v>
      </c>
      <c r="H301" s="214">
        <f>VLOOKUP(TBLBAHANKELUAR[[#This Row],[NAMA BAHAN]],TBLREKAPBAHAN[[NAMA BAHAN]:[MODAL SATUAN]],2,FALSE)</f>
        <v>25000</v>
      </c>
      <c r="I301" s="214">
        <f>VLOOKUP(TBLBAHANKELUAR[[#This Row],[NAMA BAHAN]],TBLREKAPBAHAN[[NAMA BAHAN]:[MODAL SATUAN]],3,FALSE)</f>
        <v>100</v>
      </c>
      <c r="J301" s="214">
        <f>VLOOKUP(TBLBAHANKELUAR[[#This Row],[NAMA BAHAN]],TBLREKAPBAHAN[[NAMA BAHAN]:[MODAL SATUAN]],4,FALSE)</f>
        <v>250</v>
      </c>
      <c r="K301" s="215">
        <f>VLOOKUP(TBLBAHANKELUAR[[#This Row],[KODE BAHAN]],[4]!TBLKEBABAYAMMEDIUM[#Data],10,FALSE)</f>
        <v>1</v>
      </c>
      <c r="L301" s="215">
        <f>SUMIF(TBLPRODUKKELUARJULI[NAMA PRODUK],TBLBAHANKELUAR[[#This Row],[NAMA PRODUK]],TBLPRODUKKELUARJULI[JUMLAH TERJUAL])</f>
        <v>1</v>
      </c>
      <c r="M301" s="215">
        <f>TBLBAHANKELUAR[[#This Row],[KEB. BAHAN]]*TBLBAHANKELUAR[[#This Row],[JUMLAH KEB. BAHAN KELUAR]]</f>
        <v>1</v>
      </c>
      <c r="N301" s="214">
        <f>TBLBAHANKELUAR[[#This Row],[MODAL SATUAN]]*TBLBAHANKELUAR[[#This Row],[TOTAL BAHAN KELUAR]]</f>
        <v>250</v>
      </c>
    </row>
    <row r="302" spans="1:14" x14ac:dyDescent="0.3">
      <c r="A302" s="103">
        <v>2026</v>
      </c>
      <c r="B302" s="211" t="s">
        <v>590</v>
      </c>
      <c r="C302" s="211"/>
      <c r="D302" s="211"/>
      <c r="E302" s="256" t="s">
        <v>475</v>
      </c>
      <c r="F302" s="212">
        <v>12</v>
      </c>
      <c r="G302" s="213" t="str">
        <f>VLOOKUP(TBLBAHANKELUAR[[#This Row],[KODE BAHAN]],[4]!TBLKEBABAYAMMEDIUM[#Data],2,FALSE)</f>
        <v>KRESEK 10 CM</v>
      </c>
      <c r="H302" s="214">
        <f>VLOOKUP(TBLBAHANKELUAR[[#This Row],[NAMA BAHAN]],TBLREKAPBAHAN[[NAMA BAHAN]:[MODAL SATUAN]],2,FALSE)</f>
        <v>5500</v>
      </c>
      <c r="I302" s="214">
        <f>VLOOKUP(TBLBAHANKELUAR[[#This Row],[NAMA BAHAN]],TBLREKAPBAHAN[[NAMA BAHAN]:[MODAL SATUAN]],3,FALSE)</f>
        <v>100</v>
      </c>
      <c r="J302" s="214">
        <f>VLOOKUP(TBLBAHANKELUAR[[#This Row],[NAMA BAHAN]],TBLREKAPBAHAN[[NAMA BAHAN]:[MODAL SATUAN]],4,FALSE)</f>
        <v>55</v>
      </c>
      <c r="K302" s="215">
        <f>VLOOKUP(TBLBAHANKELUAR[[#This Row],[KODE BAHAN]],[4]!TBLKEBABAYAMMEDIUM[#Data],10,FALSE)</f>
        <v>1</v>
      </c>
      <c r="L302" s="215">
        <f>SUMIF(TBLPRODUKKELUARJULI[NAMA PRODUK],TBLBAHANKELUAR[[#This Row],[NAMA PRODUK]],TBLPRODUKKELUARJULI[JUMLAH TERJUAL])</f>
        <v>1</v>
      </c>
      <c r="M302" s="215">
        <f>TBLBAHANKELUAR[[#This Row],[KEB. BAHAN]]*TBLBAHANKELUAR[[#This Row],[JUMLAH KEB. BAHAN KELUAR]]</f>
        <v>1</v>
      </c>
      <c r="N302" s="214">
        <f>TBLBAHANKELUAR[[#This Row],[MODAL SATUAN]]*TBLBAHANKELUAR[[#This Row],[TOTAL BAHAN KELUAR]]</f>
        <v>55</v>
      </c>
    </row>
    <row r="303" spans="1:14" x14ac:dyDescent="0.3">
      <c r="A303" s="103">
        <v>2026</v>
      </c>
      <c r="B303" s="211" t="s">
        <v>590</v>
      </c>
      <c r="C303" s="103"/>
      <c r="D303" s="103"/>
      <c r="E303" s="255" t="s">
        <v>396</v>
      </c>
      <c r="F303" s="119">
        <v>1</v>
      </c>
      <c r="G303" s="107" t="str">
        <f>VLOOKUP(TBLBAHANKELUAR[[#This Row],[KODE BAHAN]],[4]!TBLYESKOREA[#Data],2,FALSE)</f>
        <v>SAOS SPAGHETI GRAM</v>
      </c>
      <c r="H303" s="104">
        <f>VLOOKUP(TBLBAHANKELUAR[[#This Row],[NAMA BAHAN]],TBLREKAPBAHAN[[NAMA BAHAN]:[MODAL SATUAN]],2,FALSE)</f>
        <v>12000</v>
      </c>
      <c r="I303" s="104">
        <f>VLOOKUP(TBLBAHANKELUAR[[#This Row],[NAMA BAHAN]],TBLREKAPBAHAN[[NAMA BAHAN]:[MODAL SATUAN]],3,FALSE)</f>
        <v>250</v>
      </c>
      <c r="J303" s="104">
        <f>VLOOKUP(TBLBAHANKELUAR[[#This Row],[NAMA BAHAN]],TBLREKAPBAHAN[[NAMA BAHAN]:[MODAL SATUAN]],4,FALSE)</f>
        <v>48</v>
      </c>
      <c r="K303" s="105">
        <f>VLOOKUP(TBLBAHANKELUAR[[#This Row],[KODE BAHAN]],[4]!TBLYESKOREA[#Data],7,FALSE)</f>
        <v>50</v>
      </c>
      <c r="L303" s="215">
        <f>SUMIF(TBLPRODUKKELUARJULI[NAMA PRODUK],TBLBAHANKELUAR[[#This Row],[NAMA PRODUK]],TBLPRODUKKELUARJULI[JUMLAH TERJUAL])</f>
        <v>2</v>
      </c>
      <c r="M303" s="105">
        <f>TBLBAHANKELUAR[[#This Row],[KEB. BAHAN]]*TBLBAHANKELUAR[[#This Row],[JUMLAH KEB. BAHAN KELUAR]]</f>
        <v>100</v>
      </c>
      <c r="N303" s="104">
        <f>TBLBAHANKELUAR[[#This Row],[MODAL SATUAN]]*TBLBAHANKELUAR[[#This Row],[TOTAL BAHAN KELUAR]]</f>
        <v>4800</v>
      </c>
    </row>
    <row r="304" spans="1:14" x14ac:dyDescent="0.3">
      <c r="A304" s="103">
        <v>2026</v>
      </c>
      <c r="B304" s="211" t="s">
        <v>590</v>
      </c>
      <c r="C304" s="103"/>
      <c r="D304" s="103"/>
      <c r="E304" s="255" t="s">
        <v>396</v>
      </c>
      <c r="F304" s="119">
        <v>2</v>
      </c>
      <c r="G304" s="107" t="str">
        <f>VLOOKUP(TBLBAHANKELUAR[[#This Row],[KODE BAHAN]],[4]!TBLYESKOREA[#Data],2,FALSE)</f>
        <v>SAOS TOMAT SACHET</v>
      </c>
      <c r="H304" s="104">
        <f>VLOOKUP(TBLBAHANKELUAR[[#This Row],[NAMA BAHAN]],TBLREKAPBAHAN[[NAMA BAHAN]:[MODAL SATUAN]],2,FALSE)</f>
        <v>7000</v>
      </c>
      <c r="I304" s="104">
        <f>VLOOKUP(TBLBAHANKELUAR[[#This Row],[NAMA BAHAN]],TBLREKAPBAHAN[[NAMA BAHAN]:[MODAL SATUAN]],3,FALSE)</f>
        <v>24</v>
      </c>
      <c r="J304" s="104">
        <f>VLOOKUP(TBLBAHANKELUAR[[#This Row],[NAMA BAHAN]],TBLREKAPBAHAN[[NAMA BAHAN]:[MODAL SATUAN]],4,FALSE)</f>
        <v>291.66666666666669</v>
      </c>
      <c r="K304" s="105">
        <f>VLOOKUP(TBLBAHANKELUAR[[#This Row],[KODE BAHAN]],[4]!TBLYESKOREA[#Data],7,FALSE)</f>
        <v>2</v>
      </c>
      <c r="L304" s="215">
        <f>SUMIF(TBLPRODUKKELUARJULI[NAMA PRODUK],TBLBAHANKELUAR[[#This Row],[NAMA PRODUK]],TBLPRODUKKELUARJULI[JUMLAH TERJUAL])</f>
        <v>2</v>
      </c>
      <c r="M304" s="105">
        <f>TBLBAHANKELUAR[[#This Row],[KEB. BAHAN]]*TBLBAHANKELUAR[[#This Row],[JUMLAH KEB. BAHAN KELUAR]]</f>
        <v>4</v>
      </c>
      <c r="N304" s="104">
        <f>TBLBAHANKELUAR[[#This Row],[MODAL SATUAN]]*TBLBAHANKELUAR[[#This Row],[TOTAL BAHAN KELUAR]]</f>
        <v>1166.6666666666667</v>
      </c>
    </row>
    <row r="305" spans="1:14" x14ac:dyDescent="0.3">
      <c r="A305" s="103">
        <v>2026</v>
      </c>
      <c r="B305" s="211" t="s">
        <v>590</v>
      </c>
      <c r="C305" s="103"/>
      <c r="D305" s="103"/>
      <c r="E305" s="255" t="s">
        <v>396</v>
      </c>
      <c r="F305" s="119">
        <v>3</v>
      </c>
      <c r="G305" s="107" t="str">
        <f>VLOOKUP(TBLBAHANKELUAR[[#This Row],[KODE BAHAN]],[4]!TBLYESKOREA[#Data],2,FALSE)</f>
        <v>SAOS SAMBAL SACHET</v>
      </c>
      <c r="H305" s="104">
        <f>VLOOKUP(TBLBAHANKELUAR[[#This Row],[NAMA BAHAN]],TBLREKAPBAHAN[[NAMA BAHAN]:[MODAL SATUAN]],2,FALSE)</f>
        <v>8000</v>
      </c>
      <c r="I305" s="104">
        <f>VLOOKUP(TBLBAHANKELUAR[[#This Row],[NAMA BAHAN]],TBLREKAPBAHAN[[NAMA BAHAN]:[MODAL SATUAN]],3,FALSE)</f>
        <v>24</v>
      </c>
      <c r="J305" s="104">
        <f>VLOOKUP(TBLBAHANKELUAR[[#This Row],[NAMA BAHAN]],TBLREKAPBAHAN[[NAMA BAHAN]:[MODAL SATUAN]],4,FALSE)</f>
        <v>333.33333333333331</v>
      </c>
      <c r="K305" s="105">
        <f>VLOOKUP(TBLBAHANKELUAR[[#This Row],[KODE BAHAN]],[4]!TBLYESKOREA[#Data],7,FALSE)</f>
        <v>2</v>
      </c>
      <c r="L305" s="215">
        <f>SUMIF(TBLPRODUKKELUARJULI[NAMA PRODUK],TBLBAHANKELUAR[[#This Row],[NAMA PRODUK]],TBLPRODUKKELUARJULI[JUMLAH TERJUAL])</f>
        <v>2</v>
      </c>
      <c r="M305" s="105">
        <f>TBLBAHANKELUAR[[#This Row],[KEB. BAHAN]]*TBLBAHANKELUAR[[#This Row],[JUMLAH KEB. BAHAN KELUAR]]</f>
        <v>4</v>
      </c>
      <c r="N305" s="104">
        <f>TBLBAHANKELUAR[[#This Row],[MODAL SATUAN]]*TBLBAHANKELUAR[[#This Row],[TOTAL BAHAN KELUAR]]</f>
        <v>1333.3333333333333</v>
      </c>
    </row>
    <row r="306" spans="1:14" x14ac:dyDescent="0.3">
      <c r="A306" s="103">
        <v>2026</v>
      </c>
      <c r="B306" s="211" t="s">
        <v>590</v>
      </c>
      <c r="C306" s="103"/>
      <c r="D306" s="103"/>
      <c r="E306" s="255" t="s">
        <v>396</v>
      </c>
      <c r="F306" s="119">
        <v>4</v>
      </c>
      <c r="G306" s="107" t="str">
        <f>VLOOKUP(TBLBAHANKELUAR[[#This Row],[KODE BAHAN]],[4]!TBLYESKOREA[#Data],2,FALSE)</f>
        <v>KEJU MOZZARELLA</v>
      </c>
      <c r="H306" s="104">
        <f>VLOOKUP(TBLBAHANKELUAR[[#This Row],[NAMA BAHAN]],TBLREKAPBAHAN[[NAMA BAHAN]:[MODAL SATUAN]],2,FALSE)</f>
        <v>90000</v>
      </c>
      <c r="I306" s="104">
        <f>VLOOKUP(TBLBAHANKELUAR[[#This Row],[NAMA BAHAN]],TBLREKAPBAHAN[[NAMA BAHAN]:[MODAL SATUAN]],3,FALSE)</f>
        <v>500</v>
      </c>
      <c r="J306" s="104">
        <f>VLOOKUP(TBLBAHANKELUAR[[#This Row],[NAMA BAHAN]],TBLREKAPBAHAN[[NAMA BAHAN]:[MODAL SATUAN]],4,FALSE)</f>
        <v>180</v>
      </c>
      <c r="K306" s="105">
        <f>VLOOKUP(TBLBAHANKELUAR[[#This Row],[KODE BAHAN]],[4]!TBLYESKOREA[#Data],7,FALSE)</f>
        <v>64</v>
      </c>
      <c r="L306" s="215">
        <f>SUMIF(TBLPRODUKKELUARJULI[NAMA PRODUK],TBLBAHANKELUAR[[#This Row],[NAMA PRODUK]],TBLPRODUKKELUARJULI[JUMLAH TERJUAL])</f>
        <v>2</v>
      </c>
      <c r="M306" s="105">
        <f>TBLBAHANKELUAR[[#This Row],[KEB. BAHAN]]*TBLBAHANKELUAR[[#This Row],[JUMLAH KEB. BAHAN KELUAR]]</f>
        <v>128</v>
      </c>
      <c r="N306" s="104">
        <f>TBLBAHANKELUAR[[#This Row],[MODAL SATUAN]]*TBLBAHANKELUAR[[#This Row],[TOTAL BAHAN KELUAR]]</f>
        <v>23040</v>
      </c>
    </row>
    <row r="307" spans="1:14" x14ac:dyDescent="0.3">
      <c r="A307" s="103">
        <v>2026</v>
      </c>
      <c r="B307" s="211" t="s">
        <v>590</v>
      </c>
      <c r="C307" s="103"/>
      <c r="D307" s="103"/>
      <c r="E307" s="255" t="s">
        <v>396</v>
      </c>
      <c r="F307" s="119">
        <v>5</v>
      </c>
      <c r="G307" s="107" t="str">
        <f>VLOOKUP(TBLBAHANKELUAR[[#This Row],[KODE BAHAN]],[4]!TBLYESKOREA[#Data],2,FALSE)</f>
        <v>SOSIZ BATANG</v>
      </c>
      <c r="H307" s="104">
        <f>VLOOKUP(TBLBAHANKELUAR[[#This Row],[NAMA BAHAN]],TBLREKAPBAHAN[[NAMA BAHAN]:[MODAL SATUAN]],2,FALSE)</f>
        <v>35000</v>
      </c>
      <c r="I307" s="104">
        <f>VLOOKUP(TBLBAHANKELUAR[[#This Row],[NAMA BAHAN]],TBLREKAPBAHAN[[NAMA BAHAN]:[MODAL SATUAN]],3,FALSE)</f>
        <v>38</v>
      </c>
      <c r="J307" s="104">
        <f>VLOOKUP(TBLBAHANKELUAR[[#This Row],[NAMA BAHAN]],TBLREKAPBAHAN[[NAMA BAHAN]:[MODAL SATUAN]],4,FALSE)</f>
        <v>921.0526315789474</v>
      </c>
      <c r="K307" s="105">
        <f>VLOOKUP(TBLBAHANKELUAR[[#This Row],[KODE BAHAN]],[4]!TBLYESKOREA[#Data],7,FALSE)</f>
        <v>1</v>
      </c>
      <c r="L307" s="215">
        <f>SUMIF(TBLPRODUKKELUARJULI[NAMA PRODUK],TBLBAHANKELUAR[[#This Row],[NAMA PRODUK]],TBLPRODUKKELUARJULI[JUMLAH TERJUAL])</f>
        <v>2</v>
      </c>
      <c r="M307" s="105">
        <f>TBLBAHANKELUAR[[#This Row],[KEB. BAHAN]]*TBLBAHANKELUAR[[#This Row],[JUMLAH KEB. BAHAN KELUAR]]</f>
        <v>2</v>
      </c>
      <c r="N307" s="104">
        <f>TBLBAHANKELUAR[[#This Row],[MODAL SATUAN]]*TBLBAHANKELUAR[[#This Row],[TOTAL BAHAN KELUAR]]</f>
        <v>1842.1052631578948</v>
      </c>
    </row>
    <row r="308" spans="1:14" x14ac:dyDescent="0.3">
      <c r="A308" s="103">
        <v>2026</v>
      </c>
      <c r="B308" s="211" t="s">
        <v>590</v>
      </c>
      <c r="C308" s="103"/>
      <c r="D308" s="103"/>
      <c r="E308" s="255" t="s">
        <v>396</v>
      </c>
      <c r="F308" s="119">
        <v>6</v>
      </c>
      <c r="G308" s="107" t="str">
        <f>VLOOKUP(TBLBAHANKELUAR[[#This Row],[KODE BAHAN]],[4]!TBLYESKOREA[#Data],2,FALSE)</f>
        <v>AYAM SUWIR</v>
      </c>
      <c r="H308" s="104">
        <f>VLOOKUP(TBLBAHANKELUAR[[#This Row],[NAMA BAHAN]],TBLREKAPBAHAN[[NAMA BAHAN]:[MODAL SATUAN]],2,FALSE)</f>
        <v>45000</v>
      </c>
      <c r="I308" s="104">
        <f>VLOOKUP(TBLBAHANKELUAR[[#This Row],[NAMA BAHAN]],TBLREKAPBAHAN[[NAMA BAHAN]:[MODAL SATUAN]],3,FALSE)</f>
        <v>400</v>
      </c>
      <c r="J308" s="104">
        <f>VLOOKUP(TBLBAHANKELUAR[[#This Row],[NAMA BAHAN]],TBLREKAPBAHAN[[NAMA BAHAN]:[MODAL SATUAN]],4,FALSE)</f>
        <v>112.5</v>
      </c>
      <c r="K308" s="105">
        <f>VLOOKUP(TBLBAHANKELUAR[[#This Row],[KODE BAHAN]],[4]!TBLYESKOREA[#Data],7,FALSE)</f>
        <v>15</v>
      </c>
      <c r="L308" s="215">
        <f>SUMIF(TBLPRODUKKELUARJULI[NAMA PRODUK],TBLBAHANKELUAR[[#This Row],[NAMA PRODUK]],TBLPRODUKKELUARJULI[JUMLAH TERJUAL])</f>
        <v>2</v>
      </c>
      <c r="M308" s="105">
        <f>TBLBAHANKELUAR[[#This Row],[KEB. BAHAN]]*TBLBAHANKELUAR[[#This Row],[JUMLAH KEB. BAHAN KELUAR]]</f>
        <v>30</v>
      </c>
      <c r="N308" s="104">
        <f>TBLBAHANKELUAR[[#This Row],[MODAL SATUAN]]*TBLBAHANKELUAR[[#This Row],[TOTAL BAHAN KELUAR]]</f>
        <v>3375</v>
      </c>
    </row>
    <row r="309" spans="1:14" x14ac:dyDescent="0.3">
      <c r="A309" s="103">
        <v>2026</v>
      </c>
      <c r="B309" s="211" t="s">
        <v>590</v>
      </c>
      <c r="C309" s="103"/>
      <c r="D309" s="103"/>
      <c r="E309" s="255" t="s">
        <v>396</v>
      </c>
      <c r="F309" s="119">
        <v>7</v>
      </c>
      <c r="G309" s="107" t="str">
        <f>VLOOKUP(TBLBAHANKELUAR[[#This Row],[KODE BAHAN]],[4]!TBLYESKOREA[#Data],2,FALSE)</f>
        <v>MENTEGA</v>
      </c>
      <c r="H309" s="104">
        <f>VLOOKUP(TBLBAHANKELUAR[[#This Row],[NAMA BAHAN]],TBLREKAPBAHAN[[NAMA BAHAN]:[MODAL SATUAN]],2,FALSE)</f>
        <v>35000</v>
      </c>
      <c r="I309" s="104">
        <f>VLOOKUP(TBLBAHANKELUAR[[#This Row],[NAMA BAHAN]],TBLREKAPBAHAN[[NAMA BAHAN]:[MODAL SATUAN]],3,FALSE)</f>
        <v>1000</v>
      </c>
      <c r="J309" s="104">
        <f>VLOOKUP(TBLBAHANKELUAR[[#This Row],[NAMA BAHAN]],TBLREKAPBAHAN[[NAMA BAHAN]:[MODAL SATUAN]],4,FALSE)</f>
        <v>35</v>
      </c>
      <c r="K309" s="105">
        <f>VLOOKUP(TBLBAHANKELUAR[[#This Row],[KODE BAHAN]],[4]!TBLYESKOREA[#Data],7,FALSE)</f>
        <v>18</v>
      </c>
      <c r="L309" s="215">
        <f>SUMIF(TBLPRODUKKELUARJULI[NAMA PRODUK],TBLBAHANKELUAR[[#This Row],[NAMA PRODUK]],TBLPRODUKKELUARJULI[JUMLAH TERJUAL])</f>
        <v>2</v>
      </c>
      <c r="M309" s="105">
        <f>TBLBAHANKELUAR[[#This Row],[KEB. BAHAN]]*TBLBAHANKELUAR[[#This Row],[JUMLAH KEB. BAHAN KELUAR]]</f>
        <v>36</v>
      </c>
      <c r="N309" s="104">
        <f>TBLBAHANKELUAR[[#This Row],[MODAL SATUAN]]*TBLBAHANKELUAR[[#This Row],[TOTAL BAHAN KELUAR]]</f>
        <v>1260</v>
      </c>
    </row>
    <row r="310" spans="1:14" x14ac:dyDescent="0.3">
      <c r="A310" s="103">
        <v>2026</v>
      </c>
      <c r="B310" s="211" t="s">
        <v>590</v>
      </c>
      <c r="C310" s="103"/>
      <c r="D310" s="103"/>
      <c r="E310" s="255" t="s">
        <v>396</v>
      </c>
      <c r="F310" s="119">
        <v>8</v>
      </c>
      <c r="G310" s="107" t="str">
        <f>VLOOKUP(TBLBAHANKELUAR[[#This Row],[KODE BAHAN]],[4]!TBLYESKOREA[#Data],2,FALSE)</f>
        <v>GULA PASIR</v>
      </c>
      <c r="H310" s="104">
        <f>VLOOKUP(TBLBAHANKELUAR[[#This Row],[NAMA BAHAN]],TBLREKAPBAHAN[[NAMA BAHAN]:[MODAL SATUAN]],2,FALSE)</f>
        <v>18000</v>
      </c>
      <c r="I310" s="104">
        <f>VLOOKUP(TBLBAHANKELUAR[[#This Row],[NAMA BAHAN]],TBLREKAPBAHAN[[NAMA BAHAN]:[MODAL SATUAN]],3,FALSE)</f>
        <v>1000</v>
      </c>
      <c r="J310" s="104">
        <f>VLOOKUP(TBLBAHANKELUAR[[#This Row],[NAMA BAHAN]],TBLREKAPBAHAN[[NAMA BAHAN]:[MODAL SATUAN]],4,FALSE)</f>
        <v>18</v>
      </c>
      <c r="K310" s="105">
        <f>VLOOKUP(TBLBAHANKELUAR[[#This Row],[KODE BAHAN]],[4]!TBLYESKOREA[#Data],7,FALSE)</f>
        <v>13.5</v>
      </c>
      <c r="L310" s="215">
        <f>SUMIF(TBLPRODUKKELUARJULI[NAMA PRODUK],TBLBAHANKELUAR[[#This Row],[NAMA PRODUK]],TBLPRODUKKELUARJULI[JUMLAH TERJUAL])</f>
        <v>2</v>
      </c>
      <c r="M310" s="105">
        <f>TBLBAHANKELUAR[[#This Row],[KEB. BAHAN]]*TBLBAHANKELUAR[[#This Row],[JUMLAH KEB. BAHAN KELUAR]]</f>
        <v>27</v>
      </c>
      <c r="N310" s="104">
        <f>TBLBAHANKELUAR[[#This Row],[MODAL SATUAN]]*TBLBAHANKELUAR[[#This Row],[TOTAL BAHAN KELUAR]]</f>
        <v>486</v>
      </c>
    </row>
    <row r="311" spans="1:14" x14ac:dyDescent="0.3">
      <c r="A311" s="103">
        <v>2026</v>
      </c>
      <c r="B311" s="211" t="s">
        <v>590</v>
      </c>
      <c r="C311" s="103"/>
      <c r="D311" s="103"/>
      <c r="E311" s="255" t="s">
        <v>396</v>
      </c>
      <c r="F311" s="119">
        <v>9</v>
      </c>
      <c r="G311" s="107" t="str">
        <f>VLOOKUP(TBLBAHANKELUAR[[#This Row],[KODE BAHAN]],[4]!TBLYESKOREA[#Data],2,FALSE)</f>
        <v>GARAM HALUS</v>
      </c>
      <c r="H311" s="104">
        <f>VLOOKUP(TBLBAHANKELUAR[[#This Row],[NAMA BAHAN]],TBLREKAPBAHAN[[NAMA BAHAN]:[MODAL SATUAN]],2,FALSE)</f>
        <v>4000</v>
      </c>
      <c r="I311" s="104">
        <f>VLOOKUP(TBLBAHANKELUAR[[#This Row],[NAMA BAHAN]],TBLREKAPBAHAN[[NAMA BAHAN]:[MODAL SATUAN]],3,FALSE)</f>
        <v>250</v>
      </c>
      <c r="J311" s="104">
        <f>VLOOKUP(TBLBAHANKELUAR[[#This Row],[NAMA BAHAN]],TBLREKAPBAHAN[[NAMA BAHAN]:[MODAL SATUAN]],4,FALSE)</f>
        <v>16</v>
      </c>
      <c r="K311" s="105">
        <f>VLOOKUP(TBLBAHANKELUAR[[#This Row],[KODE BAHAN]],[4]!TBLYESKOREA[#Data],7,FALSE)</f>
        <v>3</v>
      </c>
      <c r="L311" s="215">
        <f>SUMIF(TBLPRODUKKELUARJULI[NAMA PRODUK],TBLBAHANKELUAR[[#This Row],[NAMA PRODUK]],TBLPRODUKKELUARJULI[JUMLAH TERJUAL])</f>
        <v>2</v>
      </c>
      <c r="M311" s="105">
        <f>TBLBAHANKELUAR[[#This Row],[KEB. BAHAN]]*TBLBAHANKELUAR[[#This Row],[JUMLAH KEB. BAHAN KELUAR]]</f>
        <v>6</v>
      </c>
      <c r="N311" s="104">
        <f>TBLBAHANKELUAR[[#This Row],[MODAL SATUAN]]*TBLBAHANKELUAR[[#This Row],[TOTAL BAHAN KELUAR]]</f>
        <v>96</v>
      </c>
    </row>
    <row r="312" spans="1:14" x14ac:dyDescent="0.3">
      <c r="A312" s="103">
        <v>2026</v>
      </c>
      <c r="B312" s="211" t="s">
        <v>590</v>
      </c>
      <c r="C312" s="103"/>
      <c r="D312" s="103"/>
      <c r="E312" s="255" t="s">
        <v>396</v>
      </c>
      <c r="F312" s="119">
        <v>10</v>
      </c>
      <c r="G312" s="107" t="str">
        <f>VLOOKUP(TBLBAHANKELUAR[[#This Row],[KODE BAHAN]],[4]!TBLYESKOREA[#Data],2,FALSE)</f>
        <v>VERMIPAN</v>
      </c>
      <c r="H312" s="104">
        <f>VLOOKUP(TBLBAHANKELUAR[[#This Row],[NAMA BAHAN]],TBLREKAPBAHAN[[NAMA BAHAN]:[MODAL SATUAN]],2,FALSE)</f>
        <v>7000</v>
      </c>
      <c r="I312" s="104">
        <f>VLOOKUP(TBLBAHANKELUAR[[#This Row],[NAMA BAHAN]],TBLREKAPBAHAN[[NAMA BAHAN]:[MODAL SATUAN]],3,FALSE)</f>
        <v>11</v>
      </c>
      <c r="J312" s="104">
        <f>VLOOKUP(TBLBAHANKELUAR[[#This Row],[NAMA BAHAN]],TBLREKAPBAHAN[[NAMA BAHAN]:[MODAL SATUAN]],4,FALSE)</f>
        <v>636.36363636363637</v>
      </c>
      <c r="K312" s="105">
        <f>VLOOKUP(TBLBAHANKELUAR[[#This Row],[KODE BAHAN]],[4]!TBLYESKOREA[#Data],7,FALSE)</f>
        <v>5</v>
      </c>
      <c r="L312" s="215">
        <f>SUMIF(TBLPRODUKKELUARJULI[NAMA PRODUK],TBLBAHANKELUAR[[#This Row],[NAMA PRODUK]],TBLPRODUKKELUARJULI[JUMLAH TERJUAL])</f>
        <v>2</v>
      </c>
      <c r="M312" s="105">
        <f>TBLBAHANKELUAR[[#This Row],[KEB. BAHAN]]*TBLBAHANKELUAR[[#This Row],[JUMLAH KEB. BAHAN KELUAR]]</f>
        <v>10</v>
      </c>
      <c r="N312" s="104">
        <f>TBLBAHANKELUAR[[#This Row],[MODAL SATUAN]]*TBLBAHANKELUAR[[#This Row],[TOTAL BAHAN KELUAR]]</f>
        <v>6363.636363636364</v>
      </c>
    </row>
    <row r="313" spans="1:14" x14ac:dyDescent="0.3">
      <c r="A313" s="103">
        <v>2026</v>
      </c>
      <c r="B313" s="211" t="s">
        <v>590</v>
      </c>
      <c r="C313" s="103"/>
      <c r="D313" s="103"/>
      <c r="E313" s="255" t="s">
        <v>396</v>
      </c>
      <c r="F313" s="119">
        <v>11</v>
      </c>
      <c r="G313" s="107" t="str">
        <f>VLOOKUP(TBLBAHANKELUAR[[#This Row],[KODE BAHAN]],[4]!TBLYESKOREA[#Data],2,FALSE)</f>
        <v>SUSU BUBUK</v>
      </c>
      <c r="H313" s="104">
        <f>VLOOKUP(TBLBAHANKELUAR[[#This Row],[NAMA BAHAN]],TBLREKAPBAHAN[[NAMA BAHAN]:[MODAL SATUAN]],2,FALSE)</f>
        <v>18000</v>
      </c>
      <c r="I313" s="104">
        <f>VLOOKUP(TBLBAHANKELUAR[[#This Row],[NAMA BAHAN]],TBLREKAPBAHAN[[NAMA BAHAN]:[MODAL SATUAN]],3,FALSE)</f>
        <v>250</v>
      </c>
      <c r="J313" s="104">
        <f>VLOOKUP(TBLBAHANKELUAR[[#This Row],[NAMA BAHAN]],TBLREKAPBAHAN[[NAMA BAHAN]:[MODAL SATUAN]],4,FALSE)</f>
        <v>72</v>
      </c>
      <c r="K313" s="105">
        <f>VLOOKUP(TBLBAHANKELUAR[[#This Row],[KODE BAHAN]],[4]!TBLYESKOREA[#Data],7,FALSE)</f>
        <v>15</v>
      </c>
      <c r="L313" s="215">
        <f>SUMIF(TBLPRODUKKELUARJULI[NAMA PRODUK],TBLBAHANKELUAR[[#This Row],[NAMA PRODUK]],TBLPRODUKKELUARJULI[JUMLAH TERJUAL])</f>
        <v>2</v>
      </c>
      <c r="M313" s="105">
        <f>TBLBAHANKELUAR[[#This Row],[KEB. BAHAN]]*TBLBAHANKELUAR[[#This Row],[JUMLAH KEB. BAHAN KELUAR]]</f>
        <v>30</v>
      </c>
      <c r="N313" s="104">
        <f>TBLBAHANKELUAR[[#This Row],[MODAL SATUAN]]*TBLBAHANKELUAR[[#This Row],[TOTAL BAHAN KELUAR]]</f>
        <v>2160</v>
      </c>
    </row>
    <row r="314" spans="1:14" x14ac:dyDescent="0.3">
      <c r="A314" s="103">
        <v>2026</v>
      </c>
      <c r="B314" s="211" t="s">
        <v>590</v>
      </c>
      <c r="C314" s="103"/>
      <c r="D314" s="103"/>
      <c r="E314" s="255" t="s">
        <v>396</v>
      </c>
      <c r="F314" s="119">
        <v>12</v>
      </c>
      <c r="G314" s="107" t="str">
        <f>VLOOKUP(TBLBAHANKELUAR[[#This Row],[KODE BAHAN]],[4]!TBLYESKOREA[#Data],2,FALSE)</f>
        <v>TEPUNG SEGITIGA BIRU</v>
      </c>
      <c r="H314" s="104">
        <f>VLOOKUP(TBLBAHANKELUAR[[#This Row],[NAMA BAHAN]],TBLREKAPBAHAN[[NAMA BAHAN]:[MODAL SATUAN]],2,FALSE)</f>
        <v>14000</v>
      </c>
      <c r="I314" s="104">
        <f>VLOOKUP(TBLBAHANKELUAR[[#This Row],[NAMA BAHAN]],TBLREKAPBAHAN[[NAMA BAHAN]:[MODAL SATUAN]],3,FALSE)</f>
        <v>1000</v>
      </c>
      <c r="J314" s="104">
        <f>VLOOKUP(TBLBAHANKELUAR[[#This Row],[NAMA BAHAN]],TBLREKAPBAHAN[[NAMA BAHAN]:[MODAL SATUAN]],4,FALSE)</f>
        <v>14</v>
      </c>
      <c r="K314" s="105">
        <f>VLOOKUP(TBLBAHANKELUAR[[#This Row],[KODE BAHAN]],[4]!TBLYESKOREA[#Data],7,FALSE)</f>
        <v>30</v>
      </c>
      <c r="L314" s="215">
        <f>SUMIF(TBLPRODUKKELUARJULI[NAMA PRODUK],TBLBAHANKELUAR[[#This Row],[NAMA PRODUK]],TBLPRODUKKELUARJULI[JUMLAH TERJUAL])</f>
        <v>2</v>
      </c>
      <c r="M314" s="105">
        <f>TBLBAHANKELUAR[[#This Row],[KEB. BAHAN]]*TBLBAHANKELUAR[[#This Row],[JUMLAH KEB. BAHAN KELUAR]]</f>
        <v>60</v>
      </c>
      <c r="N314" s="104">
        <f>TBLBAHANKELUAR[[#This Row],[MODAL SATUAN]]*TBLBAHANKELUAR[[#This Row],[TOTAL BAHAN KELUAR]]</f>
        <v>840</v>
      </c>
    </row>
    <row r="315" spans="1:14" x14ac:dyDescent="0.3">
      <c r="A315" s="103">
        <v>2026</v>
      </c>
      <c r="B315" s="211" t="s">
        <v>590</v>
      </c>
      <c r="C315" s="103"/>
      <c r="D315" s="103"/>
      <c r="E315" s="255" t="s">
        <v>396</v>
      </c>
      <c r="F315" s="119">
        <v>13</v>
      </c>
      <c r="G315" s="107" t="str">
        <f>VLOOKUP(TBLBAHANKELUAR[[#This Row],[KODE BAHAN]],[4]!TBLYESKOREA[#Data],2,FALSE)</f>
        <v>TEPUNG CAKRA KEMBAR</v>
      </c>
      <c r="H315" s="104">
        <f>VLOOKUP(TBLBAHANKELUAR[[#This Row],[NAMA BAHAN]],TBLREKAPBAHAN[[NAMA BAHAN]:[MODAL SATUAN]],2,FALSE)</f>
        <v>14000</v>
      </c>
      <c r="I315" s="104">
        <f>VLOOKUP(TBLBAHANKELUAR[[#This Row],[NAMA BAHAN]],TBLREKAPBAHAN[[NAMA BAHAN]:[MODAL SATUAN]],3,FALSE)</f>
        <v>1000</v>
      </c>
      <c r="J315" s="104">
        <f>VLOOKUP(TBLBAHANKELUAR[[#This Row],[NAMA BAHAN]],TBLREKAPBAHAN[[NAMA BAHAN]:[MODAL SATUAN]],4,FALSE)</f>
        <v>14</v>
      </c>
      <c r="K315" s="105">
        <f>VLOOKUP(TBLBAHANKELUAR[[#This Row],[KODE BAHAN]],[4]!TBLYESKOREA[#Data],7,FALSE)</f>
        <v>50</v>
      </c>
      <c r="L315" s="215">
        <f>SUMIF(TBLPRODUKKELUARJULI[NAMA PRODUK],TBLBAHANKELUAR[[#This Row],[NAMA PRODUK]],TBLPRODUKKELUARJULI[JUMLAH TERJUAL])</f>
        <v>2</v>
      </c>
      <c r="M315" s="105">
        <f>TBLBAHANKELUAR[[#This Row],[KEB. BAHAN]]*TBLBAHANKELUAR[[#This Row],[JUMLAH KEB. BAHAN KELUAR]]</f>
        <v>100</v>
      </c>
      <c r="N315" s="104">
        <f>TBLBAHANKELUAR[[#This Row],[MODAL SATUAN]]*TBLBAHANKELUAR[[#This Row],[TOTAL BAHAN KELUAR]]</f>
        <v>1400</v>
      </c>
    </row>
    <row r="316" spans="1:14" x14ac:dyDescent="0.3">
      <c r="A316" s="103">
        <v>2026</v>
      </c>
      <c r="B316" s="211" t="s">
        <v>590</v>
      </c>
      <c r="C316" s="103"/>
      <c r="D316" s="103"/>
      <c r="E316" s="255" t="s">
        <v>396</v>
      </c>
      <c r="F316" s="119">
        <v>14</v>
      </c>
      <c r="G316" s="107" t="str">
        <f>VLOOKUP(TBLBAHANKELUAR[[#This Row],[KODE BAHAN]],[4]!TBLYESKOREA[#Data],2,FALSE)</f>
        <v>BASIL</v>
      </c>
      <c r="H316" s="104">
        <f>VLOOKUP(TBLBAHANKELUAR[[#This Row],[NAMA BAHAN]],TBLREKAPBAHAN[[NAMA BAHAN]:[MODAL SATUAN]],2,FALSE)</f>
        <v>30000</v>
      </c>
      <c r="I316" s="104">
        <f>VLOOKUP(TBLBAHANKELUAR[[#This Row],[NAMA BAHAN]],TBLREKAPBAHAN[[NAMA BAHAN]:[MODAL SATUAN]],3,FALSE)</f>
        <v>30</v>
      </c>
      <c r="J316" s="104">
        <f>VLOOKUP(TBLBAHANKELUAR[[#This Row],[NAMA BAHAN]],TBLREKAPBAHAN[[NAMA BAHAN]:[MODAL SATUAN]],4,FALSE)</f>
        <v>1000</v>
      </c>
      <c r="K316" s="105">
        <f>VLOOKUP(TBLBAHANKELUAR[[#This Row],[KODE BAHAN]],[4]!TBLYESKOREA[#Data],7,FALSE)</f>
        <v>1</v>
      </c>
      <c r="L316" s="215">
        <f>SUMIF(TBLPRODUKKELUARJULI[NAMA PRODUK],TBLBAHANKELUAR[[#This Row],[NAMA PRODUK]],TBLPRODUKKELUARJULI[JUMLAH TERJUAL])</f>
        <v>2</v>
      </c>
      <c r="M316" s="105">
        <f>TBLBAHANKELUAR[[#This Row],[KEB. BAHAN]]*TBLBAHANKELUAR[[#This Row],[JUMLAH KEB. BAHAN KELUAR]]</f>
        <v>2</v>
      </c>
      <c r="N316" s="104">
        <f>TBLBAHANKELUAR[[#This Row],[MODAL SATUAN]]*TBLBAHANKELUAR[[#This Row],[TOTAL BAHAN KELUAR]]</f>
        <v>2000</v>
      </c>
    </row>
    <row r="317" spans="1:14" x14ac:dyDescent="0.3">
      <c r="A317" s="103">
        <v>2026</v>
      </c>
      <c r="B317" s="211" t="s">
        <v>590</v>
      </c>
      <c r="C317" s="103"/>
      <c r="D317" s="103"/>
      <c r="E317" s="255" t="s">
        <v>396</v>
      </c>
      <c r="F317" s="119">
        <v>15</v>
      </c>
      <c r="G317" s="107" t="str">
        <f>VLOOKUP(TBLBAHANKELUAR[[#This Row],[KODE BAHAN]],[4]!TBLYESKOREA[#Data],2,FALSE)</f>
        <v>KALDU JAMUR</v>
      </c>
      <c r="H317" s="104">
        <f>VLOOKUP(TBLBAHANKELUAR[[#This Row],[NAMA BAHAN]],TBLREKAPBAHAN[[NAMA BAHAN]:[MODAL SATUAN]],2,FALSE)</f>
        <v>15000</v>
      </c>
      <c r="I317" s="104">
        <f>VLOOKUP(TBLBAHANKELUAR[[#This Row],[NAMA BAHAN]],TBLREKAPBAHAN[[NAMA BAHAN]:[MODAL SATUAN]],3,FALSE)</f>
        <v>80</v>
      </c>
      <c r="J317" s="104">
        <f>VLOOKUP(TBLBAHANKELUAR[[#This Row],[NAMA BAHAN]],TBLREKAPBAHAN[[NAMA BAHAN]:[MODAL SATUAN]],4,FALSE)</f>
        <v>187.5</v>
      </c>
      <c r="K317" s="105">
        <f>VLOOKUP(TBLBAHANKELUAR[[#This Row],[KODE BAHAN]],[4]!TBLYESKOREA[#Data],7,FALSE)</f>
        <v>3</v>
      </c>
      <c r="L317" s="215">
        <f>SUMIF(TBLPRODUKKELUARJULI[NAMA PRODUK],TBLBAHANKELUAR[[#This Row],[NAMA PRODUK]],TBLPRODUKKELUARJULI[JUMLAH TERJUAL])</f>
        <v>2</v>
      </c>
      <c r="M317" s="105">
        <f>TBLBAHANKELUAR[[#This Row],[KEB. BAHAN]]*TBLBAHANKELUAR[[#This Row],[JUMLAH KEB. BAHAN KELUAR]]</f>
        <v>6</v>
      </c>
      <c r="N317" s="104">
        <f>TBLBAHANKELUAR[[#This Row],[MODAL SATUAN]]*TBLBAHANKELUAR[[#This Row],[TOTAL BAHAN KELUAR]]</f>
        <v>1125</v>
      </c>
    </row>
    <row r="318" spans="1:14" x14ac:dyDescent="0.3">
      <c r="A318" s="103">
        <v>2026</v>
      </c>
      <c r="B318" s="211" t="s">
        <v>590</v>
      </c>
      <c r="C318" s="103"/>
      <c r="D318" s="103"/>
      <c r="E318" s="255" t="s">
        <v>396</v>
      </c>
      <c r="F318" s="119">
        <v>16</v>
      </c>
      <c r="G318" s="107" t="str">
        <f>VLOOKUP(TBLBAHANKELUAR[[#This Row],[KODE BAHAN]],[4]!TBLYESKOREA[#Data],2,FALSE)</f>
        <v>BAWANG BOMBAY</v>
      </c>
      <c r="H318" s="104">
        <f>VLOOKUP(TBLBAHANKELUAR[[#This Row],[NAMA BAHAN]],TBLREKAPBAHAN[[NAMA BAHAN]:[MODAL SATUAN]],2,FALSE)</f>
        <v>5000</v>
      </c>
      <c r="I318" s="104">
        <f>VLOOKUP(TBLBAHANKELUAR[[#This Row],[NAMA BAHAN]],TBLREKAPBAHAN[[NAMA BAHAN]:[MODAL SATUAN]],3,FALSE)</f>
        <v>8</v>
      </c>
      <c r="J318" s="104">
        <f>VLOOKUP(TBLBAHANKELUAR[[#This Row],[NAMA BAHAN]],TBLREKAPBAHAN[[NAMA BAHAN]:[MODAL SATUAN]],4,FALSE)</f>
        <v>625</v>
      </c>
      <c r="K318" s="105">
        <f>VLOOKUP(TBLBAHANKELUAR[[#This Row],[KODE BAHAN]],[4]!TBLYESKOREA[#Data],7,FALSE)</f>
        <v>2</v>
      </c>
      <c r="L318" s="215">
        <f>SUMIF(TBLPRODUKKELUARJULI[NAMA PRODUK],TBLBAHANKELUAR[[#This Row],[NAMA PRODUK]],TBLPRODUKKELUARJULI[JUMLAH TERJUAL])</f>
        <v>2</v>
      </c>
      <c r="M318" s="105">
        <f>TBLBAHANKELUAR[[#This Row],[KEB. BAHAN]]*TBLBAHANKELUAR[[#This Row],[JUMLAH KEB. BAHAN KELUAR]]</f>
        <v>4</v>
      </c>
      <c r="N318" s="104">
        <f>TBLBAHANKELUAR[[#This Row],[MODAL SATUAN]]*TBLBAHANKELUAR[[#This Row],[TOTAL BAHAN KELUAR]]</f>
        <v>2500</v>
      </c>
    </row>
    <row r="319" spans="1:14" x14ac:dyDescent="0.3">
      <c r="A319" s="103">
        <v>2026</v>
      </c>
      <c r="B319" s="211" t="s">
        <v>590</v>
      </c>
      <c r="C319" s="103"/>
      <c r="D319" s="103"/>
      <c r="E319" s="255" t="s">
        <v>396</v>
      </c>
      <c r="F319" s="119">
        <v>17</v>
      </c>
      <c r="G319" s="107" t="str">
        <f>VLOOKUP(TBLBAHANKELUAR[[#This Row],[KODE BAHAN]],[4]!TBLYESKOREA[#Data],2,FALSE)</f>
        <v>ABON</v>
      </c>
      <c r="H319" s="104">
        <f>VLOOKUP(TBLBAHANKELUAR[[#This Row],[NAMA BAHAN]],TBLREKAPBAHAN[[NAMA BAHAN]:[MODAL SATUAN]],2,FALSE)</f>
        <v>25000</v>
      </c>
      <c r="I319" s="104">
        <f>VLOOKUP(TBLBAHANKELUAR[[#This Row],[NAMA BAHAN]],TBLREKAPBAHAN[[NAMA BAHAN]:[MODAL SATUAN]],3,FALSE)</f>
        <v>100</v>
      </c>
      <c r="J319" s="104">
        <f>VLOOKUP(TBLBAHANKELUAR[[#This Row],[NAMA BAHAN]],TBLREKAPBAHAN[[NAMA BAHAN]:[MODAL SATUAN]],4,FALSE)</f>
        <v>250</v>
      </c>
      <c r="K319" s="105">
        <f>VLOOKUP(TBLBAHANKELUAR[[#This Row],[KODE BAHAN]],[4]!TBLYESKOREA[#Data],7,FALSE)</f>
        <v>0</v>
      </c>
      <c r="L319" s="215">
        <f>SUMIF(TBLPRODUKKELUARJULI[NAMA PRODUK],TBLBAHANKELUAR[[#This Row],[NAMA PRODUK]],TBLPRODUKKELUARJULI[JUMLAH TERJUAL])</f>
        <v>2</v>
      </c>
      <c r="M319" s="105">
        <f>TBLBAHANKELUAR[[#This Row],[KEB. BAHAN]]*TBLBAHANKELUAR[[#This Row],[JUMLAH KEB. BAHAN KELUAR]]</f>
        <v>0</v>
      </c>
      <c r="N319" s="104">
        <f>TBLBAHANKELUAR[[#This Row],[MODAL SATUAN]]*TBLBAHANKELUAR[[#This Row],[TOTAL BAHAN KELUAR]]</f>
        <v>0</v>
      </c>
    </row>
    <row r="320" spans="1:14" x14ac:dyDescent="0.3">
      <c r="A320" s="103">
        <v>2026</v>
      </c>
      <c r="B320" s="211" t="s">
        <v>590</v>
      </c>
      <c r="C320" s="103"/>
      <c r="D320" s="103"/>
      <c r="E320" s="255" t="s">
        <v>396</v>
      </c>
      <c r="F320" s="119">
        <v>18</v>
      </c>
      <c r="G320" s="107" t="str">
        <f>VLOOKUP(TBLBAHANKELUAR[[#This Row],[KODE BAHAN]],[4]!TBLYESKOREA[#Data],2,FALSE)</f>
        <v>JAMUR</v>
      </c>
      <c r="H320" s="104">
        <f>VLOOKUP(TBLBAHANKELUAR[[#This Row],[NAMA BAHAN]],TBLREKAPBAHAN[[NAMA BAHAN]:[MODAL SATUAN]],2,FALSE)</f>
        <v>2000</v>
      </c>
      <c r="I320" s="104">
        <f>VLOOKUP(TBLBAHANKELUAR[[#This Row],[NAMA BAHAN]],TBLREKAPBAHAN[[NAMA BAHAN]:[MODAL SATUAN]],3,FALSE)</f>
        <v>10</v>
      </c>
      <c r="J320" s="104">
        <f>VLOOKUP(TBLBAHANKELUAR[[#This Row],[NAMA BAHAN]],TBLREKAPBAHAN[[NAMA BAHAN]:[MODAL SATUAN]],4,FALSE)</f>
        <v>200</v>
      </c>
      <c r="K320" s="105">
        <f>VLOOKUP(TBLBAHANKELUAR[[#This Row],[KODE BAHAN]],[4]!TBLYESKOREA[#Data],7,FALSE)</f>
        <v>3</v>
      </c>
      <c r="L320" s="215">
        <f>SUMIF(TBLPRODUKKELUARJULI[NAMA PRODUK],TBLBAHANKELUAR[[#This Row],[NAMA PRODUK]],TBLPRODUKKELUARJULI[JUMLAH TERJUAL])</f>
        <v>2</v>
      </c>
      <c r="M320" s="105">
        <f>TBLBAHANKELUAR[[#This Row],[KEB. BAHAN]]*TBLBAHANKELUAR[[#This Row],[JUMLAH KEB. BAHAN KELUAR]]</f>
        <v>6</v>
      </c>
      <c r="N320" s="104">
        <f>TBLBAHANKELUAR[[#This Row],[MODAL SATUAN]]*TBLBAHANKELUAR[[#This Row],[TOTAL BAHAN KELUAR]]</f>
        <v>1200</v>
      </c>
    </row>
    <row r="321" spans="1:14" x14ac:dyDescent="0.3">
      <c r="A321" s="103">
        <v>2026</v>
      </c>
      <c r="B321" s="211" t="s">
        <v>590</v>
      </c>
      <c r="C321" s="103"/>
      <c r="D321" s="103"/>
      <c r="E321" s="255" t="s">
        <v>396</v>
      </c>
      <c r="F321" s="119">
        <v>19</v>
      </c>
      <c r="G321" s="107" t="str">
        <f>VLOOKUP(TBLBAHANKELUAR[[#This Row],[KODE BAHAN]],[4]!TBLYESKOREA[#Data],2,FALSE)</f>
        <v>JAGUNG</v>
      </c>
      <c r="H321" s="104">
        <f>VLOOKUP(TBLBAHANKELUAR[[#This Row],[NAMA BAHAN]],TBLREKAPBAHAN[[NAMA BAHAN]:[MODAL SATUAN]],2,FALSE)</f>
        <v>3000</v>
      </c>
      <c r="I321" s="104">
        <f>VLOOKUP(TBLBAHANKELUAR[[#This Row],[NAMA BAHAN]],TBLREKAPBAHAN[[NAMA BAHAN]:[MODAL SATUAN]],3,FALSE)</f>
        <v>2</v>
      </c>
      <c r="J321" s="104">
        <f>VLOOKUP(TBLBAHANKELUAR[[#This Row],[NAMA BAHAN]],TBLREKAPBAHAN[[NAMA BAHAN]:[MODAL SATUAN]],4,FALSE)</f>
        <v>1500</v>
      </c>
      <c r="K321" s="105">
        <f>VLOOKUP(TBLBAHANKELUAR[[#This Row],[KODE BAHAN]],[4]!TBLYESKOREA[#Data],7,FALSE)</f>
        <v>0.5</v>
      </c>
      <c r="L321" s="215">
        <f>SUMIF(TBLPRODUKKELUARJULI[NAMA PRODUK],TBLBAHANKELUAR[[#This Row],[NAMA PRODUK]],TBLPRODUKKELUARJULI[JUMLAH TERJUAL])</f>
        <v>2</v>
      </c>
      <c r="M321" s="105">
        <f>TBLBAHANKELUAR[[#This Row],[KEB. BAHAN]]*TBLBAHANKELUAR[[#This Row],[JUMLAH KEB. BAHAN KELUAR]]</f>
        <v>1</v>
      </c>
      <c r="N321" s="104">
        <f>TBLBAHANKELUAR[[#This Row],[MODAL SATUAN]]*TBLBAHANKELUAR[[#This Row],[TOTAL BAHAN KELUAR]]</f>
        <v>1500</v>
      </c>
    </row>
    <row r="322" spans="1:14" x14ac:dyDescent="0.3">
      <c r="A322" s="103">
        <v>2026</v>
      </c>
      <c r="B322" s="211" t="s">
        <v>590</v>
      </c>
      <c r="C322" s="103"/>
      <c r="D322" s="103"/>
      <c r="E322" s="255" t="s">
        <v>396</v>
      </c>
      <c r="F322" s="119">
        <v>20</v>
      </c>
      <c r="G322" s="107" t="str">
        <f>VLOOKUP(TBLBAHANKELUAR[[#This Row],[KODE BAHAN]],[4]!TBLYESKOREA[#Data],2,FALSE)</f>
        <v>UDANG</v>
      </c>
      <c r="H322" s="104">
        <f>VLOOKUP(TBLBAHANKELUAR[[#This Row],[NAMA BAHAN]],TBLREKAPBAHAN[[NAMA BAHAN]:[MODAL SATUAN]],2,FALSE)</f>
        <v>9000</v>
      </c>
      <c r="I322" s="104">
        <f>VLOOKUP(TBLBAHANKELUAR[[#This Row],[NAMA BAHAN]],TBLREKAPBAHAN[[NAMA BAHAN]:[MODAL SATUAN]],3,FALSE)</f>
        <v>10</v>
      </c>
      <c r="J322" s="104">
        <f>VLOOKUP(TBLBAHANKELUAR[[#This Row],[NAMA BAHAN]],TBLREKAPBAHAN[[NAMA BAHAN]:[MODAL SATUAN]],4,FALSE)</f>
        <v>900</v>
      </c>
      <c r="K322" s="105">
        <f>VLOOKUP(TBLBAHANKELUAR[[#This Row],[KODE BAHAN]],[4]!TBLYESKOREA[#Data],7,FALSE)</f>
        <v>2</v>
      </c>
      <c r="L322" s="215">
        <f>SUMIF(TBLPRODUKKELUARJULI[NAMA PRODUK],TBLBAHANKELUAR[[#This Row],[NAMA PRODUK]],TBLPRODUKKELUARJULI[JUMLAH TERJUAL])</f>
        <v>2</v>
      </c>
      <c r="M322" s="105">
        <f>TBLBAHANKELUAR[[#This Row],[KEB. BAHAN]]*TBLBAHANKELUAR[[#This Row],[JUMLAH KEB. BAHAN KELUAR]]</f>
        <v>4</v>
      </c>
      <c r="N322" s="104">
        <f>TBLBAHANKELUAR[[#This Row],[MODAL SATUAN]]*TBLBAHANKELUAR[[#This Row],[TOTAL BAHAN KELUAR]]</f>
        <v>3600</v>
      </c>
    </row>
    <row r="323" spans="1:14" x14ac:dyDescent="0.3">
      <c r="A323" s="103">
        <v>2026</v>
      </c>
      <c r="B323" s="211" t="s">
        <v>590</v>
      </c>
      <c r="C323" s="103"/>
      <c r="D323" s="103"/>
      <c r="E323" s="255" t="s">
        <v>396</v>
      </c>
      <c r="F323" s="119">
        <v>21</v>
      </c>
      <c r="G323" s="107" t="str">
        <f>VLOOKUP(TBLBAHANKELUAR[[#This Row],[KODE BAHAN]],[4]!TBLYESKOREA[#Data],2,FALSE)</f>
        <v>PAPRIKA GRAM</v>
      </c>
      <c r="H323" s="104">
        <f>VLOOKUP(TBLBAHANKELUAR[[#This Row],[NAMA BAHAN]],TBLREKAPBAHAN[[NAMA BAHAN]:[MODAL SATUAN]],2,FALSE)</f>
        <v>10000</v>
      </c>
      <c r="I323" s="104">
        <f>VLOOKUP(TBLBAHANKELUAR[[#This Row],[NAMA BAHAN]],TBLREKAPBAHAN[[NAMA BAHAN]:[MODAL SATUAN]],3,FALSE)</f>
        <v>100</v>
      </c>
      <c r="J323" s="104">
        <f>VLOOKUP(TBLBAHANKELUAR[[#This Row],[NAMA BAHAN]],TBLREKAPBAHAN[[NAMA BAHAN]:[MODAL SATUAN]],4,FALSE)</f>
        <v>100</v>
      </c>
      <c r="K323" s="105">
        <f>VLOOKUP(TBLBAHANKELUAR[[#This Row],[KODE BAHAN]],[4]!TBLYESKOREA[#Data],7,FALSE)</f>
        <v>10</v>
      </c>
      <c r="L323" s="215">
        <f>SUMIF(TBLPRODUKKELUARJULI[NAMA PRODUK],TBLBAHANKELUAR[[#This Row],[NAMA PRODUK]],TBLPRODUKKELUARJULI[JUMLAH TERJUAL])</f>
        <v>2</v>
      </c>
      <c r="M323" s="105">
        <f>TBLBAHANKELUAR[[#This Row],[KEB. BAHAN]]*TBLBAHANKELUAR[[#This Row],[JUMLAH KEB. BAHAN KELUAR]]</f>
        <v>20</v>
      </c>
      <c r="N323" s="104">
        <f>TBLBAHANKELUAR[[#This Row],[MODAL SATUAN]]*TBLBAHANKELUAR[[#This Row],[TOTAL BAHAN KELUAR]]</f>
        <v>2000</v>
      </c>
    </row>
    <row r="324" spans="1:14" x14ac:dyDescent="0.3">
      <c r="A324" s="103">
        <v>2026</v>
      </c>
      <c r="B324" s="211" t="s">
        <v>590</v>
      </c>
      <c r="C324" s="103"/>
      <c r="D324" s="103"/>
      <c r="E324" s="255" t="s">
        <v>396</v>
      </c>
      <c r="F324" s="119">
        <v>22</v>
      </c>
      <c r="G324" s="107" t="str">
        <f>VLOOKUP(TBLBAHANKELUAR[[#This Row],[KODE BAHAN]],[4]!TBLYESKOREA[#Data],2,FALSE)</f>
        <v>KENTANG</v>
      </c>
      <c r="H324" s="104">
        <f>VLOOKUP(TBLBAHANKELUAR[[#This Row],[NAMA BAHAN]],TBLREKAPBAHAN[[NAMA BAHAN]:[MODAL SATUAN]],2,FALSE)</f>
        <v>12000</v>
      </c>
      <c r="I324" s="104">
        <f>VLOOKUP(TBLBAHANKELUAR[[#This Row],[NAMA BAHAN]],TBLREKAPBAHAN[[NAMA BAHAN]:[MODAL SATUAN]],3,FALSE)</f>
        <v>10</v>
      </c>
      <c r="J324" s="104">
        <f>VLOOKUP(TBLBAHANKELUAR[[#This Row],[NAMA BAHAN]],TBLREKAPBAHAN[[NAMA BAHAN]:[MODAL SATUAN]],4,FALSE)</f>
        <v>1200</v>
      </c>
      <c r="K324" s="105">
        <f>VLOOKUP(TBLBAHANKELUAR[[#This Row],[KODE BAHAN]],[4]!TBLYESKOREA[#Data],7,FALSE)</f>
        <v>0.5</v>
      </c>
      <c r="L324" s="215">
        <f>SUMIF(TBLPRODUKKELUARJULI[NAMA PRODUK],TBLBAHANKELUAR[[#This Row],[NAMA PRODUK]],TBLPRODUKKELUARJULI[JUMLAH TERJUAL])</f>
        <v>2</v>
      </c>
      <c r="M324" s="105">
        <f>TBLBAHANKELUAR[[#This Row],[KEB. BAHAN]]*TBLBAHANKELUAR[[#This Row],[JUMLAH KEB. BAHAN KELUAR]]</f>
        <v>1</v>
      </c>
      <c r="N324" s="104">
        <f>TBLBAHANKELUAR[[#This Row],[MODAL SATUAN]]*TBLBAHANKELUAR[[#This Row],[TOTAL BAHAN KELUAR]]</f>
        <v>1200</v>
      </c>
    </row>
    <row r="325" spans="1:14" x14ac:dyDescent="0.3">
      <c r="A325" s="103">
        <v>2026</v>
      </c>
      <c r="B325" s="211" t="s">
        <v>590</v>
      </c>
      <c r="C325" s="103"/>
      <c r="D325" s="103"/>
      <c r="E325" s="255" t="s">
        <v>396</v>
      </c>
      <c r="F325" s="119">
        <v>23</v>
      </c>
      <c r="G325" s="107" t="str">
        <f>VLOOKUP(TBLBAHANKELUAR[[#This Row],[KODE BAHAN]],[4]!TBLYESKOREA[#Data],2,FALSE)</f>
        <v>AIR PANAS (CC/GRAM)</v>
      </c>
      <c r="H325" s="104">
        <f>VLOOKUP(TBLBAHANKELUAR[[#This Row],[NAMA BAHAN]],TBLREKAPBAHAN[[NAMA BAHAN]:[MODAL SATUAN]],2,FALSE)</f>
        <v>17000</v>
      </c>
      <c r="I325" s="104">
        <f>VLOOKUP(TBLBAHANKELUAR[[#This Row],[NAMA BAHAN]],TBLREKAPBAHAN[[NAMA BAHAN]:[MODAL SATUAN]],3,FALSE)</f>
        <v>19000</v>
      </c>
      <c r="J325" s="104">
        <f>VLOOKUP(TBLBAHANKELUAR[[#This Row],[NAMA BAHAN]],TBLREKAPBAHAN[[NAMA BAHAN]:[MODAL SATUAN]],4,FALSE)</f>
        <v>0.89473684210526316</v>
      </c>
      <c r="K325" s="105">
        <f>VLOOKUP(TBLBAHANKELUAR[[#This Row],[KODE BAHAN]],[4]!TBLYESKOREA[#Data],7,FALSE)</f>
        <v>60</v>
      </c>
      <c r="L325" s="215">
        <f>SUMIF(TBLPRODUKKELUARJULI[NAMA PRODUK],TBLBAHANKELUAR[[#This Row],[NAMA PRODUK]],TBLPRODUKKELUARJULI[JUMLAH TERJUAL])</f>
        <v>2</v>
      </c>
      <c r="M325" s="105">
        <f>TBLBAHANKELUAR[[#This Row],[KEB. BAHAN]]*TBLBAHANKELUAR[[#This Row],[JUMLAH KEB. BAHAN KELUAR]]</f>
        <v>120</v>
      </c>
      <c r="N325" s="104">
        <f>TBLBAHANKELUAR[[#This Row],[MODAL SATUAN]]*TBLBAHANKELUAR[[#This Row],[TOTAL BAHAN KELUAR]]</f>
        <v>107.36842105263158</v>
      </c>
    </row>
    <row r="326" spans="1:14" x14ac:dyDescent="0.3">
      <c r="A326" s="103">
        <v>2026</v>
      </c>
      <c r="B326" s="211" t="s">
        <v>590</v>
      </c>
      <c r="C326" s="103"/>
      <c r="D326" s="103"/>
      <c r="E326" s="255" t="s">
        <v>396</v>
      </c>
      <c r="F326" s="119">
        <v>24</v>
      </c>
      <c r="G326" s="107" t="str">
        <f>VLOOKUP(TBLBAHANKELUAR[[#This Row],[KODE BAHAN]],[4]!TBLYESKOREA[#Data],2,FALSE)</f>
        <v>GAS ELPIJI</v>
      </c>
      <c r="H326" s="104">
        <f>VLOOKUP(TBLBAHANKELUAR[[#This Row],[NAMA BAHAN]],TBLREKAPBAHAN[[NAMA BAHAN]:[MODAL SATUAN]],2,FALSE)</f>
        <v>23000</v>
      </c>
      <c r="I326" s="104">
        <f>VLOOKUP(TBLBAHANKELUAR[[#This Row],[NAMA BAHAN]],TBLREKAPBAHAN[[NAMA BAHAN]:[MODAL SATUAN]],3,FALSE)</f>
        <v>3000</v>
      </c>
      <c r="J326" s="104">
        <f>VLOOKUP(TBLBAHANKELUAR[[#This Row],[NAMA BAHAN]],TBLREKAPBAHAN[[NAMA BAHAN]:[MODAL SATUAN]],4,FALSE)</f>
        <v>7.666666666666667</v>
      </c>
      <c r="K326" s="105">
        <f>VLOOKUP(TBLBAHANKELUAR[[#This Row],[KODE BAHAN]],[4]!TBLYESKOREA[#Data],7,FALSE)</f>
        <v>50</v>
      </c>
      <c r="L326" s="215">
        <f>SUMIF(TBLPRODUKKELUARJULI[NAMA PRODUK],TBLBAHANKELUAR[[#This Row],[NAMA PRODUK]],TBLPRODUKKELUARJULI[JUMLAH TERJUAL])</f>
        <v>2</v>
      </c>
      <c r="M326" s="105">
        <f>TBLBAHANKELUAR[[#This Row],[KEB. BAHAN]]*TBLBAHANKELUAR[[#This Row],[JUMLAH KEB. BAHAN KELUAR]]</f>
        <v>100</v>
      </c>
      <c r="N326" s="104">
        <f>TBLBAHANKELUAR[[#This Row],[MODAL SATUAN]]*TBLBAHANKELUAR[[#This Row],[TOTAL BAHAN KELUAR]]</f>
        <v>766.66666666666674</v>
      </c>
    </row>
    <row r="327" spans="1:14" x14ac:dyDescent="0.3">
      <c r="A327" s="103">
        <v>2026</v>
      </c>
      <c r="B327" s="211" t="s">
        <v>590</v>
      </c>
      <c r="C327" s="103"/>
      <c r="D327" s="103"/>
      <c r="E327" s="255" t="s">
        <v>396</v>
      </c>
      <c r="F327" s="119">
        <v>25</v>
      </c>
      <c r="G327" s="107" t="str">
        <f>VLOOKUP(TBLBAHANKELUAR[[#This Row],[KODE BAHAN]],[4]!TBLYESKOREA[#Data],2,FALSE)</f>
        <v>KERTAS ROTI OVEN</v>
      </c>
      <c r="H327" s="104">
        <f>VLOOKUP(TBLBAHANKELUAR[[#This Row],[NAMA BAHAN]],TBLREKAPBAHAN[[NAMA BAHAN]:[MODAL SATUAN]],2,FALSE)</f>
        <v>10000</v>
      </c>
      <c r="I327" s="104">
        <f>VLOOKUP(TBLBAHANKELUAR[[#This Row],[NAMA BAHAN]],TBLREKAPBAHAN[[NAMA BAHAN]:[MODAL SATUAN]],3,FALSE)</f>
        <v>50</v>
      </c>
      <c r="J327" s="104">
        <f>VLOOKUP(TBLBAHANKELUAR[[#This Row],[NAMA BAHAN]],TBLREKAPBAHAN[[NAMA BAHAN]:[MODAL SATUAN]],4,FALSE)</f>
        <v>200</v>
      </c>
      <c r="K327" s="105">
        <f>VLOOKUP(TBLBAHANKELUAR[[#This Row],[KODE BAHAN]],[4]!TBLYESKOREA[#Data],7,FALSE)</f>
        <v>1</v>
      </c>
      <c r="L327" s="215">
        <f>SUMIF(TBLPRODUKKELUARJULI[NAMA PRODUK],TBLBAHANKELUAR[[#This Row],[NAMA PRODUK]],TBLPRODUKKELUARJULI[JUMLAH TERJUAL])</f>
        <v>2</v>
      </c>
      <c r="M327" s="105">
        <f>TBLBAHANKELUAR[[#This Row],[KEB. BAHAN]]*TBLBAHANKELUAR[[#This Row],[JUMLAH KEB. BAHAN KELUAR]]</f>
        <v>2</v>
      </c>
      <c r="N327" s="104">
        <f>TBLBAHANKELUAR[[#This Row],[MODAL SATUAN]]*TBLBAHANKELUAR[[#This Row],[TOTAL BAHAN KELUAR]]</f>
        <v>400</v>
      </c>
    </row>
    <row r="328" spans="1:14" x14ac:dyDescent="0.3">
      <c r="A328" s="103">
        <v>2026</v>
      </c>
      <c r="B328" s="211" t="s">
        <v>590</v>
      </c>
      <c r="C328" s="103"/>
      <c r="D328" s="103"/>
      <c r="E328" s="255" t="s">
        <v>396</v>
      </c>
      <c r="F328" s="119">
        <v>26</v>
      </c>
      <c r="G328" s="107" t="str">
        <f>VLOOKUP(TBLBAHANKELUAR[[#This Row],[KODE BAHAN]],[4]!TBLYESKOREA[#Data],2,FALSE)</f>
        <v>KOTAK 18 CM</v>
      </c>
      <c r="H328" s="104">
        <f>VLOOKUP(TBLBAHANKELUAR[[#This Row],[NAMA BAHAN]],TBLREKAPBAHAN[[NAMA BAHAN]:[MODAL SATUAN]],2,FALSE)</f>
        <v>2000</v>
      </c>
      <c r="I328" s="104">
        <f>VLOOKUP(TBLBAHANKELUAR[[#This Row],[NAMA BAHAN]],TBLREKAPBAHAN[[NAMA BAHAN]:[MODAL SATUAN]],3,FALSE)</f>
        <v>1</v>
      </c>
      <c r="J328" s="104">
        <f>VLOOKUP(TBLBAHANKELUAR[[#This Row],[NAMA BAHAN]],TBLREKAPBAHAN[[NAMA BAHAN]:[MODAL SATUAN]],4,FALSE)</f>
        <v>2000</v>
      </c>
      <c r="K328" s="105">
        <f>VLOOKUP(TBLBAHANKELUAR[[#This Row],[KODE BAHAN]],[4]!TBLYESKOREA[#Data],7,FALSE)</f>
        <v>1</v>
      </c>
      <c r="L328" s="215">
        <f>SUMIF(TBLPRODUKKELUARJULI[NAMA PRODUK],TBLBAHANKELUAR[[#This Row],[NAMA PRODUK]],TBLPRODUKKELUARJULI[JUMLAH TERJUAL])</f>
        <v>2</v>
      </c>
      <c r="M328" s="105">
        <f>TBLBAHANKELUAR[[#This Row],[KEB. BAHAN]]*TBLBAHANKELUAR[[#This Row],[JUMLAH KEB. BAHAN KELUAR]]</f>
        <v>2</v>
      </c>
      <c r="N328" s="104">
        <f>TBLBAHANKELUAR[[#This Row],[MODAL SATUAN]]*TBLBAHANKELUAR[[#This Row],[TOTAL BAHAN KELUAR]]</f>
        <v>4000</v>
      </c>
    </row>
    <row r="329" spans="1:14" x14ac:dyDescent="0.3">
      <c r="A329" s="103">
        <v>2026</v>
      </c>
      <c r="B329" s="211" t="s">
        <v>590</v>
      </c>
      <c r="C329" s="103"/>
      <c r="D329" s="103"/>
      <c r="E329" s="255" t="s">
        <v>396</v>
      </c>
      <c r="F329" s="119">
        <v>27</v>
      </c>
      <c r="G329" s="107" t="str">
        <f>VLOOKUP(TBLBAHANKELUAR[[#This Row],[KODE BAHAN]],[4]!TBLYESKOREA[#Data],2,FALSE)</f>
        <v>TALI RAFIA</v>
      </c>
      <c r="H329" s="104">
        <f>VLOOKUP(TBLBAHANKELUAR[[#This Row],[NAMA BAHAN]],TBLREKAPBAHAN[[NAMA BAHAN]:[MODAL SATUAN]],2,FALSE)</f>
        <v>37500</v>
      </c>
      <c r="I329" s="104">
        <f>VLOOKUP(TBLBAHANKELUAR[[#This Row],[NAMA BAHAN]],TBLREKAPBAHAN[[NAMA BAHAN]:[MODAL SATUAN]],3,FALSE)</f>
        <v>300</v>
      </c>
      <c r="J329" s="104">
        <f>VLOOKUP(TBLBAHANKELUAR[[#This Row],[NAMA BAHAN]],TBLREKAPBAHAN[[NAMA BAHAN]:[MODAL SATUAN]],4,FALSE)</f>
        <v>125</v>
      </c>
      <c r="K329" s="105">
        <f>VLOOKUP(TBLBAHANKELUAR[[#This Row],[KODE BAHAN]],[4]!TBLYESKOREA[#Data],7,FALSE)</f>
        <v>1</v>
      </c>
      <c r="L329" s="215">
        <f>SUMIF(TBLPRODUKKELUARJULI[NAMA PRODUK],TBLBAHANKELUAR[[#This Row],[NAMA PRODUK]],TBLPRODUKKELUARJULI[JUMLAH TERJUAL])</f>
        <v>2</v>
      </c>
      <c r="M329" s="105">
        <f>TBLBAHANKELUAR[[#This Row],[KEB. BAHAN]]*TBLBAHANKELUAR[[#This Row],[JUMLAH KEB. BAHAN KELUAR]]</f>
        <v>2</v>
      </c>
      <c r="N329" s="104">
        <f>TBLBAHANKELUAR[[#This Row],[MODAL SATUAN]]*TBLBAHANKELUAR[[#This Row],[TOTAL BAHAN KELUAR]]</f>
        <v>250</v>
      </c>
    </row>
    <row r="330" spans="1:14" x14ac:dyDescent="0.3">
      <c r="A330" s="103">
        <v>2026</v>
      </c>
      <c r="B330" s="211" t="s">
        <v>590</v>
      </c>
      <c r="C330" s="103"/>
      <c r="D330" s="103"/>
      <c r="E330" s="255" t="s">
        <v>396</v>
      </c>
      <c r="F330" s="119">
        <v>28</v>
      </c>
      <c r="G330" s="107" t="str">
        <f>VLOOKUP(TBLBAHANKELUAR[[#This Row],[KODE BAHAN]],[4]!TBLYESKOREA[#Data],2,FALSE)</f>
        <v>KRESEK 30 CM</v>
      </c>
      <c r="H330" s="104">
        <f>VLOOKUP(TBLBAHANKELUAR[[#This Row],[NAMA BAHAN]],TBLREKAPBAHAN[[NAMA BAHAN]:[MODAL SATUAN]],2,FALSE)</f>
        <v>1000</v>
      </c>
      <c r="I330" s="104">
        <f>VLOOKUP(TBLBAHANKELUAR[[#This Row],[NAMA BAHAN]],TBLREKAPBAHAN[[NAMA BAHAN]:[MODAL SATUAN]],3,FALSE)</f>
        <v>2</v>
      </c>
      <c r="J330" s="104">
        <f>VLOOKUP(TBLBAHANKELUAR[[#This Row],[NAMA BAHAN]],TBLREKAPBAHAN[[NAMA BAHAN]:[MODAL SATUAN]],4,FALSE)</f>
        <v>500</v>
      </c>
      <c r="K330" s="105">
        <f>VLOOKUP(TBLBAHANKELUAR[[#This Row],[KODE BAHAN]],[4]!TBLYESKOREA[#Data],7,FALSE)</f>
        <v>1</v>
      </c>
      <c r="L330" s="215">
        <f>SUMIF(TBLPRODUKKELUARJULI[NAMA PRODUK],TBLBAHANKELUAR[[#This Row],[NAMA PRODUK]],TBLPRODUKKELUARJULI[JUMLAH TERJUAL])</f>
        <v>2</v>
      </c>
      <c r="M330" s="105">
        <f>TBLBAHANKELUAR[[#This Row],[KEB. BAHAN]]*TBLBAHANKELUAR[[#This Row],[JUMLAH KEB. BAHAN KELUAR]]</f>
        <v>2</v>
      </c>
      <c r="N330" s="104">
        <f>TBLBAHANKELUAR[[#This Row],[MODAL SATUAN]]*TBLBAHANKELUAR[[#This Row],[TOTAL BAHAN KELUAR]]</f>
        <v>1000</v>
      </c>
    </row>
    <row r="331" spans="1:14" x14ac:dyDescent="0.3">
      <c r="A331" s="103">
        <v>2026</v>
      </c>
      <c r="B331" s="211" t="s">
        <v>590</v>
      </c>
      <c r="C331" s="103"/>
      <c r="D331" s="103"/>
      <c r="E331" s="3" t="s">
        <v>404</v>
      </c>
      <c r="F331" s="119">
        <v>1</v>
      </c>
      <c r="G331" s="107" t="str">
        <f>VLOOKUP(TBLBAHANKELUAR[[#This Row],[KODE BAHAN]],[4]!TBLPIZZAYUHU[#Data],2,FALSE)</f>
        <v>SAOS SPAGHETI GRAM</v>
      </c>
      <c r="H331" s="104">
        <f>VLOOKUP(TBLBAHANKELUAR[[#This Row],[NAMA BAHAN]],TBLREKAPBAHAN[[NAMA BAHAN]:[MODAL SATUAN]],2,FALSE)</f>
        <v>12000</v>
      </c>
      <c r="I331" s="104">
        <f>VLOOKUP(TBLBAHANKELUAR[[#This Row],[NAMA BAHAN]],TBLREKAPBAHAN[[NAMA BAHAN]:[MODAL SATUAN]],3,FALSE)</f>
        <v>250</v>
      </c>
      <c r="J331" s="104">
        <f>VLOOKUP(TBLBAHANKELUAR[[#This Row],[NAMA BAHAN]],TBLREKAPBAHAN[[NAMA BAHAN]:[MODAL SATUAN]],4,FALSE)</f>
        <v>48</v>
      </c>
      <c r="K331" s="105">
        <f>VLOOKUP(TBLBAHANKELUAR[[#This Row],[KODE BAHAN]],[4]!TBLPIZZAYUHU[#Data],9,FALSE)</f>
        <v>70</v>
      </c>
      <c r="L331" s="215">
        <f>SUMIF(TBLPRODUKKELUARJULI[NAMA PRODUK],TBLBAHANKELUAR[[#This Row],[NAMA PRODUK]],TBLPRODUKKELUARJULI[JUMLAH TERJUAL])</f>
        <v>1</v>
      </c>
      <c r="M331" s="105">
        <f>TBLBAHANKELUAR[[#This Row],[KEB. BAHAN]]*TBLBAHANKELUAR[[#This Row],[JUMLAH KEB. BAHAN KELUAR]]</f>
        <v>70</v>
      </c>
      <c r="N331" s="104">
        <f>TBLBAHANKELUAR[[#This Row],[MODAL SATUAN]]*TBLBAHANKELUAR[[#This Row],[TOTAL BAHAN KELUAR]]</f>
        <v>3360</v>
      </c>
    </row>
    <row r="332" spans="1:14" x14ac:dyDescent="0.3">
      <c r="A332" s="103">
        <v>2026</v>
      </c>
      <c r="B332" s="211" t="s">
        <v>590</v>
      </c>
      <c r="C332" s="103"/>
      <c r="D332" s="103"/>
      <c r="E332" s="3" t="s">
        <v>404</v>
      </c>
      <c r="F332" s="119">
        <v>2</v>
      </c>
      <c r="G332" s="107" t="str">
        <f>VLOOKUP(TBLBAHANKELUAR[[#This Row],[KODE BAHAN]],[4]!TBLPIZZAYUHU[#Data],2,FALSE)</f>
        <v>SAOS TOMAT SACHET</v>
      </c>
      <c r="H332" s="104">
        <f>VLOOKUP(TBLBAHANKELUAR[[#This Row],[NAMA BAHAN]],TBLREKAPBAHAN[[NAMA BAHAN]:[MODAL SATUAN]],2,FALSE)</f>
        <v>7000</v>
      </c>
      <c r="I332" s="104">
        <f>VLOOKUP(TBLBAHANKELUAR[[#This Row],[NAMA BAHAN]],TBLREKAPBAHAN[[NAMA BAHAN]:[MODAL SATUAN]],3,FALSE)</f>
        <v>24</v>
      </c>
      <c r="J332" s="104">
        <f>VLOOKUP(TBLBAHANKELUAR[[#This Row],[NAMA BAHAN]],TBLREKAPBAHAN[[NAMA BAHAN]:[MODAL SATUAN]],4,FALSE)</f>
        <v>291.66666666666669</v>
      </c>
      <c r="K332" s="105">
        <f>VLOOKUP(TBLBAHANKELUAR[[#This Row],[KODE BAHAN]],[4]!TBLPIZZAYUHU[#Data],9,FALSE)</f>
        <v>3</v>
      </c>
      <c r="L332" s="215">
        <f>SUMIF(TBLPRODUKKELUARJULI[NAMA PRODUK],TBLBAHANKELUAR[[#This Row],[NAMA PRODUK]],TBLPRODUKKELUARJULI[JUMLAH TERJUAL])</f>
        <v>1</v>
      </c>
      <c r="M332" s="105">
        <f>TBLBAHANKELUAR[[#This Row],[KEB. BAHAN]]*TBLBAHANKELUAR[[#This Row],[JUMLAH KEB. BAHAN KELUAR]]</f>
        <v>3</v>
      </c>
      <c r="N332" s="104">
        <f>TBLBAHANKELUAR[[#This Row],[MODAL SATUAN]]*TBLBAHANKELUAR[[#This Row],[TOTAL BAHAN KELUAR]]</f>
        <v>875</v>
      </c>
    </row>
    <row r="333" spans="1:14" x14ac:dyDescent="0.3">
      <c r="A333" s="103">
        <v>2026</v>
      </c>
      <c r="B333" s="211" t="s">
        <v>590</v>
      </c>
      <c r="C333" s="103"/>
      <c r="D333" s="103"/>
      <c r="E333" s="3" t="s">
        <v>404</v>
      </c>
      <c r="F333" s="119">
        <v>3</v>
      </c>
      <c r="G333" s="107" t="str">
        <f>VLOOKUP(TBLBAHANKELUAR[[#This Row],[KODE BAHAN]],[4]!TBLPIZZAYUHU[#Data],2,FALSE)</f>
        <v>SAOS SAMBAL SACHET</v>
      </c>
      <c r="H333" s="104">
        <f>VLOOKUP(TBLBAHANKELUAR[[#This Row],[NAMA BAHAN]],TBLREKAPBAHAN[[NAMA BAHAN]:[MODAL SATUAN]],2,FALSE)</f>
        <v>8000</v>
      </c>
      <c r="I333" s="104">
        <f>VLOOKUP(TBLBAHANKELUAR[[#This Row],[NAMA BAHAN]],TBLREKAPBAHAN[[NAMA BAHAN]:[MODAL SATUAN]],3,FALSE)</f>
        <v>24</v>
      </c>
      <c r="J333" s="104">
        <f>VLOOKUP(TBLBAHANKELUAR[[#This Row],[NAMA BAHAN]],TBLREKAPBAHAN[[NAMA BAHAN]:[MODAL SATUAN]],4,FALSE)</f>
        <v>333.33333333333331</v>
      </c>
      <c r="K333" s="105">
        <f>VLOOKUP(TBLBAHANKELUAR[[#This Row],[KODE BAHAN]],[4]!TBLPIZZAYUHU[#Data],9,FALSE)</f>
        <v>3</v>
      </c>
      <c r="L333" s="215">
        <f>SUMIF(TBLPRODUKKELUARJULI[NAMA PRODUK],TBLBAHANKELUAR[[#This Row],[NAMA PRODUK]],TBLPRODUKKELUARJULI[JUMLAH TERJUAL])</f>
        <v>1</v>
      </c>
      <c r="M333" s="105">
        <f>TBLBAHANKELUAR[[#This Row],[KEB. BAHAN]]*TBLBAHANKELUAR[[#This Row],[JUMLAH KEB. BAHAN KELUAR]]</f>
        <v>3</v>
      </c>
      <c r="N333" s="104">
        <f>TBLBAHANKELUAR[[#This Row],[MODAL SATUAN]]*TBLBAHANKELUAR[[#This Row],[TOTAL BAHAN KELUAR]]</f>
        <v>1000</v>
      </c>
    </row>
    <row r="334" spans="1:14" x14ac:dyDescent="0.3">
      <c r="A334" s="103">
        <v>2026</v>
      </c>
      <c r="B334" s="211" t="s">
        <v>590</v>
      </c>
      <c r="C334" s="103"/>
      <c r="D334" s="103"/>
      <c r="E334" s="3" t="s">
        <v>404</v>
      </c>
      <c r="F334" s="119">
        <v>4</v>
      </c>
      <c r="G334" s="107" t="str">
        <f>VLOOKUP(TBLBAHANKELUAR[[#This Row],[KODE BAHAN]],[4]!TBLPIZZAYUHU[#Data],2,FALSE)</f>
        <v>KEJU MOZZARELLA</v>
      </c>
      <c r="H334" s="104">
        <f>VLOOKUP(TBLBAHANKELUAR[[#This Row],[NAMA BAHAN]],TBLREKAPBAHAN[[NAMA BAHAN]:[MODAL SATUAN]],2,FALSE)</f>
        <v>90000</v>
      </c>
      <c r="I334" s="104">
        <f>VLOOKUP(TBLBAHANKELUAR[[#This Row],[NAMA BAHAN]],TBLREKAPBAHAN[[NAMA BAHAN]:[MODAL SATUAN]],3,FALSE)</f>
        <v>500</v>
      </c>
      <c r="J334" s="104">
        <f>VLOOKUP(TBLBAHANKELUAR[[#This Row],[NAMA BAHAN]],TBLREKAPBAHAN[[NAMA BAHAN]:[MODAL SATUAN]],4,FALSE)</f>
        <v>180</v>
      </c>
      <c r="K334" s="105">
        <f>VLOOKUP(TBLBAHANKELUAR[[#This Row],[KODE BAHAN]],[4]!TBLPIZZAYUHU[#Data],9,FALSE)</f>
        <v>112</v>
      </c>
      <c r="L334" s="215">
        <f>SUMIF(TBLPRODUKKELUARJULI[NAMA PRODUK],TBLBAHANKELUAR[[#This Row],[NAMA PRODUK]],TBLPRODUKKELUARJULI[JUMLAH TERJUAL])</f>
        <v>1</v>
      </c>
      <c r="M334" s="105">
        <f>TBLBAHANKELUAR[[#This Row],[KEB. BAHAN]]*TBLBAHANKELUAR[[#This Row],[JUMLAH KEB. BAHAN KELUAR]]</f>
        <v>112</v>
      </c>
      <c r="N334" s="104">
        <f>TBLBAHANKELUAR[[#This Row],[MODAL SATUAN]]*TBLBAHANKELUAR[[#This Row],[TOTAL BAHAN KELUAR]]</f>
        <v>20160</v>
      </c>
    </row>
    <row r="335" spans="1:14" x14ac:dyDescent="0.3">
      <c r="A335" s="103">
        <v>2026</v>
      </c>
      <c r="B335" s="211" t="s">
        <v>590</v>
      </c>
      <c r="C335" s="103"/>
      <c r="D335" s="103"/>
      <c r="E335" s="3" t="s">
        <v>404</v>
      </c>
      <c r="F335" s="119">
        <v>5</v>
      </c>
      <c r="G335" s="107" t="str">
        <f>VLOOKUP(TBLBAHANKELUAR[[#This Row],[KODE BAHAN]],[4]!TBLPIZZAYUHU[#Data],2,FALSE)</f>
        <v>SOSIZ BATANG</v>
      </c>
      <c r="H335" s="104">
        <f>VLOOKUP(TBLBAHANKELUAR[[#This Row],[NAMA BAHAN]],TBLREKAPBAHAN[[NAMA BAHAN]:[MODAL SATUAN]],2,FALSE)</f>
        <v>35000</v>
      </c>
      <c r="I335" s="104">
        <f>VLOOKUP(TBLBAHANKELUAR[[#This Row],[NAMA BAHAN]],TBLREKAPBAHAN[[NAMA BAHAN]:[MODAL SATUAN]],3,FALSE)</f>
        <v>38</v>
      </c>
      <c r="J335" s="104">
        <f>VLOOKUP(TBLBAHANKELUAR[[#This Row],[NAMA BAHAN]],TBLREKAPBAHAN[[NAMA BAHAN]:[MODAL SATUAN]],4,FALSE)</f>
        <v>921.0526315789474</v>
      </c>
      <c r="K335" s="105">
        <f>VLOOKUP(TBLBAHANKELUAR[[#This Row],[KODE BAHAN]],[4]!TBLPIZZAYUHU[#Data],9,FALSE)</f>
        <v>4</v>
      </c>
      <c r="L335" s="215">
        <f>SUMIF(TBLPRODUKKELUARJULI[NAMA PRODUK],TBLBAHANKELUAR[[#This Row],[NAMA PRODUK]],TBLPRODUKKELUARJULI[JUMLAH TERJUAL])</f>
        <v>1</v>
      </c>
      <c r="M335" s="105">
        <f>TBLBAHANKELUAR[[#This Row],[KEB. BAHAN]]*TBLBAHANKELUAR[[#This Row],[JUMLAH KEB. BAHAN KELUAR]]</f>
        <v>4</v>
      </c>
      <c r="N335" s="104">
        <f>TBLBAHANKELUAR[[#This Row],[MODAL SATUAN]]*TBLBAHANKELUAR[[#This Row],[TOTAL BAHAN KELUAR]]</f>
        <v>3684.2105263157896</v>
      </c>
    </row>
    <row r="336" spans="1:14" x14ac:dyDescent="0.3">
      <c r="A336" s="103">
        <v>2026</v>
      </c>
      <c r="B336" s="211" t="s">
        <v>590</v>
      </c>
      <c r="C336" s="103"/>
      <c r="D336" s="103"/>
      <c r="E336" s="3" t="s">
        <v>404</v>
      </c>
      <c r="F336" s="119">
        <v>6</v>
      </c>
      <c r="G336" s="107" t="str">
        <f>VLOOKUP(TBLBAHANKELUAR[[#This Row],[KODE BAHAN]],[4]!TBLPIZZAYUHU[#Data],2,FALSE)</f>
        <v>AYAM SUWIR</v>
      </c>
      <c r="H336" s="104">
        <f>VLOOKUP(TBLBAHANKELUAR[[#This Row],[NAMA BAHAN]],TBLREKAPBAHAN[[NAMA BAHAN]:[MODAL SATUAN]],2,FALSE)</f>
        <v>45000</v>
      </c>
      <c r="I336" s="104">
        <f>VLOOKUP(TBLBAHANKELUAR[[#This Row],[NAMA BAHAN]],TBLREKAPBAHAN[[NAMA BAHAN]:[MODAL SATUAN]],3,FALSE)</f>
        <v>400</v>
      </c>
      <c r="J336" s="104">
        <f>VLOOKUP(TBLBAHANKELUAR[[#This Row],[NAMA BAHAN]],TBLREKAPBAHAN[[NAMA BAHAN]:[MODAL SATUAN]],4,FALSE)</f>
        <v>112.5</v>
      </c>
      <c r="K336" s="105">
        <f>VLOOKUP(TBLBAHANKELUAR[[#This Row],[KODE BAHAN]],[4]!TBLPIZZAYUHU[#Data],9,FALSE)</f>
        <v>40</v>
      </c>
      <c r="L336" s="215">
        <f>SUMIF(TBLPRODUKKELUARJULI[NAMA PRODUK],TBLBAHANKELUAR[[#This Row],[NAMA PRODUK]],TBLPRODUKKELUARJULI[JUMLAH TERJUAL])</f>
        <v>1</v>
      </c>
      <c r="M336" s="105">
        <f>TBLBAHANKELUAR[[#This Row],[KEB. BAHAN]]*TBLBAHANKELUAR[[#This Row],[JUMLAH KEB. BAHAN KELUAR]]</f>
        <v>40</v>
      </c>
      <c r="N336" s="104">
        <f>TBLBAHANKELUAR[[#This Row],[MODAL SATUAN]]*TBLBAHANKELUAR[[#This Row],[TOTAL BAHAN KELUAR]]</f>
        <v>4500</v>
      </c>
    </row>
    <row r="337" spans="1:14" x14ac:dyDescent="0.3">
      <c r="A337" s="103">
        <v>2026</v>
      </c>
      <c r="B337" s="211" t="s">
        <v>590</v>
      </c>
      <c r="C337" s="103"/>
      <c r="D337" s="103"/>
      <c r="E337" s="3" t="s">
        <v>404</v>
      </c>
      <c r="F337" s="119">
        <v>7</v>
      </c>
      <c r="G337" s="107" t="str">
        <f>VLOOKUP(TBLBAHANKELUAR[[#This Row],[KODE BAHAN]],[4]!TBLPIZZAYUHU[#Data],2,FALSE)</f>
        <v>DAGING SAPI</v>
      </c>
      <c r="H337" s="104">
        <f>VLOOKUP(TBLBAHANKELUAR[[#This Row],[NAMA BAHAN]],TBLREKAPBAHAN[[NAMA BAHAN]:[MODAL SATUAN]],2,FALSE)</f>
        <v>85000</v>
      </c>
      <c r="I337" s="104">
        <f>VLOOKUP(TBLBAHANKELUAR[[#This Row],[NAMA BAHAN]],TBLREKAPBAHAN[[NAMA BAHAN]:[MODAL SATUAN]],3,FALSE)</f>
        <v>1000</v>
      </c>
      <c r="J337" s="104">
        <f>VLOOKUP(TBLBAHANKELUAR[[#This Row],[NAMA BAHAN]],TBLREKAPBAHAN[[NAMA BAHAN]:[MODAL SATUAN]],4,FALSE)</f>
        <v>85</v>
      </c>
      <c r="K337" s="105">
        <f>VLOOKUP(TBLBAHANKELUAR[[#This Row],[KODE BAHAN]],[4]!TBLPIZZAYUHU[#Data],9,FALSE)</f>
        <v>0</v>
      </c>
      <c r="L337" s="215">
        <f>SUMIF(TBLPRODUKKELUARJULI[NAMA PRODUK],TBLBAHANKELUAR[[#This Row],[NAMA PRODUK]],TBLPRODUKKELUARJULI[JUMLAH TERJUAL])</f>
        <v>1</v>
      </c>
      <c r="M337" s="105">
        <f>TBLBAHANKELUAR[[#This Row],[KEB. BAHAN]]*TBLBAHANKELUAR[[#This Row],[JUMLAH KEB. BAHAN KELUAR]]</f>
        <v>0</v>
      </c>
      <c r="N337" s="104">
        <f>TBLBAHANKELUAR[[#This Row],[MODAL SATUAN]]*TBLBAHANKELUAR[[#This Row],[TOTAL BAHAN KELUAR]]</f>
        <v>0</v>
      </c>
    </row>
    <row r="338" spans="1:14" x14ac:dyDescent="0.3">
      <c r="A338" s="103">
        <v>2026</v>
      </c>
      <c r="B338" s="211" t="s">
        <v>590</v>
      </c>
      <c r="C338" s="103"/>
      <c r="D338" s="103"/>
      <c r="E338" s="3" t="s">
        <v>404</v>
      </c>
      <c r="F338" s="119">
        <v>8</v>
      </c>
      <c r="G338" s="107" t="str">
        <f>VLOOKUP(TBLBAHANKELUAR[[#This Row],[KODE BAHAN]],[4]!TBLPIZZAYUHU[#Data],2,FALSE)</f>
        <v>MENTEGA</v>
      </c>
      <c r="H338" s="104">
        <f>VLOOKUP(TBLBAHANKELUAR[[#This Row],[NAMA BAHAN]],TBLREKAPBAHAN[[NAMA BAHAN]:[MODAL SATUAN]],2,FALSE)</f>
        <v>35000</v>
      </c>
      <c r="I338" s="104">
        <f>VLOOKUP(TBLBAHANKELUAR[[#This Row],[NAMA BAHAN]],TBLREKAPBAHAN[[NAMA BAHAN]:[MODAL SATUAN]],3,FALSE)</f>
        <v>1000</v>
      </c>
      <c r="J338" s="104">
        <f>VLOOKUP(TBLBAHANKELUAR[[#This Row],[NAMA BAHAN]],TBLREKAPBAHAN[[NAMA BAHAN]:[MODAL SATUAN]],4,FALSE)</f>
        <v>35</v>
      </c>
      <c r="K338" s="105">
        <f>VLOOKUP(TBLBAHANKELUAR[[#This Row],[KODE BAHAN]],[4]!TBLPIZZAYUHU[#Data],9,FALSE)</f>
        <v>22</v>
      </c>
      <c r="L338" s="215">
        <f>SUMIF(TBLPRODUKKELUARJULI[NAMA PRODUK],TBLBAHANKELUAR[[#This Row],[NAMA PRODUK]],TBLPRODUKKELUARJULI[JUMLAH TERJUAL])</f>
        <v>1</v>
      </c>
      <c r="M338" s="105">
        <f>TBLBAHANKELUAR[[#This Row],[KEB. BAHAN]]*TBLBAHANKELUAR[[#This Row],[JUMLAH KEB. BAHAN KELUAR]]</f>
        <v>22</v>
      </c>
      <c r="N338" s="104">
        <f>TBLBAHANKELUAR[[#This Row],[MODAL SATUAN]]*TBLBAHANKELUAR[[#This Row],[TOTAL BAHAN KELUAR]]</f>
        <v>770</v>
      </c>
    </row>
    <row r="339" spans="1:14" x14ac:dyDescent="0.3">
      <c r="A339" s="103">
        <v>2026</v>
      </c>
      <c r="B339" s="211" t="s">
        <v>590</v>
      </c>
      <c r="C339" s="103"/>
      <c r="D339" s="103"/>
      <c r="E339" s="3" t="s">
        <v>404</v>
      </c>
      <c r="F339" s="119">
        <v>9</v>
      </c>
      <c r="G339" s="107" t="str">
        <f>VLOOKUP(TBLBAHANKELUAR[[#This Row],[KODE BAHAN]],[4]!TBLPIZZAYUHU[#Data],2,FALSE)</f>
        <v>GULA PASIR</v>
      </c>
      <c r="H339" s="104">
        <f>VLOOKUP(TBLBAHANKELUAR[[#This Row],[NAMA BAHAN]],TBLREKAPBAHAN[[NAMA BAHAN]:[MODAL SATUAN]],2,FALSE)</f>
        <v>18000</v>
      </c>
      <c r="I339" s="104">
        <f>VLOOKUP(TBLBAHANKELUAR[[#This Row],[NAMA BAHAN]],TBLREKAPBAHAN[[NAMA BAHAN]:[MODAL SATUAN]],3,FALSE)</f>
        <v>1000</v>
      </c>
      <c r="J339" s="104">
        <f>VLOOKUP(TBLBAHANKELUAR[[#This Row],[NAMA BAHAN]],TBLREKAPBAHAN[[NAMA BAHAN]:[MODAL SATUAN]],4,FALSE)</f>
        <v>18</v>
      </c>
      <c r="K339" s="105">
        <f>VLOOKUP(TBLBAHANKELUAR[[#This Row],[KODE BAHAN]],[4]!TBLPIZZAYUHU[#Data],9,FALSE)</f>
        <v>18</v>
      </c>
      <c r="L339" s="215">
        <f>SUMIF(TBLPRODUKKELUARJULI[NAMA PRODUK],TBLBAHANKELUAR[[#This Row],[NAMA PRODUK]],TBLPRODUKKELUARJULI[JUMLAH TERJUAL])</f>
        <v>1</v>
      </c>
      <c r="M339" s="105">
        <f>TBLBAHANKELUAR[[#This Row],[KEB. BAHAN]]*TBLBAHANKELUAR[[#This Row],[JUMLAH KEB. BAHAN KELUAR]]</f>
        <v>18</v>
      </c>
      <c r="N339" s="104">
        <f>TBLBAHANKELUAR[[#This Row],[MODAL SATUAN]]*TBLBAHANKELUAR[[#This Row],[TOTAL BAHAN KELUAR]]</f>
        <v>324</v>
      </c>
    </row>
    <row r="340" spans="1:14" x14ac:dyDescent="0.3">
      <c r="A340" s="103">
        <v>2026</v>
      </c>
      <c r="B340" s="211" t="s">
        <v>590</v>
      </c>
      <c r="C340" s="103"/>
      <c r="D340" s="103"/>
      <c r="E340" s="3" t="s">
        <v>404</v>
      </c>
      <c r="F340" s="119">
        <v>10</v>
      </c>
      <c r="G340" s="107" t="str">
        <f>VLOOKUP(TBLBAHANKELUAR[[#This Row],[KODE BAHAN]],[4]!TBLPIZZAYUHU[#Data],2,FALSE)</f>
        <v>GARAM HALUS</v>
      </c>
      <c r="H340" s="104">
        <f>VLOOKUP(TBLBAHANKELUAR[[#This Row],[NAMA BAHAN]],TBLREKAPBAHAN[[NAMA BAHAN]:[MODAL SATUAN]],2,FALSE)</f>
        <v>4000</v>
      </c>
      <c r="I340" s="104">
        <f>VLOOKUP(TBLBAHANKELUAR[[#This Row],[NAMA BAHAN]],TBLREKAPBAHAN[[NAMA BAHAN]:[MODAL SATUAN]],3,FALSE)</f>
        <v>250</v>
      </c>
      <c r="J340" s="104">
        <f>VLOOKUP(TBLBAHANKELUAR[[#This Row],[NAMA BAHAN]],TBLREKAPBAHAN[[NAMA BAHAN]:[MODAL SATUAN]],4,FALSE)</f>
        <v>16</v>
      </c>
      <c r="K340" s="105">
        <f>VLOOKUP(TBLBAHANKELUAR[[#This Row],[KODE BAHAN]],[4]!TBLPIZZAYUHU[#Data],9,FALSE)</f>
        <v>5</v>
      </c>
      <c r="L340" s="215">
        <f>SUMIF(TBLPRODUKKELUARJULI[NAMA PRODUK],TBLBAHANKELUAR[[#This Row],[NAMA PRODUK]],TBLPRODUKKELUARJULI[JUMLAH TERJUAL])</f>
        <v>1</v>
      </c>
      <c r="M340" s="105">
        <f>TBLBAHANKELUAR[[#This Row],[KEB. BAHAN]]*TBLBAHANKELUAR[[#This Row],[JUMLAH KEB. BAHAN KELUAR]]</f>
        <v>5</v>
      </c>
      <c r="N340" s="104">
        <f>TBLBAHANKELUAR[[#This Row],[MODAL SATUAN]]*TBLBAHANKELUAR[[#This Row],[TOTAL BAHAN KELUAR]]</f>
        <v>80</v>
      </c>
    </row>
    <row r="341" spans="1:14" x14ac:dyDescent="0.3">
      <c r="A341" s="103">
        <v>2026</v>
      </c>
      <c r="B341" s="211" t="s">
        <v>590</v>
      </c>
      <c r="C341" s="103"/>
      <c r="D341" s="103"/>
      <c r="E341" s="3" t="s">
        <v>404</v>
      </c>
      <c r="F341" s="119">
        <v>11</v>
      </c>
      <c r="G341" s="107" t="str">
        <f>VLOOKUP(TBLBAHANKELUAR[[#This Row],[KODE BAHAN]],[4]!TBLPIZZAYUHU[#Data],2,FALSE)</f>
        <v>VERMIPAN</v>
      </c>
      <c r="H341" s="104">
        <f>VLOOKUP(TBLBAHANKELUAR[[#This Row],[NAMA BAHAN]],TBLREKAPBAHAN[[NAMA BAHAN]:[MODAL SATUAN]],2,FALSE)</f>
        <v>7000</v>
      </c>
      <c r="I341" s="104">
        <f>VLOOKUP(TBLBAHANKELUAR[[#This Row],[NAMA BAHAN]],TBLREKAPBAHAN[[NAMA BAHAN]:[MODAL SATUAN]],3,FALSE)</f>
        <v>11</v>
      </c>
      <c r="J341" s="104">
        <f>VLOOKUP(TBLBAHANKELUAR[[#This Row],[NAMA BAHAN]],TBLREKAPBAHAN[[NAMA BAHAN]:[MODAL SATUAN]],4,FALSE)</f>
        <v>636.36363636363637</v>
      </c>
      <c r="K341" s="105">
        <f>VLOOKUP(TBLBAHANKELUAR[[#This Row],[KODE BAHAN]],[4]!TBLPIZZAYUHU[#Data],9,FALSE)</f>
        <v>2</v>
      </c>
      <c r="L341" s="215">
        <f>SUMIF(TBLPRODUKKELUARJULI[NAMA PRODUK],TBLBAHANKELUAR[[#This Row],[NAMA PRODUK]],TBLPRODUKKELUARJULI[JUMLAH TERJUAL])</f>
        <v>1</v>
      </c>
      <c r="M341" s="105">
        <f>TBLBAHANKELUAR[[#This Row],[KEB. BAHAN]]*TBLBAHANKELUAR[[#This Row],[JUMLAH KEB. BAHAN KELUAR]]</f>
        <v>2</v>
      </c>
      <c r="N341" s="104">
        <f>TBLBAHANKELUAR[[#This Row],[MODAL SATUAN]]*TBLBAHANKELUAR[[#This Row],[TOTAL BAHAN KELUAR]]</f>
        <v>1272.7272727272727</v>
      </c>
    </row>
    <row r="342" spans="1:14" x14ac:dyDescent="0.3">
      <c r="A342" s="103">
        <v>2026</v>
      </c>
      <c r="B342" s="211" t="s">
        <v>590</v>
      </c>
      <c r="C342" s="103"/>
      <c r="D342" s="103"/>
      <c r="E342" s="3" t="s">
        <v>404</v>
      </c>
      <c r="F342" s="119">
        <v>12</v>
      </c>
      <c r="G342" s="107" t="str">
        <f>VLOOKUP(TBLBAHANKELUAR[[#This Row],[KODE BAHAN]],[4]!TBLPIZZAYUHU[#Data],2,FALSE)</f>
        <v>SUSU BUBUK</v>
      </c>
      <c r="H342" s="104">
        <f>VLOOKUP(TBLBAHANKELUAR[[#This Row],[NAMA BAHAN]],TBLREKAPBAHAN[[NAMA BAHAN]:[MODAL SATUAN]],2,FALSE)</f>
        <v>18000</v>
      </c>
      <c r="I342" s="104">
        <f>VLOOKUP(TBLBAHANKELUAR[[#This Row],[NAMA BAHAN]],TBLREKAPBAHAN[[NAMA BAHAN]:[MODAL SATUAN]],3,FALSE)</f>
        <v>250</v>
      </c>
      <c r="J342" s="104">
        <f>VLOOKUP(TBLBAHANKELUAR[[#This Row],[NAMA BAHAN]],TBLREKAPBAHAN[[NAMA BAHAN]:[MODAL SATUAN]],4,FALSE)</f>
        <v>72</v>
      </c>
      <c r="K342" s="105">
        <f>VLOOKUP(TBLBAHANKELUAR[[#This Row],[KODE BAHAN]],[4]!TBLPIZZAYUHU[#Data],9,FALSE)</f>
        <v>20</v>
      </c>
      <c r="L342" s="215">
        <f>SUMIF(TBLPRODUKKELUARJULI[NAMA PRODUK],TBLBAHANKELUAR[[#This Row],[NAMA PRODUK]],TBLPRODUKKELUARJULI[JUMLAH TERJUAL])</f>
        <v>1</v>
      </c>
      <c r="M342" s="105">
        <f>TBLBAHANKELUAR[[#This Row],[KEB. BAHAN]]*TBLBAHANKELUAR[[#This Row],[JUMLAH KEB. BAHAN KELUAR]]</f>
        <v>20</v>
      </c>
      <c r="N342" s="104">
        <f>TBLBAHANKELUAR[[#This Row],[MODAL SATUAN]]*TBLBAHANKELUAR[[#This Row],[TOTAL BAHAN KELUAR]]</f>
        <v>1440</v>
      </c>
    </row>
    <row r="343" spans="1:14" x14ac:dyDescent="0.3">
      <c r="A343" s="103">
        <v>2026</v>
      </c>
      <c r="B343" s="211" t="s">
        <v>590</v>
      </c>
      <c r="C343" s="103"/>
      <c r="D343" s="103"/>
      <c r="E343" s="3" t="s">
        <v>404</v>
      </c>
      <c r="F343" s="119">
        <v>13</v>
      </c>
      <c r="G343" s="107" t="str">
        <f>VLOOKUP(TBLBAHANKELUAR[[#This Row],[KODE BAHAN]],[4]!TBLPIZZAYUHU[#Data],2,FALSE)</f>
        <v>TEPUNG SEGITIGA BIRU</v>
      </c>
      <c r="H343" s="104">
        <f>VLOOKUP(TBLBAHANKELUAR[[#This Row],[NAMA BAHAN]],TBLREKAPBAHAN[[NAMA BAHAN]:[MODAL SATUAN]],2,FALSE)</f>
        <v>14000</v>
      </c>
      <c r="I343" s="104">
        <f>VLOOKUP(TBLBAHANKELUAR[[#This Row],[NAMA BAHAN]],TBLREKAPBAHAN[[NAMA BAHAN]:[MODAL SATUAN]],3,FALSE)</f>
        <v>1000</v>
      </c>
      <c r="J343" s="104">
        <f>VLOOKUP(TBLBAHANKELUAR[[#This Row],[NAMA BAHAN]],TBLREKAPBAHAN[[NAMA BAHAN]:[MODAL SATUAN]],4,FALSE)</f>
        <v>14</v>
      </c>
      <c r="K343" s="105">
        <f>VLOOKUP(TBLBAHANKELUAR[[#This Row],[KODE BAHAN]],[4]!TBLPIZZAYUHU[#Data],9,FALSE)</f>
        <v>40</v>
      </c>
      <c r="L343" s="215">
        <f>SUMIF(TBLPRODUKKELUARJULI[NAMA PRODUK],TBLBAHANKELUAR[[#This Row],[NAMA PRODUK]],TBLPRODUKKELUARJULI[JUMLAH TERJUAL])</f>
        <v>1</v>
      </c>
      <c r="M343" s="105">
        <f>TBLBAHANKELUAR[[#This Row],[KEB. BAHAN]]*TBLBAHANKELUAR[[#This Row],[JUMLAH KEB. BAHAN KELUAR]]</f>
        <v>40</v>
      </c>
      <c r="N343" s="104">
        <f>TBLBAHANKELUAR[[#This Row],[MODAL SATUAN]]*TBLBAHANKELUAR[[#This Row],[TOTAL BAHAN KELUAR]]</f>
        <v>560</v>
      </c>
    </row>
    <row r="344" spans="1:14" x14ac:dyDescent="0.3">
      <c r="A344" s="103">
        <v>2026</v>
      </c>
      <c r="B344" s="211" t="s">
        <v>590</v>
      </c>
      <c r="C344" s="103"/>
      <c r="D344" s="103"/>
      <c r="E344" s="3" t="s">
        <v>404</v>
      </c>
      <c r="F344" s="119">
        <v>14</v>
      </c>
      <c r="G344" s="107" t="str">
        <f>VLOOKUP(TBLBAHANKELUAR[[#This Row],[KODE BAHAN]],[4]!TBLPIZZAYUHU[#Data],2,FALSE)</f>
        <v>TEPUNG CAKRA KEMBAR</v>
      </c>
      <c r="H344" s="104">
        <f>VLOOKUP(TBLBAHANKELUAR[[#This Row],[NAMA BAHAN]],TBLREKAPBAHAN[[NAMA BAHAN]:[MODAL SATUAN]],2,FALSE)</f>
        <v>14000</v>
      </c>
      <c r="I344" s="104">
        <f>VLOOKUP(TBLBAHANKELUAR[[#This Row],[NAMA BAHAN]],TBLREKAPBAHAN[[NAMA BAHAN]:[MODAL SATUAN]],3,FALSE)</f>
        <v>1000</v>
      </c>
      <c r="J344" s="104">
        <f>VLOOKUP(TBLBAHANKELUAR[[#This Row],[NAMA BAHAN]],TBLREKAPBAHAN[[NAMA BAHAN]:[MODAL SATUAN]],4,FALSE)</f>
        <v>14</v>
      </c>
      <c r="K344" s="105">
        <f>VLOOKUP(TBLBAHANKELUAR[[#This Row],[KODE BAHAN]],[4]!TBLPIZZAYUHU[#Data],9,FALSE)</f>
        <v>80</v>
      </c>
      <c r="L344" s="215">
        <f>SUMIF(TBLPRODUKKELUARJULI[NAMA PRODUK],TBLBAHANKELUAR[[#This Row],[NAMA PRODUK]],TBLPRODUKKELUARJULI[JUMLAH TERJUAL])</f>
        <v>1</v>
      </c>
      <c r="M344" s="105">
        <f>TBLBAHANKELUAR[[#This Row],[KEB. BAHAN]]*TBLBAHANKELUAR[[#This Row],[JUMLAH KEB. BAHAN KELUAR]]</f>
        <v>80</v>
      </c>
      <c r="N344" s="104">
        <f>TBLBAHANKELUAR[[#This Row],[MODAL SATUAN]]*TBLBAHANKELUAR[[#This Row],[TOTAL BAHAN KELUAR]]</f>
        <v>1120</v>
      </c>
    </row>
    <row r="345" spans="1:14" x14ac:dyDescent="0.3">
      <c r="A345" s="103">
        <v>2026</v>
      </c>
      <c r="B345" s="211" t="s">
        <v>590</v>
      </c>
      <c r="C345" s="103"/>
      <c r="D345" s="103"/>
      <c r="E345" s="3" t="s">
        <v>404</v>
      </c>
      <c r="F345" s="119">
        <v>15</v>
      </c>
      <c r="G345" s="107" t="str">
        <f>VLOOKUP(TBLBAHANKELUAR[[#This Row],[KODE BAHAN]],[4]!TBLPIZZAYUHU[#Data],2,FALSE)</f>
        <v>BASIL</v>
      </c>
      <c r="H345" s="104">
        <f>VLOOKUP(TBLBAHANKELUAR[[#This Row],[NAMA BAHAN]],TBLREKAPBAHAN[[NAMA BAHAN]:[MODAL SATUAN]],2,FALSE)</f>
        <v>30000</v>
      </c>
      <c r="I345" s="104">
        <f>VLOOKUP(TBLBAHANKELUAR[[#This Row],[NAMA BAHAN]],TBLREKAPBAHAN[[NAMA BAHAN]:[MODAL SATUAN]],3,FALSE)</f>
        <v>30</v>
      </c>
      <c r="J345" s="104">
        <f>VLOOKUP(TBLBAHANKELUAR[[#This Row],[NAMA BAHAN]],TBLREKAPBAHAN[[NAMA BAHAN]:[MODAL SATUAN]],4,FALSE)</f>
        <v>1000</v>
      </c>
      <c r="K345" s="105">
        <f>VLOOKUP(TBLBAHANKELUAR[[#This Row],[KODE BAHAN]],[4]!TBLPIZZAYUHU[#Data],9,FALSE)</f>
        <v>2</v>
      </c>
      <c r="L345" s="215">
        <f>SUMIF(TBLPRODUKKELUARJULI[NAMA PRODUK],TBLBAHANKELUAR[[#This Row],[NAMA PRODUK]],TBLPRODUKKELUARJULI[JUMLAH TERJUAL])</f>
        <v>1</v>
      </c>
      <c r="M345" s="105">
        <f>TBLBAHANKELUAR[[#This Row],[KEB. BAHAN]]*TBLBAHANKELUAR[[#This Row],[JUMLAH KEB. BAHAN KELUAR]]</f>
        <v>2</v>
      </c>
      <c r="N345" s="104">
        <f>TBLBAHANKELUAR[[#This Row],[MODAL SATUAN]]*TBLBAHANKELUAR[[#This Row],[TOTAL BAHAN KELUAR]]</f>
        <v>2000</v>
      </c>
    </row>
    <row r="346" spans="1:14" x14ac:dyDescent="0.3">
      <c r="A346" s="103">
        <v>2026</v>
      </c>
      <c r="B346" s="211" t="s">
        <v>590</v>
      </c>
      <c r="C346" s="103"/>
      <c r="D346" s="103"/>
      <c r="E346" s="3" t="s">
        <v>404</v>
      </c>
      <c r="F346" s="119">
        <v>16</v>
      </c>
      <c r="G346" s="107" t="str">
        <f>VLOOKUP(TBLBAHANKELUAR[[#This Row],[KODE BAHAN]],[4]!TBLPIZZAYUHU[#Data],2,FALSE)</f>
        <v>KALDU JAMUR</v>
      </c>
      <c r="H346" s="104">
        <f>VLOOKUP(TBLBAHANKELUAR[[#This Row],[NAMA BAHAN]],TBLREKAPBAHAN[[NAMA BAHAN]:[MODAL SATUAN]],2,FALSE)</f>
        <v>15000</v>
      </c>
      <c r="I346" s="104">
        <f>VLOOKUP(TBLBAHANKELUAR[[#This Row],[NAMA BAHAN]],TBLREKAPBAHAN[[NAMA BAHAN]:[MODAL SATUAN]],3,FALSE)</f>
        <v>80</v>
      </c>
      <c r="J346" s="104">
        <f>VLOOKUP(TBLBAHANKELUAR[[#This Row],[NAMA BAHAN]],TBLREKAPBAHAN[[NAMA BAHAN]:[MODAL SATUAN]],4,FALSE)</f>
        <v>187.5</v>
      </c>
      <c r="K346" s="105">
        <f>VLOOKUP(TBLBAHANKELUAR[[#This Row],[KODE BAHAN]],[4]!TBLPIZZAYUHU[#Data],9,FALSE)</f>
        <v>0</v>
      </c>
      <c r="L346" s="215">
        <f>SUMIF(TBLPRODUKKELUARJULI[NAMA PRODUK],TBLBAHANKELUAR[[#This Row],[NAMA PRODUK]],TBLPRODUKKELUARJULI[JUMLAH TERJUAL])</f>
        <v>1</v>
      </c>
      <c r="M346" s="105">
        <f>TBLBAHANKELUAR[[#This Row],[KEB. BAHAN]]*TBLBAHANKELUAR[[#This Row],[JUMLAH KEB. BAHAN KELUAR]]</f>
        <v>0</v>
      </c>
      <c r="N346" s="104">
        <f>TBLBAHANKELUAR[[#This Row],[MODAL SATUAN]]*TBLBAHANKELUAR[[#This Row],[TOTAL BAHAN KELUAR]]</f>
        <v>0</v>
      </c>
    </row>
    <row r="347" spans="1:14" x14ac:dyDescent="0.3">
      <c r="A347" s="103">
        <v>2026</v>
      </c>
      <c r="B347" s="211" t="s">
        <v>590</v>
      </c>
      <c r="C347" s="103"/>
      <c r="D347" s="103"/>
      <c r="E347" s="3" t="s">
        <v>404</v>
      </c>
      <c r="F347" s="119">
        <v>17</v>
      </c>
      <c r="G347" s="107" t="str">
        <f>VLOOKUP(TBLBAHANKELUAR[[#This Row],[KODE BAHAN]],[4]!TBLPIZZAYUHU[#Data],2,FALSE)</f>
        <v>BAWANG BOMBAY</v>
      </c>
      <c r="H347" s="104">
        <f>VLOOKUP(TBLBAHANKELUAR[[#This Row],[NAMA BAHAN]],TBLREKAPBAHAN[[NAMA BAHAN]:[MODAL SATUAN]],2,FALSE)</f>
        <v>5000</v>
      </c>
      <c r="I347" s="104">
        <f>VLOOKUP(TBLBAHANKELUAR[[#This Row],[NAMA BAHAN]],TBLREKAPBAHAN[[NAMA BAHAN]:[MODAL SATUAN]],3,FALSE)</f>
        <v>8</v>
      </c>
      <c r="J347" s="104">
        <f>VLOOKUP(TBLBAHANKELUAR[[#This Row],[NAMA BAHAN]],TBLREKAPBAHAN[[NAMA BAHAN]:[MODAL SATUAN]],4,FALSE)</f>
        <v>625</v>
      </c>
      <c r="K347" s="105">
        <f>VLOOKUP(TBLBAHANKELUAR[[#This Row],[KODE BAHAN]],[4]!TBLPIZZAYUHU[#Data],9,FALSE)</f>
        <v>3</v>
      </c>
      <c r="L347" s="215">
        <f>SUMIF(TBLPRODUKKELUARJULI[NAMA PRODUK],TBLBAHANKELUAR[[#This Row],[NAMA PRODUK]],TBLPRODUKKELUARJULI[JUMLAH TERJUAL])</f>
        <v>1</v>
      </c>
      <c r="M347" s="105">
        <f>TBLBAHANKELUAR[[#This Row],[KEB. BAHAN]]*TBLBAHANKELUAR[[#This Row],[JUMLAH KEB. BAHAN KELUAR]]</f>
        <v>3</v>
      </c>
      <c r="N347" s="104">
        <f>TBLBAHANKELUAR[[#This Row],[MODAL SATUAN]]*TBLBAHANKELUAR[[#This Row],[TOTAL BAHAN KELUAR]]</f>
        <v>1875</v>
      </c>
    </row>
    <row r="348" spans="1:14" x14ac:dyDescent="0.3">
      <c r="A348" s="103">
        <v>2026</v>
      </c>
      <c r="B348" s="211" t="s">
        <v>590</v>
      </c>
      <c r="C348" s="103"/>
      <c r="D348" s="103"/>
      <c r="E348" s="3" t="s">
        <v>404</v>
      </c>
      <c r="F348" s="119">
        <v>18</v>
      </c>
      <c r="G348" s="107" t="str">
        <f>VLOOKUP(TBLBAHANKELUAR[[#This Row],[KODE BAHAN]],[4]!TBLPIZZAYUHU[#Data],2,FALSE)</f>
        <v>ABON</v>
      </c>
      <c r="H348" s="104">
        <f>VLOOKUP(TBLBAHANKELUAR[[#This Row],[NAMA BAHAN]],TBLREKAPBAHAN[[NAMA BAHAN]:[MODAL SATUAN]],2,FALSE)</f>
        <v>25000</v>
      </c>
      <c r="I348" s="104">
        <f>VLOOKUP(TBLBAHANKELUAR[[#This Row],[NAMA BAHAN]],TBLREKAPBAHAN[[NAMA BAHAN]:[MODAL SATUAN]],3,FALSE)</f>
        <v>100</v>
      </c>
      <c r="J348" s="104">
        <f>VLOOKUP(TBLBAHANKELUAR[[#This Row],[NAMA BAHAN]],TBLREKAPBAHAN[[NAMA BAHAN]:[MODAL SATUAN]],4,FALSE)</f>
        <v>250</v>
      </c>
      <c r="K348" s="105">
        <f>VLOOKUP(TBLBAHANKELUAR[[#This Row],[KODE BAHAN]],[4]!TBLPIZZAYUHU[#Data],9,FALSE)</f>
        <v>0</v>
      </c>
      <c r="L348" s="215">
        <f>SUMIF(TBLPRODUKKELUARJULI[NAMA PRODUK],TBLBAHANKELUAR[[#This Row],[NAMA PRODUK]],TBLPRODUKKELUARJULI[JUMLAH TERJUAL])</f>
        <v>1</v>
      </c>
      <c r="M348" s="105">
        <f>TBLBAHANKELUAR[[#This Row],[KEB. BAHAN]]*TBLBAHANKELUAR[[#This Row],[JUMLAH KEB. BAHAN KELUAR]]</f>
        <v>0</v>
      </c>
      <c r="N348" s="104">
        <f>TBLBAHANKELUAR[[#This Row],[MODAL SATUAN]]*TBLBAHANKELUAR[[#This Row],[TOTAL BAHAN KELUAR]]</f>
        <v>0</v>
      </c>
    </row>
    <row r="349" spans="1:14" x14ac:dyDescent="0.3">
      <c r="A349" s="103">
        <v>2026</v>
      </c>
      <c r="B349" s="211" t="s">
        <v>590</v>
      </c>
      <c r="C349" s="103"/>
      <c r="D349" s="103"/>
      <c r="E349" s="3" t="s">
        <v>404</v>
      </c>
      <c r="F349" s="119">
        <v>19</v>
      </c>
      <c r="G349" s="107" t="str">
        <f>VLOOKUP(TBLBAHANKELUAR[[#This Row],[KODE BAHAN]],[4]!TBLPIZZAYUHU[#Data],2,FALSE)</f>
        <v>JAMUR</v>
      </c>
      <c r="H349" s="104">
        <f>VLOOKUP(TBLBAHANKELUAR[[#This Row],[NAMA BAHAN]],TBLREKAPBAHAN[[NAMA BAHAN]:[MODAL SATUAN]],2,FALSE)</f>
        <v>2000</v>
      </c>
      <c r="I349" s="104">
        <f>VLOOKUP(TBLBAHANKELUAR[[#This Row],[NAMA BAHAN]],TBLREKAPBAHAN[[NAMA BAHAN]:[MODAL SATUAN]],3,FALSE)</f>
        <v>10</v>
      </c>
      <c r="J349" s="104">
        <f>VLOOKUP(TBLBAHANKELUAR[[#This Row],[NAMA BAHAN]],TBLREKAPBAHAN[[NAMA BAHAN]:[MODAL SATUAN]],4,FALSE)</f>
        <v>200</v>
      </c>
      <c r="K349" s="105">
        <f>VLOOKUP(TBLBAHANKELUAR[[#This Row],[KODE BAHAN]],[4]!TBLPIZZAYUHU[#Data],9,FALSE)</f>
        <v>0</v>
      </c>
      <c r="L349" s="215">
        <f>SUMIF(TBLPRODUKKELUARJULI[NAMA PRODUK],TBLBAHANKELUAR[[#This Row],[NAMA PRODUK]],TBLPRODUKKELUARJULI[JUMLAH TERJUAL])</f>
        <v>1</v>
      </c>
      <c r="M349" s="105">
        <f>TBLBAHANKELUAR[[#This Row],[KEB. BAHAN]]*TBLBAHANKELUAR[[#This Row],[JUMLAH KEB. BAHAN KELUAR]]</f>
        <v>0</v>
      </c>
      <c r="N349" s="104">
        <f>TBLBAHANKELUAR[[#This Row],[MODAL SATUAN]]*TBLBAHANKELUAR[[#This Row],[TOTAL BAHAN KELUAR]]</f>
        <v>0</v>
      </c>
    </row>
    <row r="350" spans="1:14" x14ac:dyDescent="0.3">
      <c r="A350" s="103">
        <v>2026</v>
      </c>
      <c r="B350" s="211" t="s">
        <v>590</v>
      </c>
      <c r="C350" s="103"/>
      <c r="D350" s="103"/>
      <c r="E350" s="3" t="s">
        <v>404</v>
      </c>
      <c r="F350" s="119">
        <v>20</v>
      </c>
      <c r="G350" s="107" t="str">
        <f>VLOOKUP(TBLBAHANKELUAR[[#This Row],[KODE BAHAN]],[4]!TBLPIZZAYUHU[#Data],2,FALSE)</f>
        <v>JAGUNG</v>
      </c>
      <c r="H350" s="104">
        <f>VLOOKUP(TBLBAHANKELUAR[[#This Row],[NAMA BAHAN]],TBLREKAPBAHAN[[NAMA BAHAN]:[MODAL SATUAN]],2,FALSE)</f>
        <v>3000</v>
      </c>
      <c r="I350" s="104">
        <f>VLOOKUP(TBLBAHANKELUAR[[#This Row],[NAMA BAHAN]],TBLREKAPBAHAN[[NAMA BAHAN]:[MODAL SATUAN]],3,FALSE)</f>
        <v>2</v>
      </c>
      <c r="J350" s="104">
        <f>VLOOKUP(TBLBAHANKELUAR[[#This Row],[NAMA BAHAN]],TBLREKAPBAHAN[[NAMA BAHAN]:[MODAL SATUAN]],4,FALSE)</f>
        <v>1500</v>
      </c>
      <c r="K350" s="105">
        <f>VLOOKUP(TBLBAHANKELUAR[[#This Row],[KODE BAHAN]],[4]!TBLPIZZAYUHU[#Data],9,FALSE)</f>
        <v>0</v>
      </c>
      <c r="L350" s="215">
        <f>SUMIF(TBLPRODUKKELUARJULI[NAMA PRODUK],TBLBAHANKELUAR[[#This Row],[NAMA PRODUK]],TBLPRODUKKELUARJULI[JUMLAH TERJUAL])</f>
        <v>1</v>
      </c>
      <c r="M350" s="105">
        <f>TBLBAHANKELUAR[[#This Row],[KEB. BAHAN]]*TBLBAHANKELUAR[[#This Row],[JUMLAH KEB. BAHAN KELUAR]]</f>
        <v>0</v>
      </c>
      <c r="N350" s="104">
        <f>TBLBAHANKELUAR[[#This Row],[MODAL SATUAN]]*TBLBAHANKELUAR[[#This Row],[TOTAL BAHAN KELUAR]]</f>
        <v>0</v>
      </c>
    </row>
    <row r="351" spans="1:14" x14ac:dyDescent="0.3">
      <c r="A351" s="103">
        <v>2026</v>
      </c>
      <c r="B351" s="211" t="s">
        <v>590</v>
      </c>
      <c r="C351" s="103"/>
      <c r="D351" s="103"/>
      <c r="E351" s="3" t="s">
        <v>404</v>
      </c>
      <c r="F351" s="119">
        <v>21</v>
      </c>
      <c r="G351" s="107" t="str">
        <f>VLOOKUP(TBLBAHANKELUAR[[#This Row],[KODE BAHAN]],[4]!TBLPIZZAYUHU[#Data],2,FALSE)</f>
        <v>UDANG</v>
      </c>
      <c r="H351" s="104">
        <f>VLOOKUP(TBLBAHANKELUAR[[#This Row],[NAMA BAHAN]],TBLREKAPBAHAN[[NAMA BAHAN]:[MODAL SATUAN]],2,FALSE)</f>
        <v>9000</v>
      </c>
      <c r="I351" s="104">
        <f>VLOOKUP(TBLBAHANKELUAR[[#This Row],[NAMA BAHAN]],TBLREKAPBAHAN[[NAMA BAHAN]:[MODAL SATUAN]],3,FALSE)</f>
        <v>10</v>
      </c>
      <c r="J351" s="104">
        <f>VLOOKUP(TBLBAHANKELUAR[[#This Row],[NAMA BAHAN]],TBLREKAPBAHAN[[NAMA BAHAN]:[MODAL SATUAN]],4,FALSE)</f>
        <v>900</v>
      </c>
      <c r="K351" s="105">
        <f>VLOOKUP(TBLBAHANKELUAR[[#This Row],[KODE BAHAN]],[4]!TBLPIZZAYUHU[#Data],9,FALSE)</f>
        <v>0</v>
      </c>
      <c r="L351" s="215">
        <f>SUMIF(TBLPRODUKKELUARJULI[NAMA PRODUK],TBLBAHANKELUAR[[#This Row],[NAMA PRODUK]],TBLPRODUKKELUARJULI[JUMLAH TERJUAL])</f>
        <v>1</v>
      </c>
      <c r="M351" s="105">
        <f>TBLBAHANKELUAR[[#This Row],[KEB. BAHAN]]*TBLBAHANKELUAR[[#This Row],[JUMLAH KEB. BAHAN KELUAR]]</f>
        <v>0</v>
      </c>
      <c r="N351" s="104">
        <f>TBLBAHANKELUAR[[#This Row],[MODAL SATUAN]]*TBLBAHANKELUAR[[#This Row],[TOTAL BAHAN KELUAR]]</f>
        <v>0</v>
      </c>
    </row>
    <row r="352" spans="1:14" x14ac:dyDescent="0.3">
      <c r="A352" s="103">
        <v>2026</v>
      </c>
      <c r="B352" s="211" t="s">
        <v>590</v>
      </c>
      <c r="C352" s="103"/>
      <c r="D352" s="103"/>
      <c r="E352" s="3" t="s">
        <v>404</v>
      </c>
      <c r="F352" s="119">
        <v>22</v>
      </c>
      <c r="G352" s="107" t="str">
        <f>VLOOKUP(TBLBAHANKELUAR[[#This Row],[KODE BAHAN]],[4]!TBLPIZZAYUHU[#Data],2,FALSE)</f>
        <v>PAPRIKA GRAM</v>
      </c>
      <c r="H352" s="104">
        <f>VLOOKUP(TBLBAHANKELUAR[[#This Row],[NAMA BAHAN]],TBLREKAPBAHAN[[NAMA BAHAN]:[MODAL SATUAN]],2,FALSE)</f>
        <v>10000</v>
      </c>
      <c r="I352" s="104">
        <f>VLOOKUP(TBLBAHANKELUAR[[#This Row],[NAMA BAHAN]],TBLREKAPBAHAN[[NAMA BAHAN]:[MODAL SATUAN]],3,FALSE)</f>
        <v>100</v>
      </c>
      <c r="J352" s="104">
        <f>VLOOKUP(TBLBAHANKELUAR[[#This Row],[NAMA BAHAN]],TBLREKAPBAHAN[[NAMA BAHAN]:[MODAL SATUAN]],4,FALSE)</f>
        <v>100</v>
      </c>
      <c r="K352" s="105">
        <f>VLOOKUP(TBLBAHANKELUAR[[#This Row],[KODE BAHAN]],[4]!TBLPIZZAYUHU[#Data],9,FALSE)</f>
        <v>0</v>
      </c>
      <c r="L352" s="215">
        <f>SUMIF(TBLPRODUKKELUARJULI[NAMA PRODUK],TBLBAHANKELUAR[[#This Row],[NAMA PRODUK]],TBLPRODUKKELUARJULI[JUMLAH TERJUAL])</f>
        <v>1</v>
      </c>
      <c r="M352" s="105">
        <f>TBLBAHANKELUAR[[#This Row],[KEB. BAHAN]]*TBLBAHANKELUAR[[#This Row],[JUMLAH KEB. BAHAN KELUAR]]</f>
        <v>0</v>
      </c>
      <c r="N352" s="104">
        <f>TBLBAHANKELUAR[[#This Row],[MODAL SATUAN]]*TBLBAHANKELUAR[[#This Row],[TOTAL BAHAN KELUAR]]</f>
        <v>0</v>
      </c>
    </row>
    <row r="353" spans="1:14" x14ac:dyDescent="0.3">
      <c r="A353" s="103">
        <v>2026</v>
      </c>
      <c r="B353" s="211" t="s">
        <v>590</v>
      </c>
      <c r="C353" s="103"/>
      <c r="D353" s="103"/>
      <c r="E353" s="3" t="s">
        <v>404</v>
      </c>
      <c r="F353" s="119">
        <v>23</v>
      </c>
      <c r="G353" s="107" t="str">
        <f>VLOOKUP(TBLBAHANKELUAR[[#This Row],[KODE BAHAN]],[4]!TBLPIZZAYUHU[#Data],2,FALSE)</f>
        <v>KENTANG</v>
      </c>
      <c r="H353" s="104">
        <f>VLOOKUP(TBLBAHANKELUAR[[#This Row],[NAMA BAHAN]],TBLREKAPBAHAN[[NAMA BAHAN]:[MODAL SATUAN]],2,FALSE)</f>
        <v>12000</v>
      </c>
      <c r="I353" s="104">
        <f>VLOOKUP(TBLBAHANKELUAR[[#This Row],[NAMA BAHAN]],TBLREKAPBAHAN[[NAMA BAHAN]:[MODAL SATUAN]],3,FALSE)</f>
        <v>10</v>
      </c>
      <c r="J353" s="104">
        <f>VLOOKUP(TBLBAHANKELUAR[[#This Row],[NAMA BAHAN]],TBLREKAPBAHAN[[NAMA BAHAN]:[MODAL SATUAN]],4,FALSE)</f>
        <v>1200</v>
      </c>
      <c r="K353" s="105">
        <f>VLOOKUP(TBLBAHANKELUAR[[#This Row],[KODE BAHAN]],[4]!TBLPIZZAYUHU[#Data],9,FALSE)</f>
        <v>0</v>
      </c>
      <c r="L353" s="215">
        <f>SUMIF(TBLPRODUKKELUARJULI[NAMA PRODUK],TBLBAHANKELUAR[[#This Row],[NAMA PRODUK]],TBLPRODUKKELUARJULI[JUMLAH TERJUAL])</f>
        <v>1</v>
      </c>
      <c r="M353" s="105">
        <f>TBLBAHANKELUAR[[#This Row],[KEB. BAHAN]]*TBLBAHANKELUAR[[#This Row],[JUMLAH KEB. BAHAN KELUAR]]</f>
        <v>0</v>
      </c>
      <c r="N353" s="104">
        <f>TBLBAHANKELUAR[[#This Row],[MODAL SATUAN]]*TBLBAHANKELUAR[[#This Row],[TOTAL BAHAN KELUAR]]</f>
        <v>0</v>
      </c>
    </row>
    <row r="354" spans="1:14" x14ac:dyDescent="0.3">
      <c r="A354" s="103">
        <v>2026</v>
      </c>
      <c r="B354" s="211" t="s">
        <v>590</v>
      </c>
      <c r="C354" s="103"/>
      <c r="D354" s="103"/>
      <c r="E354" s="3" t="s">
        <v>404</v>
      </c>
      <c r="F354" s="119">
        <v>24</v>
      </c>
      <c r="G354" s="107" t="str">
        <f>VLOOKUP(TBLBAHANKELUAR[[#This Row],[KODE BAHAN]],[4]!TBLPIZZAYUHU[#Data],2,FALSE)</f>
        <v>AIR PANAS (CC/GRAM)</v>
      </c>
      <c r="H354" s="104">
        <f>VLOOKUP(TBLBAHANKELUAR[[#This Row],[NAMA BAHAN]],TBLREKAPBAHAN[[NAMA BAHAN]:[MODAL SATUAN]],2,FALSE)</f>
        <v>17000</v>
      </c>
      <c r="I354" s="104">
        <f>VLOOKUP(TBLBAHANKELUAR[[#This Row],[NAMA BAHAN]],TBLREKAPBAHAN[[NAMA BAHAN]:[MODAL SATUAN]],3,FALSE)</f>
        <v>19000</v>
      </c>
      <c r="J354" s="104">
        <f>VLOOKUP(TBLBAHANKELUAR[[#This Row],[NAMA BAHAN]],TBLREKAPBAHAN[[NAMA BAHAN]:[MODAL SATUAN]],4,FALSE)</f>
        <v>0.89473684210526316</v>
      </c>
      <c r="K354" s="105">
        <f>VLOOKUP(TBLBAHANKELUAR[[#This Row],[KODE BAHAN]],[4]!TBLPIZZAYUHU[#Data],9,FALSE)</f>
        <v>80</v>
      </c>
      <c r="L354" s="215">
        <f>SUMIF(TBLPRODUKKELUARJULI[NAMA PRODUK],TBLBAHANKELUAR[[#This Row],[NAMA PRODUK]],TBLPRODUKKELUARJULI[JUMLAH TERJUAL])</f>
        <v>1</v>
      </c>
      <c r="M354" s="105">
        <f>TBLBAHANKELUAR[[#This Row],[KEB. BAHAN]]*TBLBAHANKELUAR[[#This Row],[JUMLAH KEB. BAHAN KELUAR]]</f>
        <v>80</v>
      </c>
      <c r="N354" s="104">
        <f>TBLBAHANKELUAR[[#This Row],[MODAL SATUAN]]*TBLBAHANKELUAR[[#This Row],[TOTAL BAHAN KELUAR]]</f>
        <v>71.578947368421055</v>
      </c>
    </row>
    <row r="355" spans="1:14" x14ac:dyDescent="0.3">
      <c r="A355" s="103">
        <v>2026</v>
      </c>
      <c r="B355" s="211" t="s">
        <v>590</v>
      </c>
      <c r="C355" s="103"/>
      <c r="D355" s="103"/>
      <c r="E355" s="3" t="s">
        <v>404</v>
      </c>
      <c r="F355" s="119">
        <v>25</v>
      </c>
      <c r="G355" s="107" t="str">
        <f>VLOOKUP(TBLBAHANKELUAR[[#This Row],[KODE BAHAN]],[4]!TBLPIZZAYUHU[#Data],2,FALSE)</f>
        <v>GAS ELPIJI</v>
      </c>
      <c r="H355" s="104">
        <f>VLOOKUP(TBLBAHANKELUAR[[#This Row],[NAMA BAHAN]],TBLREKAPBAHAN[[NAMA BAHAN]:[MODAL SATUAN]],2,FALSE)</f>
        <v>23000</v>
      </c>
      <c r="I355" s="104">
        <f>VLOOKUP(TBLBAHANKELUAR[[#This Row],[NAMA BAHAN]],TBLREKAPBAHAN[[NAMA BAHAN]:[MODAL SATUAN]],3,FALSE)</f>
        <v>3000</v>
      </c>
      <c r="J355" s="104">
        <f>VLOOKUP(TBLBAHANKELUAR[[#This Row],[NAMA BAHAN]],TBLREKAPBAHAN[[NAMA BAHAN]:[MODAL SATUAN]],4,FALSE)</f>
        <v>7.666666666666667</v>
      </c>
      <c r="K355" s="105">
        <f>VLOOKUP(TBLBAHANKELUAR[[#This Row],[KODE BAHAN]],[4]!TBLPIZZAYUHU[#Data],9,FALSE)</f>
        <v>80</v>
      </c>
      <c r="L355" s="215">
        <f>SUMIF(TBLPRODUKKELUARJULI[NAMA PRODUK],TBLBAHANKELUAR[[#This Row],[NAMA PRODUK]],TBLPRODUKKELUARJULI[JUMLAH TERJUAL])</f>
        <v>1</v>
      </c>
      <c r="M355" s="105">
        <f>TBLBAHANKELUAR[[#This Row],[KEB. BAHAN]]*TBLBAHANKELUAR[[#This Row],[JUMLAH KEB. BAHAN KELUAR]]</f>
        <v>80</v>
      </c>
      <c r="N355" s="104">
        <f>TBLBAHANKELUAR[[#This Row],[MODAL SATUAN]]*TBLBAHANKELUAR[[#This Row],[TOTAL BAHAN KELUAR]]</f>
        <v>613.33333333333337</v>
      </c>
    </row>
    <row r="356" spans="1:14" x14ac:dyDescent="0.3">
      <c r="A356" s="103">
        <v>2026</v>
      </c>
      <c r="B356" s="211" t="s">
        <v>590</v>
      </c>
      <c r="C356" s="103"/>
      <c r="D356" s="103"/>
      <c r="E356" s="3" t="s">
        <v>404</v>
      </c>
      <c r="F356" s="119">
        <v>26</v>
      </c>
      <c r="G356" s="107" t="str">
        <f>VLOOKUP(TBLBAHANKELUAR[[#This Row],[KODE BAHAN]],[4]!TBLPIZZAYUHU[#Data],2,FALSE)</f>
        <v>KERTAS ROTI OVEN</v>
      </c>
      <c r="H356" s="104">
        <f>VLOOKUP(TBLBAHANKELUAR[[#This Row],[NAMA BAHAN]],TBLREKAPBAHAN[[NAMA BAHAN]:[MODAL SATUAN]],2,FALSE)</f>
        <v>10000</v>
      </c>
      <c r="I356" s="104">
        <f>VLOOKUP(TBLBAHANKELUAR[[#This Row],[NAMA BAHAN]],TBLREKAPBAHAN[[NAMA BAHAN]:[MODAL SATUAN]],3,FALSE)</f>
        <v>50</v>
      </c>
      <c r="J356" s="104">
        <f>VLOOKUP(TBLBAHANKELUAR[[#This Row],[NAMA BAHAN]],TBLREKAPBAHAN[[NAMA BAHAN]:[MODAL SATUAN]],4,FALSE)</f>
        <v>200</v>
      </c>
      <c r="K356" s="105">
        <f>VLOOKUP(TBLBAHANKELUAR[[#This Row],[KODE BAHAN]],[4]!TBLPIZZAYUHU[#Data],9,FALSE)</f>
        <v>1</v>
      </c>
      <c r="L356" s="215">
        <f>SUMIF(TBLPRODUKKELUARJULI[NAMA PRODUK],TBLBAHANKELUAR[[#This Row],[NAMA PRODUK]],TBLPRODUKKELUARJULI[JUMLAH TERJUAL])</f>
        <v>1</v>
      </c>
      <c r="M356" s="105">
        <f>TBLBAHANKELUAR[[#This Row],[KEB. BAHAN]]*TBLBAHANKELUAR[[#This Row],[JUMLAH KEB. BAHAN KELUAR]]</f>
        <v>1</v>
      </c>
      <c r="N356" s="104">
        <f>TBLBAHANKELUAR[[#This Row],[MODAL SATUAN]]*TBLBAHANKELUAR[[#This Row],[TOTAL BAHAN KELUAR]]</f>
        <v>200</v>
      </c>
    </row>
    <row r="357" spans="1:14" x14ac:dyDescent="0.3">
      <c r="A357" s="103">
        <v>2026</v>
      </c>
      <c r="B357" s="211" t="s">
        <v>590</v>
      </c>
      <c r="C357" s="103"/>
      <c r="D357" s="103"/>
      <c r="E357" s="3" t="s">
        <v>404</v>
      </c>
      <c r="F357" s="119">
        <v>27</v>
      </c>
      <c r="G357" s="107" t="str">
        <f>VLOOKUP(TBLBAHANKELUAR[[#This Row],[KODE BAHAN]],[4]!TBLPIZZAYUHU[#Data],2,FALSE)</f>
        <v>KOTAK 21 CM</v>
      </c>
      <c r="H357" s="104">
        <f>VLOOKUP(TBLBAHANKELUAR[[#This Row],[NAMA BAHAN]],TBLREKAPBAHAN[[NAMA BAHAN]:[MODAL SATUAN]],2,FALSE)</f>
        <v>2500</v>
      </c>
      <c r="I357" s="104">
        <f>VLOOKUP(TBLBAHANKELUAR[[#This Row],[NAMA BAHAN]],TBLREKAPBAHAN[[NAMA BAHAN]:[MODAL SATUAN]],3,FALSE)</f>
        <v>1</v>
      </c>
      <c r="J357" s="104">
        <f>VLOOKUP(TBLBAHANKELUAR[[#This Row],[NAMA BAHAN]],TBLREKAPBAHAN[[NAMA BAHAN]:[MODAL SATUAN]],4,FALSE)</f>
        <v>2500</v>
      </c>
      <c r="K357" s="105">
        <f>VLOOKUP(TBLBAHANKELUAR[[#This Row],[KODE BAHAN]],[4]!TBLPIZZAYUHU[#Data],9,FALSE)</f>
        <v>1</v>
      </c>
      <c r="L357" s="215">
        <f>SUMIF(TBLPRODUKKELUARJULI[NAMA PRODUK],TBLBAHANKELUAR[[#This Row],[NAMA PRODUK]],TBLPRODUKKELUARJULI[JUMLAH TERJUAL])</f>
        <v>1</v>
      </c>
      <c r="M357" s="105">
        <f>TBLBAHANKELUAR[[#This Row],[KEB. BAHAN]]*TBLBAHANKELUAR[[#This Row],[JUMLAH KEB. BAHAN KELUAR]]</f>
        <v>1</v>
      </c>
      <c r="N357" s="104">
        <f>TBLBAHANKELUAR[[#This Row],[MODAL SATUAN]]*TBLBAHANKELUAR[[#This Row],[TOTAL BAHAN KELUAR]]</f>
        <v>2500</v>
      </c>
    </row>
    <row r="358" spans="1:14" x14ac:dyDescent="0.3">
      <c r="A358" s="103">
        <v>2026</v>
      </c>
      <c r="B358" s="211" t="s">
        <v>590</v>
      </c>
      <c r="C358" s="103"/>
      <c r="D358" s="103"/>
      <c r="E358" s="3" t="s">
        <v>404</v>
      </c>
      <c r="F358" s="119">
        <v>28</v>
      </c>
      <c r="G358" s="107" t="str">
        <f>VLOOKUP(TBLBAHANKELUAR[[#This Row],[KODE BAHAN]],[4]!TBLPIZZAYUHU[#Data],2,FALSE)</f>
        <v>TALI RAFIA</v>
      </c>
      <c r="H358" s="104">
        <f>VLOOKUP(TBLBAHANKELUAR[[#This Row],[NAMA BAHAN]],TBLREKAPBAHAN[[NAMA BAHAN]:[MODAL SATUAN]],2,FALSE)</f>
        <v>37500</v>
      </c>
      <c r="I358" s="104">
        <f>VLOOKUP(TBLBAHANKELUAR[[#This Row],[NAMA BAHAN]],TBLREKAPBAHAN[[NAMA BAHAN]:[MODAL SATUAN]],3,FALSE)</f>
        <v>300</v>
      </c>
      <c r="J358" s="104">
        <f>VLOOKUP(TBLBAHANKELUAR[[#This Row],[NAMA BAHAN]],TBLREKAPBAHAN[[NAMA BAHAN]:[MODAL SATUAN]],4,FALSE)</f>
        <v>125</v>
      </c>
      <c r="K358" s="105">
        <f>VLOOKUP(TBLBAHANKELUAR[[#This Row],[KODE BAHAN]],[4]!TBLPIZZAYUHU[#Data],9,FALSE)</f>
        <v>1</v>
      </c>
      <c r="L358" s="215">
        <f>SUMIF(TBLPRODUKKELUARJULI[NAMA PRODUK],TBLBAHANKELUAR[[#This Row],[NAMA PRODUK]],TBLPRODUKKELUARJULI[JUMLAH TERJUAL])</f>
        <v>1</v>
      </c>
      <c r="M358" s="105">
        <f>TBLBAHANKELUAR[[#This Row],[KEB. BAHAN]]*TBLBAHANKELUAR[[#This Row],[JUMLAH KEB. BAHAN KELUAR]]</f>
        <v>1</v>
      </c>
      <c r="N358" s="104">
        <f>TBLBAHANKELUAR[[#This Row],[MODAL SATUAN]]*TBLBAHANKELUAR[[#This Row],[TOTAL BAHAN KELUAR]]</f>
        <v>125</v>
      </c>
    </row>
    <row r="359" spans="1:14" x14ac:dyDescent="0.3">
      <c r="A359" s="103">
        <v>2026</v>
      </c>
      <c r="B359" s="211" t="s">
        <v>590</v>
      </c>
      <c r="C359" s="103"/>
      <c r="D359" s="103"/>
      <c r="E359" s="3" t="s">
        <v>404</v>
      </c>
      <c r="F359" s="119">
        <v>29</v>
      </c>
      <c r="G359" s="107" t="str">
        <f>VLOOKUP(TBLBAHANKELUAR[[#This Row],[KODE BAHAN]],[4]!TBLPIZZAYUHU[#Data],2,FALSE)</f>
        <v>KRESEK 30 CM</v>
      </c>
      <c r="H359" s="104">
        <f>VLOOKUP(TBLBAHANKELUAR[[#This Row],[NAMA BAHAN]],TBLREKAPBAHAN[[NAMA BAHAN]:[MODAL SATUAN]],2,FALSE)</f>
        <v>1000</v>
      </c>
      <c r="I359" s="104">
        <f>VLOOKUP(TBLBAHANKELUAR[[#This Row],[NAMA BAHAN]],TBLREKAPBAHAN[[NAMA BAHAN]:[MODAL SATUAN]],3,FALSE)</f>
        <v>2</v>
      </c>
      <c r="J359" s="104">
        <f>VLOOKUP(TBLBAHANKELUAR[[#This Row],[NAMA BAHAN]],TBLREKAPBAHAN[[NAMA BAHAN]:[MODAL SATUAN]],4,FALSE)</f>
        <v>500</v>
      </c>
      <c r="K359" s="105">
        <f>VLOOKUP(TBLBAHANKELUAR[[#This Row],[KODE BAHAN]],[4]!TBLPIZZAYUHU[#Data],9,FALSE)</f>
        <v>1</v>
      </c>
      <c r="L359" s="215">
        <f>SUMIF(TBLPRODUKKELUARJULI[NAMA PRODUK],TBLBAHANKELUAR[[#This Row],[NAMA PRODUK]],TBLPRODUKKELUARJULI[JUMLAH TERJUAL])</f>
        <v>1</v>
      </c>
      <c r="M359" s="105">
        <f>TBLBAHANKELUAR[[#This Row],[KEB. BAHAN]]*TBLBAHANKELUAR[[#This Row],[JUMLAH KEB. BAHAN KELUAR]]</f>
        <v>1</v>
      </c>
      <c r="N359" s="104">
        <f>TBLBAHANKELUAR[[#This Row],[MODAL SATUAN]]*TBLBAHANKELUAR[[#This Row],[TOTAL BAHAN KELUAR]]</f>
        <v>500</v>
      </c>
    </row>
    <row r="360" spans="1:14" x14ac:dyDescent="0.3">
      <c r="A360" s="103">
        <v>2026</v>
      </c>
      <c r="B360" s="211" t="s">
        <v>590</v>
      </c>
      <c r="C360" s="211"/>
      <c r="D360" s="211"/>
      <c r="E360" s="3" t="s">
        <v>389</v>
      </c>
      <c r="F360" s="212">
        <v>1</v>
      </c>
      <c r="G360" s="107" t="str">
        <f>VLOOKUP(TBLBAHANKELUAR[[#This Row],[KODE BAHAN]],[4]!TBLSIPKOREA[#Data],2,FALSE)</f>
        <v>SAOS SPAGHETI GRAM</v>
      </c>
      <c r="H360" s="214">
        <f>VLOOKUP(TBLBAHANKELUAR[[#This Row],[NAMA BAHAN]],TBLREKAPBAHAN[[NAMA BAHAN]:[MODAL SATUAN]],2,FALSE)</f>
        <v>12000</v>
      </c>
      <c r="I360" s="214">
        <f>VLOOKUP(TBLBAHANKELUAR[[#This Row],[NAMA BAHAN]],TBLREKAPBAHAN[[NAMA BAHAN]:[MODAL SATUAN]],3,FALSE)</f>
        <v>250</v>
      </c>
      <c r="J360" s="214">
        <f>VLOOKUP(TBLBAHANKELUAR[[#This Row],[NAMA BAHAN]],TBLREKAPBAHAN[[NAMA BAHAN]:[MODAL SATUAN]],4,FALSE)</f>
        <v>48</v>
      </c>
      <c r="K360" s="215">
        <f>VLOOKUP(TBLBAHANKELUAR[[#This Row],[KODE BAHAN]],[4]!TBLSIPKOREA[#Data],11,FALSE)</f>
        <v>130</v>
      </c>
      <c r="L360" s="215">
        <f>SUMIF(TBLPRODUKKELUARJULI[NAMA PRODUK],TBLBAHANKELUAR[[#This Row],[NAMA PRODUK]],TBLPRODUKKELUARJULI[JUMLAH TERJUAL])</f>
        <v>1</v>
      </c>
      <c r="M360" s="215">
        <f>TBLBAHANKELUAR[[#This Row],[KEB. BAHAN]]*TBLBAHANKELUAR[[#This Row],[JUMLAH KEB. BAHAN KELUAR]]</f>
        <v>130</v>
      </c>
      <c r="N360" s="214">
        <f>TBLBAHANKELUAR[[#This Row],[MODAL SATUAN]]*TBLBAHANKELUAR[[#This Row],[TOTAL BAHAN KELUAR]]</f>
        <v>6240</v>
      </c>
    </row>
    <row r="361" spans="1:14" x14ac:dyDescent="0.3">
      <c r="A361" s="103">
        <v>2026</v>
      </c>
      <c r="B361" s="211" t="s">
        <v>590</v>
      </c>
      <c r="C361" s="211"/>
      <c r="D361" s="211"/>
      <c r="E361" s="3" t="s">
        <v>389</v>
      </c>
      <c r="F361" s="212">
        <v>2</v>
      </c>
      <c r="G361" s="107" t="str">
        <f>VLOOKUP(TBLBAHANKELUAR[[#This Row],[KODE BAHAN]],[4]!TBLSIPKOREA[#Data],2,FALSE)</f>
        <v>SAOS TOMAT SACHET</v>
      </c>
      <c r="H361" s="214">
        <f>VLOOKUP(TBLBAHANKELUAR[[#This Row],[NAMA BAHAN]],TBLREKAPBAHAN[[NAMA BAHAN]:[MODAL SATUAN]],2,FALSE)</f>
        <v>7000</v>
      </c>
      <c r="I361" s="214">
        <f>VLOOKUP(TBLBAHANKELUAR[[#This Row],[NAMA BAHAN]],TBLREKAPBAHAN[[NAMA BAHAN]:[MODAL SATUAN]],3,FALSE)</f>
        <v>24</v>
      </c>
      <c r="J361" s="214">
        <f>VLOOKUP(TBLBAHANKELUAR[[#This Row],[NAMA BAHAN]],TBLREKAPBAHAN[[NAMA BAHAN]:[MODAL SATUAN]],4,FALSE)</f>
        <v>291.66666666666669</v>
      </c>
      <c r="K361" s="215">
        <f>VLOOKUP(TBLBAHANKELUAR[[#This Row],[KODE BAHAN]],[4]!TBLSIPKOREA[#Data],11,FALSE)</f>
        <v>4</v>
      </c>
      <c r="L361" s="215">
        <f>SUMIF(TBLPRODUKKELUARJULI[NAMA PRODUK],TBLBAHANKELUAR[[#This Row],[NAMA PRODUK]],TBLPRODUKKELUARJULI[JUMLAH TERJUAL])</f>
        <v>1</v>
      </c>
      <c r="M361" s="215">
        <f>TBLBAHANKELUAR[[#This Row],[KEB. BAHAN]]*TBLBAHANKELUAR[[#This Row],[JUMLAH KEB. BAHAN KELUAR]]</f>
        <v>4</v>
      </c>
      <c r="N361" s="214">
        <f>TBLBAHANKELUAR[[#This Row],[MODAL SATUAN]]*TBLBAHANKELUAR[[#This Row],[TOTAL BAHAN KELUAR]]</f>
        <v>1166.6666666666667</v>
      </c>
    </row>
    <row r="362" spans="1:14" x14ac:dyDescent="0.3">
      <c r="A362" s="103">
        <v>2026</v>
      </c>
      <c r="B362" s="211" t="s">
        <v>590</v>
      </c>
      <c r="C362" s="211"/>
      <c r="D362" s="211"/>
      <c r="E362" s="3" t="s">
        <v>389</v>
      </c>
      <c r="F362" s="212">
        <v>3</v>
      </c>
      <c r="G362" s="107" t="str">
        <f>VLOOKUP(TBLBAHANKELUAR[[#This Row],[KODE BAHAN]],[4]!TBLSIPKOREA[#Data],2,FALSE)</f>
        <v>SAOS SAMBAL SACHET</v>
      </c>
      <c r="H362" s="214">
        <f>VLOOKUP(TBLBAHANKELUAR[[#This Row],[NAMA BAHAN]],TBLREKAPBAHAN[[NAMA BAHAN]:[MODAL SATUAN]],2,FALSE)</f>
        <v>8000</v>
      </c>
      <c r="I362" s="214">
        <f>VLOOKUP(TBLBAHANKELUAR[[#This Row],[NAMA BAHAN]],TBLREKAPBAHAN[[NAMA BAHAN]:[MODAL SATUAN]],3,FALSE)</f>
        <v>24</v>
      </c>
      <c r="J362" s="214">
        <f>VLOOKUP(TBLBAHANKELUAR[[#This Row],[NAMA BAHAN]],TBLREKAPBAHAN[[NAMA BAHAN]:[MODAL SATUAN]],4,FALSE)</f>
        <v>333.33333333333331</v>
      </c>
      <c r="K362" s="215">
        <f>VLOOKUP(TBLBAHANKELUAR[[#This Row],[KODE BAHAN]],[4]!TBLSIPKOREA[#Data],11,FALSE)</f>
        <v>4</v>
      </c>
      <c r="L362" s="215">
        <f>SUMIF(TBLPRODUKKELUARJULI[NAMA PRODUK],TBLBAHANKELUAR[[#This Row],[NAMA PRODUK]],TBLPRODUKKELUARJULI[JUMLAH TERJUAL])</f>
        <v>1</v>
      </c>
      <c r="M362" s="215">
        <f>TBLBAHANKELUAR[[#This Row],[KEB. BAHAN]]*TBLBAHANKELUAR[[#This Row],[JUMLAH KEB. BAHAN KELUAR]]</f>
        <v>4</v>
      </c>
      <c r="N362" s="214">
        <f>TBLBAHANKELUAR[[#This Row],[MODAL SATUAN]]*TBLBAHANKELUAR[[#This Row],[TOTAL BAHAN KELUAR]]</f>
        <v>1333.3333333333333</v>
      </c>
    </row>
    <row r="363" spans="1:14" x14ac:dyDescent="0.3">
      <c r="A363" s="103">
        <v>2026</v>
      </c>
      <c r="B363" s="211" t="s">
        <v>590</v>
      </c>
      <c r="C363" s="211"/>
      <c r="D363" s="211"/>
      <c r="E363" s="3" t="s">
        <v>389</v>
      </c>
      <c r="F363" s="212">
        <v>4</v>
      </c>
      <c r="G363" s="107" t="str">
        <f>VLOOKUP(TBLBAHANKELUAR[[#This Row],[KODE BAHAN]],[4]!TBLSIPKOREA[#Data],2,FALSE)</f>
        <v>KEJU MOZZARELLA</v>
      </c>
      <c r="H363" s="214">
        <f>VLOOKUP(TBLBAHANKELUAR[[#This Row],[NAMA BAHAN]],TBLREKAPBAHAN[[NAMA BAHAN]:[MODAL SATUAN]],2,FALSE)</f>
        <v>90000</v>
      </c>
      <c r="I363" s="214">
        <f>VLOOKUP(TBLBAHANKELUAR[[#This Row],[NAMA BAHAN]],TBLREKAPBAHAN[[NAMA BAHAN]:[MODAL SATUAN]],3,FALSE)</f>
        <v>500</v>
      </c>
      <c r="J363" s="214">
        <f>VLOOKUP(TBLBAHANKELUAR[[#This Row],[NAMA BAHAN]],TBLREKAPBAHAN[[NAMA BAHAN]:[MODAL SATUAN]],4,FALSE)</f>
        <v>180</v>
      </c>
      <c r="K363" s="215">
        <f>VLOOKUP(TBLBAHANKELUAR[[#This Row],[KODE BAHAN]],[4]!TBLSIPKOREA[#Data],11,FALSE)</f>
        <v>130</v>
      </c>
      <c r="L363" s="215">
        <f>SUMIF(TBLPRODUKKELUARJULI[NAMA PRODUK],TBLBAHANKELUAR[[#This Row],[NAMA PRODUK]],TBLPRODUKKELUARJULI[JUMLAH TERJUAL])</f>
        <v>1</v>
      </c>
      <c r="M363" s="215">
        <f>TBLBAHANKELUAR[[#This Row],[KEB. BAHAN]]*TBLBAHANKELUAR[[#This Row],[JUMLAH KEB. BAHAN KELUAR]]</f>
        <v>130</v>
      </c>
      <c r="N363" s="214">
        <f>TBLBAHANKELUAR[[#This Row],[MODAL SATUAN]]*TBLBAHANKELUAR[[#This Row],[TOTAL BAHAN KELUAR]]</f>
        <v>23400</v>
      </c>
    </row>
    <row r="364" spans="1:14" x14ac:dyDescent="0.3">
      <c r="A364" s="103">
        <v>2026</v>
      </c>
      <c r="B364" s="211" t="s">
        <v>590</v>
      </c>
      <c r="C364" s="211"/>
      <c r="D364" s="211"/>
      <c r="E364" s="3" t="s">
        <v>389</v>
      </c>
      <c r="F364" s="212">
        <v>5</v>
      </c>
      <c r="G364" s="107" t="str">
        <f>VLOOKUP(TBLBAHANKELUAR[[#This Row],[KODE BAHAN]],[4]!TBLSIPKOREA[#Data],2,FALSE)</f>
        <v>SOSIZ BATANG</v>
      </c>
      <c r="H364" s="214">
        <f>VLOOKUP(TBLBAHANKELUAR[[#This Row],[NAMA BAHAN]],TBLREKAPBAHAN[[NAMA BAHAN]:[MODAL SATUAN]],2,FALSE)</f>
        <v>35000</v>
      </c>
      <c r="I364" s="214">
        <f>VLOOKUP(TBLBAHANKELUAR[[#This Row],[NAMA BAHAN]],TBLREKAPBAHAN[[NAMA BAHAN]:[MODAL SATUAN]],3,FALSE)</f>
        <v>38</v>
      </c>
      <c r="J364" s="214">
        <f>VLOOKUP(TBLBAHANKELUAR[[#This Row],[NAMA BAHAN]],TBLREKAPBAHAN[[NAMA BAHAN]:[MODAL SATUAN]],4,FALSE)</f>
        <v>921.0526315789474</v>
      </c>
      <c r="K364" s="215">
        <f>VLOOKUP(TBLBAHANKELUAR[[#This Row],[KODE BAHAN]],[4]!TBLSIPKOREA[#Data],11,FALSE)</f>
        <v>3</v>
      </c>
      <c r="L364" s="215">
        <f>SUMIF(TBLPRODUKKELUARJULI[NAMA PRODUK],TBLBAHANKELUAR[[#This Row],[NAMA PRODUK]],TBLPRODUKKELUARJULI[JUMLAH TERJUAL])</f>
        <v>1</v>
      </c>
      <c r="M364" s="215">
        <f>TBLBAHANKELUAR[[#This Row],[KEB. BAHAN]]*TBLBAHANKELUAR[[#This Row],[JUMLAH KEB. BAHAN KELUAR]]</f>
        <v>3</v>
      </c>
      <c r="N364" s="214">
        <f>TBLBAHANKELUAR[[#This Row],[MODAL SATUAN]]*TBLBAHANKELUAR[[#This Row],[TOTAL BAHAN KELUAR]]</f>
        <v>2763.1578947368421</v>
      </c>
    </row>
    <row r="365" spans="1:14" x14ac:dyDescent="0.3">
      <c r="A365" s="103">
        <v>2026</v>
      </c>
      <c r="B365" s="211" t="s">
        <v>590</v>
      </c>
      <c r="C365" s="211"/>
      <c r="D365" s="211"/>
      <c r="E365" s="3" t="s">
        <v>389</v>
      </c>
      <c r="F365" s="212">
        <v>6</v>
      </c>
      <c r="G365" s="107" t="str">
        <f>VLOOKUP(TBLBAHANKELUAR[[#This Row],[KODE BAHAN]],[4]!TBLSIPKOREA[#Data],2,FALSE)</f>
        <v>AYAM SUWIR</v>
      </c>
      <c r="H365" s="214">
        <f>VLOOKUP(TBLBAHANKELUAR[[#This Row],[NAMA BAHAN]],TBLREKAPBAHAN[[NAMA BAHAN]:[MODAL SATUAN]],2,FALSE)</f>
        <v>45000</v>
      </c>
      <c r="I365" s="214">
        <f>VLOOKUP(TBLBAHANKELUAR[[#This Row],[NAMA BAHAN]],TBLREKAPBAHAN[[NAMA BAHAN]:[MODAL SATUAN]],3,FALSE)</f>
        <v>400</v>
      </c>
      <c r="J365" s="214">
        <f>VLOOKUP(TBLBAHANKELUAR[[#This Row],[NAMA BAHAN]],TBLREKAPBAHAN[[NAMA BAHAN]:[MODAL SATUAN]],4,FALSE)</f>
        <v>112.5</v>
      </c>
      <c r="K365" s="215">
        <f>VLOOKUP(TBLBAHANKELUAR[[#This Row],[KODE BAHAN]],[4]!TBLSIPKOREA[#Data],11,FALSE)</f>
        <v>40</v>
      </c>
      <c r="L365" s="215">
        <f>SUMIF(TBLPRODUKKELUARJULI[NAMA PRODUK],TBLBAHANKELUAR[[#This Row],[NAMA PRODUK]],TBLPRODUKKELUARJULI[JUMLAH TERJUAL])</f>
        <v>1</v>
      </c>
      <c r="M365" s="215">
        <f>TBLBAHANKELUAR[[#This Row],[KEB. BAHAN]]*TBLBAHANKELUAR[[#This Row],[JUMLAH KEB. BAHAN KELUAR]]</f>
        <v>40</v>
      </c>
      <c r="N365" s="214">
        <f>TBLBAHANKELUAR[[#This Row],[MODAL SATUAN]]*TBLBAHANKELUAR[[#This Row],[TOTAL BAHAN KELUAR]]</f>
        <v>4500</v>
      </c>
    </row>
    <row r="366" spans="1:14" x14ac:dyDescent="0.3">
      <c r="A366" s="103">
        <v>2026</v>
      </c>
      <c r="B366" s="211" t="s">
        <v>590</v>
      </c>
      <c r="C366" s="211"/>
      <c r="D366" s="211"/>
      <c r="E366" s="3" t="s">
        <v>389</v>
      </c>
      <c r="F366" s="212">
        <v>7</v>
      </c>
      <c r="G366" s="107" t="str">
        <f>VLOOKUP(TBLBAHANKELUAR[[#This Row],[KODE BAHAN]],[4]!TBLSIPKOREA[#Data],2,FALSE)</f>
        <v>MENTEGA</v>
      </c>
      <c r="H366" s="214">
        <f>VLOOKUP(TBLBAHANKELUAR[[#This Row],[NAMA BAHAN]],TBLREKAPBAHAN[[NAMA BAHAN]:[MODAL SATUAN]],2,FALSE)</f>
        <v>35000</v>
      </c>
      <c r="I366" s="214">
        <f>VLOOKUP(TBLBAHANKELUAR[[#This Row],[NAMA BAHAN]],TBLREKAPBAHAN[[NAMA BAHAN]:[MODAL SATUAN]],3,FALSE)</f>
        <v>1000</v>
      </c>
      <c r="J366" s="214">
        <f>VLOOKUP(TBLBAHANKELUAR[[#This Row],[NAMA BAHAN]],TBLREKAPBAHAN[[NAMA BAHAN]:[MODAL SATUAN]],4,FALSE)</f>
        <v>35</v>
      </c>
      <c r="K366" s="215">
        <f>VLOOKUP(TBLBAHANKELUAR[[#This Row],[KODE BAHAN]],[4]!TBLSIPKOREA[#Data],11,FALSE)</f>
        <v>35</v>
      </c>
      <c r="L366" s="215">
        <f>SUMIF(TBLPRODUKKELUARJULI[NAMA PRODUK],TBLBAHANKELUAR[[#This Row],[NAMA PRODUK]],TBLPRODUKKELUARJULI[JUMLAH TERJUAL])</f>
        <v>1</v>
      </c>
      <c r="M366" s="215">
        <f>TBLBAHANKELUAR[[#This Row],[KEB. BAHAN]]*TBLBAHANKELUAR[[#This Row],[JUMLAH KEB. BAHAN KELUAR]]</f>
        <v>35</v>
      </c>
      <c r="N366" s="214">
        <f>TBLBAHANKELUAR[[#This Row],[MODAL SATUAN]]*TBLBAHANKELUAR[[#This Row],[TOTAL BAHAN KELUAR]]</f>
        <v>1225</v>
      </c>
    </row>
    <row r="367" spans="1:14" x14ac:dyDescent="0.3">
      <c r="A367" s="103">
        <v>2026</v>
      </c>
      <c r="B367" s="211" t="s">
        <v>590</v>
      </c>
      <c r="C367" s="211"/>
      <c r="D367" s="211"/>
      <c r="E367" s="3" t="s">
        <v>389</v>
      </c>
      <c r="F367" s="212">
        <v>8</v>
      </c>
      <c r="G367" s="107" t="str">
        <f>VLOOKUP(TBLBAHANKELUAR[[#This Row],[KODE BAHAN]],[4]!TBLSIPKOREA[#Data],2,FALSE)</f>
        <v>GULA PASIR</v>
      </c>
      <c r="H367" s="214">
        <f>VLOOKUP(TBLBAHANKELUAR[[#This Row],[NAMA BAHAN]],TBLREKAPBAHAN[[NAMA BAHAN]:[MODAL SATUAN]],2,FALSE)</f>
        <v>18000</v>
      </c>
      <c r="I367" s="214">
        <f>VLOOKUP(TBLBAHANKELUAR[[#This Row],[NAMA BAHAN]],TBLREKAPBAHAN[[NAMA BAHAN]:[MODAL SATUAN]],3,FALSE)</f>
        <v>1000</v>
      </c>
      <c r="J367" s="214">
        <f>VLOOKUP(TBLBAHANKELUAR[[#This Row],[NAMA BAHAN]],TBLREKAPBAHAN[[NAMA BAHAN]:[MODAL SATUAN]],4,FALSE)</f>
        <v>18</v>
      </c>
      <c r="K367" s="215">
        <f>VLOOKUP(TBLBAHANKELUAR[[#This Row],[KODE BAHAN]],[4]!TBLSIPKOREA[#Data],11,FALSE)</f>
        <v>27</v>
      </c>
      <c r="L367" s="215">
        <f>SUMIF(TBLPRODUKKELUARJULI[NAMA PRODUK],TBLBAHANKELUAR[[#This Row],[NAMA PRODUK]],TBLPRODUKKELUARJULI[JUMLAH TERJUAL])</f>
        <v>1</v>
      </c>
      <c r="M367" s="215">
        <f>TBLBAHANKELUAR[[#This Row],[KEB. BAHAN]]*TBLBAHANKELUAR[[#This Row],[JUMLAH KEB. BAHAN KELUAR]]</f>
        <v>27</v>
      </c>
      <c r="N367" s="214">
        <f>TBLBAHANKELUAR[[#This Row],[MODAL SATUAN]]*TBLBAHANKELUAR[[#This Row],[TOTAL BAHAN KELUAR]]</f>
        <v>486</v>
      </c>
    </row>
    <row r="368" spans="1:14" x14ac:dyDescent="0.3">
      <c r="A368" s="103">
        <v>2026</v>
      </c>
      <c r="B368" s="211" t="s">
        <v>590</v>
      </c>
      <c r="C368" s="211"/>
      <c r="D368" s="211"/>
      <c r="E368" s="3" t="s">
        <v>389</v>
      </c>
      <c r="F368" s="212">
        <v>9</v>
      </c>
      <c r="G368" s="107" t="str">
        <f>VLOOKUP(TBLBAHANKELUAR[[#This Row],[KODE BAHAN]],[4]!TBLSIPKOREA[#Data],2,FALSE)</f>
        <v>GARAM HALUS</v>
      </c>
      <c r="H368" s="214">
        <f>VLOOKUP(TBLBAHANKELUAR[[#This Row],[NAMA BAHAN]],TBLREKAPBAHAN[[NAMA BAHAN]:[MODAL SATUAN]],2,FALSE)</f>
        <v>4000</v>
      </c>
      <c r="I368" s="214">
        <f>VLOOKUP(TBLBAHANKELUAR[[#This Row],[NAMA BAHAN]],TBLREKAPBAHAN[[NAMA BAHAN]:[MODAL SATUAN]],3,FALSE)</f>
        <v>250</v>
      </c>
      <c r="J368" s="214">
        <f>VLOOKUP(TBLBAHANKELUAR[[#This Row],[NAMA BAHAN]],TBLREKAPBAHAN[[NAMA BAHAN]:[MODAL SATUAN]],4,FALSE)</f>
        <v>16</v>
      </c>
      <c r="K368" s="215">
        <f>VLOOKUP(TBLBAHANKELUAR[[#This Row],[KODE BAHAN]],[4]!TBLSIPKOREA[#Data],11,FALSE)</f>
        <v>10</v>
      </c>
      <c r="L368" s="215">
        <f>SUMIF(TBLPRODUKKELUARJULI[NAMA PRODUK],TBLBAHANKELUAR[[#This Row],[NAMA PRODUK]],TBLPRODUKKELUARJULI[JUMLAH TERJUAL])</f>
        <v>1</v>
      </c>
      <c r="M368" s="215">
        <f>TBLBAHANKELUAR[[#This Row],[KEB. BAHAN]]*TBLBAHANKELUAR[[#This Row],[JUMLAH KEB. BAHAN KELUAR]]</f>
        <v>10</v>
      </c>
      <c r="N368" s="214">
        <f>TBLBAHANKELUAR[[#This Row],[MODAL SATUAN]]*TBLBAHANKELUAR[[#This Row],[TOTAL BAHAN KELUAR]]</f>
        <v>160</v>
      </c>
    </row>
    <row r="369" spans="1:14" x14ac:dyDescent="0.3">
      <c r="A369" s="103">
        <v>2026</v>
      </c>
      <c r="B369" s="211" t="s">
        <v>590</v>
      </c>
      <c r="C369" s="211"/>
      <c r="D369" s="211"/>
      <c r="E369" s="3" t="s">
        <v>389</v>
      </c>
      <c r="F369" s="212">
        <v>10</v>
      </c>
      <c r="G369" s="107" t="str">
        <f>VLOOKUP(TBLBAHANKELUAR[[#This Row],[KODE BAHAN]],[4]!TBLSIPKOREA[#Data],2,FALSE)</f>
        <v>VERMIPAN</v>
      </c>
      <c r="H369" s="214">
        <f>VLOOKUP(TBLBAHANKELUAR[[#This Row],[NAMA BAHAN]],TBLREKAPBAHAN[[NAMA BAHAN]:[MODAL SATUAN]],2,FALSE)</f>
        <v>7000</v>
      </c>
      <c r="I369" s="214">
        <f>VLOOKUP(TBLBAHANKELUAR[[#This Row],[NAMA BAHAN]],TBLREKAPBAHAN[[NAMA BAHAN]:[MODAL SATUAN]],3,FALSE)</f>
        <v>11</v>
      </c>
      <c r="J369" s="214">
        <f>VLOOKUP(TBLBAHANKELUAR[[#This Row],[NAMA BAHAN]],TBLREKAPBAHAN[[NAMA BAHAN]:[MODAL SATUAN]],4,FALSE)</f>
        <v>636.36363636363637</v>
      </c>
      <c r="K369" s="215">
        <f>VLOOKUP(TBLBAHANKELUAR[[#This Row],[KODE BAHAN]],[4]!TBLSIPKOREA[#Data],11,FALSE)</f>
        <v>7</v>
      </c>
      <c r="L369" s="215">
        <f>SUMIF(TBLPRODUKKELUARJULI[NAMA PRODUK],TBLBAHANKELUAR[[#This Row],[NAMA PRODUK]],TBLPRODUKKELUARJULI[JUMLAH TERJUAL])</f>
        <v>1</v>
      </c>
      <c r="M369" s="215">
        <f>TBLBAHANKELUAR[[#This Row],[KEB. BAHAN]]*TBLBAHANKELUAR[[#This Row],[JUMLAH KEB. BAHAN KELUAR]]</f>
        <v>7</v>
      </c>
      <c r="N369" s="214">
        <f>TBLBAHANKELUAR[[#This Row],[MODAL SATUAN]]*TBLBAHANKELUAR[[#This Row],[TOTAL BAHAN KELUAR]]</f>
        <v>4454.545454545455</v>
      </c>
    </row>
    <row r="370" spans="1:14" x14ac:dyDescent="0.3">
      <c r="A370" s="103">
        <v>2026</v>
      </c>
      <c r="B370" s="211" t="s">
        <v>590</v>
      </c>
      <c r="C370" s="211"/>
      <c r="D370" s="211"/>
      <c r="E370" s="3" t="s">
        <v>389</v>
      </c>
      <c r="F370" s="212">
        <v>11</v>
      </c>
      <c r="G370" s="107" t="str">
        <f>VLOOKUP(TBLBAHANKELUAR[[#This Row],[KODE BAHAN]],[4]!TBLSIPKOREA[#Data],2,FALSE)</f>
        <v>SUSU BUBUK</v>
      </c>
      <c r="H370" s="214">
        <f>VLOOKUP(TBLBAHANKELUAR[[#This Row],[NAMA BAHAN]],TBLREKAPBAHAN[[NAMA BAHAN]:[MODAL SATUAN]],2,FALSE)</f>
        <v>18000</v>
      </c>
      <c r="I370" s="214">
        <f>VLOOKUP(TBLBAHANKELUAR[[#This Row],[NAMA BAHAN]],TBLREKAPBAHAN[[NAMA BAHAN]:[MODAL SATUAN]],3,FALSE)</f>
        <v>250</v>
      </c>
      <c r="J370" s="214">
        <f>VLOOKUP(TBLBAHANKELUAR[[#This Row],[NAMA BAHAN]],TBLREKAPBAHAN[[NAMA BAHAN]:[MODAL SATUAN]],4,FALSE)</f>
        <v>72</v>
      </c>
      <c r="K370" s="215">
        <f>VLOOKUP(TBLBAHANKELUAR[[#This Row],[KODE BAHAN]],[4]!TBLSIPKOREA[#Data],11,FALSE)</f>
        <v>30</v>
      </c>
      <c r="L370" s="215">
        <f>SUMIF(TBLPRODUKKELUARJULI[NAMA PRODUK],TBLBAHANKELUAR[[#This Row],[NAMA PRODUK]],TBLPRODUKKELUARJULI[JUMLAH TERJUAL])</f>
        <v>1</v>
      </c>
      <c r="M370" s="215">
        <f>TBLBAHANKELUAR[[#This Row],[KEB. BAHAN]]*TBLBAHANKELUAR[[#This Row],[JUMLAH KEB. BAHAN KELUAR]]</f>
        <v>30</v>
      </c>
      <c r="N370" s="214">
        <f>TBLBAHANKELUAR[[#This Row],[MODAL SATUAN]]*TBLBAHANKELUAR[[#This Row],[TOTAL BAHAN KELUAR]]</f>
        <v>2160</v>
      </c>
    </row>
    <row r="371" spans="1:14" x14ac:dyDescent="0.3">
      <c r="A371" s="103">
        <v>2026</v>
      </c>
      <c r="B371" s="211" t="s">
        <v>590</v>
      </c>
      <c r="C371" s="211"/>
      <c r="D371" s="211"/>
      <c r="E371" s="3" t="s">
        <v>389</v>
      </c>
      <c r="F371" s="212">
        <v>12</v>
      </c>
      <c r="G371" s="107" t="str">
        <f>VLOOKUP(TBLBAHANKELUAR[[#This Row],[KODE BAHAN]],[4]!TBLSIPKOREA[#Data],2,FALSE)</f>
        <v>TEPUNG SEGITIGA BIRU</v>
      </c>
      <c r="H371" s="214">
        <f>VLOOKUP(TBLBAHANKELUAR[[#This Row],[NAMA BAHAN]],TBLREKAPBAHAN[[NAMA BAHAN]:[MODAL SATUAN]],2,FALSE)</f>
        <v>14000</v>
      </c>
      <c r="I371" s="214">
        <f>VLOOKUP(TBLBAHANKELUAR[[#This Row],[NAMA BAHAN]],TBLREKAPBAHAN[[NAMA BAHAN]:[MODAL SATUAN]],3,FALSE)</f>
        <v>1000</v>
      </c>
      <c r="J371" s="214">
        <f>VLOOKUP(TBLBAHANKELUAR[[#This Row],[NAMA BAHAN]],TBLREKAPBAHAN[[NAMA BAHAN]:[MODAL SATUAN]],4,FALSE)</f>
        <v>14</v>
      </c>
      <c r="K371" s="215">
        <f>VLOOKUP(TBLBAHANKELUAR[[#This Row],[KODE BAHAN]],[4]!TBLSIPKOREA[#Data],11,FALSE)</f>
        <v>60</v>
      </c>
      <c r="L371" s="215">
        <f>SUMIF(TBLPRODUKKELUARJULI[NAMA PRODUK],TBLBAHANKELUAR[[#This Row],[NAMA PRODUK]],TBLPRODUKKELUARJULI[JUMLAH TERJUAL])</f>
        <v>1</v>
      </c>
      <c r="M371" s="215">
        <f>TBLBAHANKELUAR[[#This Row],[KEB. BAHAN]]*TBLBAHANKELUAR[[#This Row],[JUMLAH KEB. BAHAN KELUAR]]</f>
        <v>60</v>
      </c>
      <c r="N371" s="214">
        <f>TBLBAHANKELUAR[[#This Row],[MODAL SATUAN]]*TBLBAHANKELUAR[[#This Row],[TOTAL BAHAN KELUAR]]</f>
        <v>840</v>
      </c>
    </row>
    <row r="372" spans="1:14" x14ac:dyDescent="0.3">
      <c r="A372" s="103">
        <v>2026</v>
      </c>
      <c r="B372" s="211" t="s">
        <v>590</v>
      </c>
      <c r="C372" s="211"/>
      <c r="D372" s="211"/>
      <c r="E372" s="3" t="s">
        <v>389</v>
      </c>
      <c r="F372" s="212">
        <v>13</v>
      </c>
      <c r="G372" s="107" t="str">
        <f>VLOOKUP(TBLBAHANKELUAR[[#This Row],[KODE BAHAN]],[4]!TBLSIPKOREA[#Data],2,FALSE)</f>
        <v>TEPUNG CAKRA KEMBAR</v>
      </c>
      <c r="H372" s="214">
        <f>VLOOKUP(TBLBAHANKELUAR[[#This Row],[NAMA BAHAN]],TBLREKAPBAHAN[[NAMA BAHAN]:[MODAL SATUAN]],2,FALSE)</f>
        <v>14000</v>
      </c>
      <c r="I372" s="214">
        <f>VLOOKUP(TBLBAHANKELUAR[[#This Row],[NAMA BAHAN]],TBLREKAPBAHAN[[NAMA BAHAN]:[MODAL SATUAN]],3,FALSE)</f>
        <v>1000</v>
      </c>
      <c r="J372" s="214">
        <f>VLOOKUP(TBLBAHANKELUAR[[#This Row],[NAMA BAHAN]],TBLREKAPBAHAN[[NAMA BAHAN]:[MODAL SATUAN]],4,FALSE)</f>
        <v>14</v>
      </c>
      <c r="K372" s="215">
        <f>VLOOKUP(TBLBAHANKELUAR[[#This Row],[KODE BAHAN]],[4]!TBLSIPKOREA[#Data],11,FALSE)</f>
        <v>120</v>
      </c>
      <c r="L372" s="215">
        <f>SUMIF(TBLPRODUKKELUARJULI[NAMA PRODUK],TBLBAHANKELUAR[[#This Row],[NAMA PRODUK]],TBLPRODUKKELUARJULI[JUMLAH TERJUAL])</f>
        <v>1</v>
      </c>
      <c r="M372" s="215">
        <f>TBLBAHANKELUAR[[#This Row],[KEB. BAHAN]]*TBLBAHANKELUAR[[#This Row],[JUMLAH KEB. BAHAN KELUAR]]</f>
        <v>120</v>
      </c>
      <c r="N372" s="214">
        <f>TBLBAHANKELUAR[[#This Row],[MODAL SATUAN]]*TBLBAHANKELUAR[[#This Row],[TOTAL BAHAN KELUAR]]</f>
        <v>1680</v>
      </c>
    </row>
    <row r="373" spans="1:14" x14ac:dyDescent="0.3">
      <c r="A373" s="103">
        <v>2026</v>
      </c>
      <c r="B373" s="211" t="s">
        <v>590</v>
      </c>
      <c r="C373" s="211"/>
      <c r="D373" s="211"/>
      <c r="E373" s="3" t="s">
        <v>389</v>
      </c>
      <c r="F373" s="212">
        <v>14</v>
      </c>
      <c r="G373" s="107" t="str">
        <f>VLOOKUP(TBLBAHANKELUAR[[#This Row],[KODE BAHAN]],[4]!TBLSIPKOREA[#Data],2,FALSE)</f>
        <v>BASIL</v>
      </c>
      <c r="H373" s="214">
        <f>VLOOKUP(TBLBAHANKELUAR[[#This Row],[NAMA BAHAN]],TBLREKAPBAHAN[[NAMA BAHAN]:[MODAL SATUAN]],2,FALSE)</f>
        <v>30000</v>
      </c>
      <c r="I373" s="214">
        <f>VLOOKUP(TBLBAHANKELUAR[[#This Row],[NAMA BAHAN]],TBLREKAPBAHAN[[NAMA BAHAN]:[MODAL SATUAN]],3,FALSE)</f>
        <v>30</v>
      </c>
      <c r="J373" s="214">
        <f>VLOOKUP(TBLBAHANKELUAR[[#This Row],[NAMA BAHAN]],TBLREKAPBAHAN[[NAMA BAHAN]:[MODAL SATUAN]],4,FALSE)</f>
        <v>1000</v>
      </c>
      <c r="K373" s="215">
        <f>VLOOKUP(TBLBAHANKELUAR[[#This Row],[KODE BAHAN]],[4]!TBLSIPKOREA[#Data],11,FALSE)</f>
        <v>3</v>
      </c>
      <c r="L373" s="215">
        <f>SUMIF(TBLPRODUKKELUARJULI[NAMA PRODUK],TBLBAHANKELUAR[[#This Row],[NAMA PRODUK]],TBLPRODUKKELUARJULI[JUMLAH TERJUAL])</f>
        <v>1</v>
      </c>
      <c r="M373" s="215">
        <f>TBLBAHANKELUAR[[#This Row],[KEB. BAHAN]]*TBLBAHANKELUAR[[#This Row],[JUMLAH KEB. BAHAN KELUAR]]</f>
        <v>3</v>
      </c>
      <c r="N373" s="214">
        <f>TBLBAHANKELUAR[[#This Row],[MODAL SATUAN]]*TBLBAHANKELUAR[[#This Row],[TOTAL BAHAN KELUAR]]</f>
        <v>3000</v>
      </c>
    </row>
    <row r="374" spans="1:14" x14ac:dyDescent="0.3">
      <c r="A374" s="103">
        <v>2026</v>
      </c>
      <c r="B374" s="211" t="s">
        <v>590</v>
      </c>
      <c r="C374" s="211"/>
      <c r="D374" s="211"/>
      <c r="E374" s="3" t="s">
        <v>389</v>
      </c>
      <c r="F374" s="212">
        <v>15</v>
      </c>
      <c r="G374" s="107" t="str">
        <f>VLOOKUP(TBLBAHANKELUAR[[#This Row],[KODE BAHAN]],[4]!TBLSIPKOREA[#Data],2,FALSE)</f>
        <v>KALDU JAMUR</v>
      </c>
      <c r="H374" s="214">
        <f>VLOOKUP(TBLBAHANKELUAR[[#This Row],[NAMA BAHAN]],TBLREKAPBAHAN[[NAMA BAHAN]:[MODAL SATUAN]],2,FALSE)</f>
        <v>15000</v>
      </c>
      <c r="I374" s="214">
        <f>VLOOKUP(TBLBAHANKELUAR[[#This Row],[NAMA BAHAN]],TBLREKAPBAHAN[[NAMA BAHAN]:[MODAL SATUAN]],3,FALSE)</f>
        <v>80</v>
      </c>
      <c r="J374" s="214">
        <f>VLOOKUP(TBLBAHANKELUAR[[#This Row],[NAMA BAHAN]],TBLREKAPBAHAN[[NAMA BAHAN]:[MODAL SATUAN]],4,FALSE)</f>
        <v>187.5</v>
      </c>
      <c r="K374" s="215">
        <f>VLOOKUP(TBLBAHANKELUAR[[#This Row],[KODE BAHAN]],[4]!TBLSIPKOREA[#Data],11,FALSE)</f>
        <v>6</v>
      </c>
      <c r="L374" s="215">
        <f>SUMIF(TBLPRODUKKELUARJULI[NAMA PRODUK],TBLBAHANKELUAR[[#This Row],[NAMA PRODUK]],TBLPRODUKKELUARJULI[JUMLAH TERJUAL])</f>
        <v>1</v>
      </c>
      <c r="M374" s="215">
        <f>TBLBAHANKELUAR[[#This Row],[KEB. BAHAN]]*TBLBAHANKELUAR[[#This Row],[JUMLAH KEB. BAHAN KELUAR]]</f>
        <v>6</v>
      </c>
      <c r="N374" s="214">
        <f>TBLBAHANKELUAR[[#This Row],[MODAL SATUAN]]*TBLBAHANKELUAR[[#This Row],[TOTAL BAHAN KELUAR]]</f>
        <v>1125</v>
      </c>
    </row>
    <row r="375" spans="1:14" x14ac:dyDescent="0.3">
      <c r="A375" s="103">
        <v>2026</v>
      </c>
      <c r="B375" s="211" t="s">
        <v>590</v>
      </c>
      <c r="C375" s="211"/>
      <c r="D375" s="211"/>
      <c r="E375" s="3" t="s">
        <v>389</v>
      </c>
      <c r="F375" s="212">
        <v>16</v>
      </c>
      <c r="G375" s="107" t="str">
        <f>VLOOKUP(TBLBAHANKELUAR[[#This Row],[KODE BAHAN]],[4]!TBLSIPKOREA[#Data],2,FALSE)</f>
        <v>BAWANG BOMBAY</v>
      </c>
      <c r="H375" s="214">
        <f>VLOOKUP(TBLBAHANKELUAR[[#This Row],[NAMA BAHAN]],TBLREKAPBAHAN[[NAMA BAHAN]:[MODAL SATUAN]],2,FALSE)</f>
        <v>5000</v>
      </c>
      <c r="I375" s="214">
        <f>VLOOKUP(TBLBAHANKELUAR[[#This Row],[NAMA BAHAN]],TBLREKAPBAHAN[[NAMA BAHAN]:[MODAL SATUAN]],3,FALSE)</f>
        <v>8</v>
      </c>
      <c r="J375" s="214">
        <f>VLOOKUP(TBLBAHANKELUAR[[#This Row],[NAMA BAHAN]],TBLREKAPBAHAN[[NAMA BAHAN]:[MODAL SATUAN]],4,FALSE)</f>
        <v>625</v>
      </c>
      <c r="K375" s="215">
        <f>VLOOKUP(TBLBAHANKELUAR[[#This Row],[KODE BAHAN]],[4]!TBLSIPKOREA[#Data],11,FALSE)</f>
        <v>3</v>
      </c>
      <c r="L375" s="215">
        <f>SUMIF(TBLPRODUKKELUARJULI[NAMA PRODUK],TBLBAHANKELUAR[[#This Row],[NAMA PRODUK]],TBLPRODUKKELUARJULI[JUMLAH TERJUAL])</f>
        <v>1</v>
      </c>
      <c r="M375" s="215">
        <f>TBLBAHANKELUAR[[#This Row],[KEB. BAHAN]]*TBLBAHANKELUAR[[#This Row],[JUMLAH KEB. BAHAN KELUAR]]</f>
        <v>3</v>
      </c>
      <c r="N375" s="214">
        <f>TBLBAHANKELUAR[[#This Row],[MODAL SATUAN]]*TBLBAHANKELUAR[[#This Row],[TOTAL BAHAN KELUAR]]</f>
        <v>1875</v>
      </c>
    </row>
    <row r="376" spans="1:14" x14ac:dyDescent="0.3">
      <c r="A376" s="103">
        <v>2026</v>
      </c>
      <c r="B376" s="211" t="s">
        <v>590</v>
      </c>
      <c r="C376" s="211"/>
      <c r="D376" s="211"/>
      <c r="E376" s="3" t="s">
        <v>389</v>
      </c>
      <c r="F376" s="212">
        <v>17</v>
      </c>
      <c r="G376" s="107" t="str">
        <f>VLOOKUP(TBLBAHANKELUAR[[#This Row],[KODE BAHAN]],[4]!TBLSIPKOREA[#Data],2,FALSE)</f>
        <v>ABON</v>
      </c>
      <c r="H376" s="214">
        <f>VLOOKUP(TBLBAHANKELUAR[[#This Row],[NAMA BAHAN]],TBLREKAPBAHAN[[NAMA BAHAN]:[MODAL SATUAN]],2,FALSE)</f>
        <v>25000</v>
      </c>
      <c r="I376" s="214">
        <f>VLOOKUP(TBLBAHANKELUAR[[#This Row],[NAMA BAHAN]],TBLREKAPBAHAN[[NAMA BAHAN]:[MODAL SATUAN]],3,FALSE)</f>
        <v>100</v>
      </c>
      <c r="J376" s="214">
        <f>VLOOKUP(TBLBAHANKELUAR[[#This Row],[NAMA BAHAN]],TBLREKAPBAHAN[[NAMA BAHAN]:[MODAL SATUAN]],4,FALSE)</f>
        <v>250</v>
      </c>
      <c r="K376" s="215">
        <f>VLOOKUP(TBLBAHANKELUAR[[#This Row],[KODE BAHAN]],[4]!TBLSIPKOREA[#Data],11,FALSE)</f>
        <v>0</v>
      </c>
      <c r="L376" s="215">
        <f>SUMIF(TBLPRODUKKELUARJULI[NAMA PRODUK],TBLBAHANKELUAR[[#This Row],[NAMA PRODUK]],TBLPRODUKKELUARJULI[JUMLAH TERJUAL])</f>
        <v>1</v>
      </c>
      <c r="M376" s="215">
        <f>TBLBAHANKELUAR[[#This Row],[KEB. BAHAN]]*TBLBAHANKELUAR[[#This Row],[JUMLAH KEB. BAHAN KELUAR]]</f>
        <v>0</v>
      </c>
      <c r="N376" s="214">
        <f>TBLBAHANKELUAR[[#This Row],[MODAL SATUAN]]*TBLBAHANKELUAR[[#This Row],[TOTAL BAHAN KELUAR]]</f>
        <v>0</v>
      </c>
    </row>
    <row r="377" spans="1:14" x14ac:dyDescent="0.3">
      <c r="A377" s="103">
        <v>2026</v>
      </c>
      <c r="B377" s="211" t="s">
        <v>590</v>
      </c>
      <c r="C377" s="211"/>
      <c r="D377" s="211"/>
      <c r="E377" s="3" t="s">
        <v>389</v>
      </c>
      <c r="F377" s="212">
        <v>18</v>
      </c>
      <c r="G377" s="107" t="str">
        <f>VLOOKUP(TBLBAHANKELUAR[[#This Row],[KODE BAHAN]],[4]!TBLSIPKOREA[#Data],2,FALSE)</f>
        <v>JAMUR</v>
      </c>
      <c r="H377" s="214">
        <f>VLOOKUP(TBLBAHANKELUAR[[#This Row],[NAMA BAHAN]],TBLREKAPBAHAN[[NAMA BAHAN]:[MODAL SATUAN]],2,FALSE)</f>
        <v>2000</v>
      </c>
      <c r="I377" s="214">
        <f>VLOOKUP(TBLBAHANKELUAR[[#This Row],[NAMA BAHAN]],TBLREKAPBAHAN[[NAMA BAHAN]:[MODAL SATUAN]],3,FALSE)</f>
        <v>10</v>
      </c>
      <c r="J377" s="214">
        <f>VLOOKUP(TBLBAHANKELUAR[[#This Row],[NAMA BAHAN]],TBLREKAPBAHAN[[NAMA BAHAN]:[MODAL SATUAN]],4,FALSE)</f>
        <v>200</v>
      </c>
      <c r="K377" s="215">
        <f>VLOOKUP(TBLBAHANKELUAR[[#This Row],[KODE BAHAN]],[4]!TBLSIPKOREA[#Data],11,FALSE)</f>
        <v>6</v>
      </c>
      <c r="L377" s="215">
        <f>SUMIF(TBLPRODUKKELUARJULI[NAMA PRODUK],TBLBAHANKELUAR[[#This Row],[NAMA PRODUK]],TBLPRODUKKELUARJULI[JUMLAH TERJUAL])</f>
        <v>1</v>
      </c>
      <c r="M377" s="215">
        <f>TBLBAHANKELUAR[[#This Row],[KEB. BAHAN]]*TBLBAHANKELUAR[[#This Row],[JUMLAH KEB. BAHAN KELUAR]]</f>
        <v>6</v>
      </c>
      <c r="N377" s="214">
        <f>TBLBAHANKELUAR[[#This Row],[MODAL SATUAN]]*TBLBAHANKELUAR[[#This Row],[TOTAL BAHAN KELUAR]]</f>
        <v>1200</v>
      </c>
    </row>
    <row r="378" spans="1:14" x14ac:dyDescent="0.3">
      <c r="A378" s="103">
        <v>2026</v>
      </c>
      <c r="B378" s="211" t="s">
        <v>590</v>
      </c>
      <c r="C378" s="211"/>
      <c r="D378" s="211"/>
      <c r="E378" s="3" t="s">
        <v>389</v>
      </c>
      <c r="F378" s="212">
        <v>19</v>
      </c>
      <c r="G378" s="107" t="str">
        <f>VLOOKUP(TBLBAHANKELUAR[[#This Row],[KODE BAHAN]],[4]!TBLSIPKOREA[#Data],2,FALSE)</f>
        <v>JAGUNG</v>
      </c>
      <c r="H378" s="214">
        <f>VLOOKUP(TBLBAHANKELUAR[[#This Row],[NAMA BAHAN]],TBLREKAPBAHAN[[NAMA BAHAN]:[MODAL SATUAN]],2,FALSE)</f>
        <v>3000</v>
      </c>
      <c r="I378" s="214">
        <f>VLOOKUP(TBLBAHANKELUAR[[#This Row],[NAMA BAHAN]],TBLREKAPBAHAN[[NAMA BAHAN]:[MODAL SATUAN]],3,FALSE)</f>
        <v>2</v>
      </c>
      <c r="J378" s="214">
        <f>VLOOKUP(TBLBAHANKELUAR[[#This Row],[NAMA BAHAN]],TBLREKAPBAHAN[[NAMA BAHAN]:[MODAL SATUAN]],4,FALSE)</f>
        <v>1500</v>
      </c>
      <c r="K378" s="215">
        <f>VLOOKUP(TBLBAHANKELUAR[[#This Row],[KODE BAHAN]],[4]!TBLSIPKOREA[#Data],11,FALSE)</f>
        <v>1</v>
      </c>
      <c r="L378" s="215">
        <f>SUMIF(TBLPRODUKKELUARJULI[NAMA PRODUK],TBLBAHANKELUAR[[#This Row],[NAMA PRODUK]],TBLPRODUKKELUARJULI[JUMLAH TERJUAL])</f>
        <v>1</v>
      </c>
      <c r="M378" s="215">
        <f>TBLBAHANKELUAR[[#This Row],[KEB. BAHAN]]*TBLBAHANKELUAR[[#This Row],[JUMLAH KEB. BAHAN KELUAR]]</f>
        <v>1</v>
      </c>
      <c r="N378" s="214">
        <f>TBLBAHANKELUAR[[#This Row],[MODAL SATUAN]]*TBLBAHANKELUAR[[#This Row],[TOTAL BAHAN KELUAR]]</f>
        <v>1500</v>
      </c>
    </row>
    <row r="379" spans="1:14" x14ac:dyDescent="0.3">
      <c r="A379" s="103">
        <v>2026</v>
      </c>
      <c r="B379" s="211" t="s">
        <v>590</v>
      </c>
      <c r="C379" s="211"/>
      <c r="D379" s="211"/>
      <c r="E379" s="3" t="s">
        <v>389</v>
      </c>
      <c r="F379" s="212">
        <v>20</v>
      </c>
      <c r="G379" s="107" t="str">
        <f>VLOOKUP(TBLBAHANKELUAR[[#This Row],[KODE BAHAN]],[4]!TBLSIPKOREA[#Data],2,FALSE)</f>
        <v>UDANG</v>
      </c>
      <c r="H379" s="214">
        <f>VLOOKUP(TBLBAHANKELUAR[[#This Row],[NAMA BAHAN]],TBLREKAPBAHAN[[NAMA BAHAN]:[MODAL SATUAN]],2,FALSE)</f>
        <v>9000</v>
      </c>
      <c r="I379" s="214">
        <f>VLOOKUP(TBLBAHANKELUAR[[#This Row],[NAMA BAHAN]],TBLREKAPBAHAN[[NAMA BAHAN]:[MODAL SATUAN]],3,FALSE)</f>
        <v>10</v>
      </c>
      <c r="J379" s="214">
        <f>VLOOKUP(TBLBAHANKELUAR[[#This Row],[NAMA BAHAN]],TBLREKAPBAHAN[[NAMA BAHAN]:[MODAL SATUAN]],4,FALSE)</f>
        <v>900</v>
      </c>
      <c r="K379" s="215">
        <f>VLOOKUP(TBLBAHANKELUAR[[#This Row],[KODE BAHAN]],[4]!TBLSIPKOREA[#Data],11,FALSE)</f>
        <v>7</v>
      </c>
      <c r="L379" s="215">
        <f>SUMIF(TBLPRODUKKELUARJULI[NAMA PRODUK],TBLBAHANKELUAR[[#This Row],[NAMA PRODUK]],TBLPRODUKKELUARJULI[JUMLAH TERJUAL])</f>
        <v>1</v>
      </c>
      <c r="M379" s="215">
        <f>TBLBAHANKELUAR[[#This Row],[KEB. BAHAN]]*TBLBAHANKELUAR[[#This Row],[JUMLAH KEB. BAHAN KELUAR]]</f>
        <v>7</v>
      </c>
      <c r="N379" s="214">
        <f>TBLBAHANKELUAR[[#This Row],[MODAL SATUAN]]*TBLBAHANKELUAR[[#This Row],[TOTAL BAHAN KELUAR]]</f>
        <v>6300</v>
      </c>
    </row>
    <row r="380" spans="1:14" x14ac:dyDescent="0.3">
      <c r="A380" s="103">
        <v>2026</v>
      </c>
      <c r="B380" s="211" t="s">
        <v>590</v>
      </c>
      <c r="C380" s="211"/>
      <c r="D380" s="211"/>
      <c r="E380" s="3" t="s">
        <v>389</v>
      </c>
      <c r="F380" s="212">
        <v>21</v>
      </c>
      <c r="G380" s="107" t="str">
        <f>VLOOKUP(TBLBAHANKELUAR[[#This Row],[KODE BAHAN]],[4]!TBLSIPKOREA[#Data],2,FALSE)</f>
        <v>PAPRIKA GRAM</v>
      </c>
      <c r="H380" s="214">
        <f>VLOOKUP(TBLBAHANKELUAR[[#This Row],[NAMA BAHAN]],TBLREKAPBAHAN[[NAMA BAHAN]:[MODAL SATUAN]],2,FALSE)</f>
        <v>10000</v>
      </c>
      <c r="I380" s="214">
        <f>VLOOKUP(TBLBAHANKELUAR[[#This Row],[NAMA BAHAN]],TBLREKAPBAHAN[[NAMA BAHAN]:[MODAL SATUAN]],3,FALSE)</f>
        <v>100</v>
      </c>
      <c r="J380" s="214">
        <f>VLOOKUP(TBLBAHANKELUAR[[#This Row],[NAMA BAHAN]],TBLREKAPBAHAN[[NAMA BAHAN]:[MODAL SATUAN]],4,FALSE)</f>
        <v>100</v>
      </c>
      <c r="K380" s="215">
        <f>VLOOKUP(TBLBAHANKELUAR[[#This Row],[KODE BAHAN]],[4]!TBLSIPKOREA[#Data],11,FALSE)</f>
        <v>10</v>
      </c>
      <c r="L380" s="215">
        <f>SUMIF(TBLPRODUKKELUARJULI[NAMA PRODUK],TBLBAHANKELUAR[[#This Row],[NAMA PRODUK]],TBLPRODUKKELUARJULI[JUMLAH TERJUAL])</f>
        <v>1</v>
      </c>
      <c r="M380" s="215">
        <f>TBLBAHANKELUAR[[#This Row],[KEB. BAHAN]]*TBLBAHANKELUAR[[#This Row],[JUMLAH KEB. BAHAN KELUAR]]</f>
        <v>10</v>
      </c>
      <c r="N380" s="214">
        <f>TBLBAHANKELUAR[[#This Row],[MODAL SATUAN]]*TBLBAHANKELUAR[[#This Row],[TOTAL BAHAN KELUAR]]</f>
        <v>1000</v>
      </c>
    </row>
    <row r="381" spans="1:14" x14ac:dyDescent="0.3">
      <c r="A381" s="103">
        <v>2026</v>
      </c>
      <c r="B381" s="211" t="s">
        <v>590</v>
      </c>
      <c r="C381" s="211"/>
      <c r="D381" s="211"/>
      <c r="E381" s="3" t="s">
        <v>389</v>
      </c>
      <c r="F381" s="212">
        <v>22</v>
      </c>
      <c r="G381" s="107" t="str">
        <f>VLOOKUP(TBLBAHANKELUAR[[#This Row],[KODE BAHAN]],[4]!TBLSIPKOREA[#Data],2,FALSE)</f>
        <v>KENTANG</v>
      </c>
      <c r="H381" s="214">
        <f>VLOOKUP(TBLBAHANKELUAR[[#This Row],[NAMA BAHAN]],TBLREKAPBAHAN[[NAMA BAHAN]:[MODAL SATUAN]],2,FALSE)</f>
        <v>12000</v>
      </c>
      <c r="I381" s="214">
        <f>VLOOKUP(TBLBAHANKELUAR[[#This Row],[NAMA BAHAN]],TBLREKAPBAHAN[[NAMA BAHAN]:[MODAL SATUAN]],3,FALSE)</f>
        <v>10</v>
      </c>
      <c r="J381" s="214">
        <f>VLOOKUP(TBLBAHANKELUAR[[#This Row],[NAMA BAHAN]],TBLREKAPBAHAN[[NAMA BAHAN]:[MODAL SATUAN]],4,FALSE)</f>
        <v>1200</v>
      </c>
      <c r="K381" s="215">
        <f>VLOOKUP(TBLBAHANKELUAR[[#This Row],[KODE BAHAN]],[4]!TBLSIPKOREA[#Data],11,FALSE)</f>
        <v>2</v>
      </c>
      <c r="L381" s="215">
        <f>SUMIF(TBLPRODUKKELUARJULI[NAMA PRODUK],TBLBAHANKELUAR[[#This Row],[NAMA PRODUK]],TBLPRODUKKELUARJULI[JUMLAH TERJUAL])</f>
        <v>1</v>
      </c>
      <c r="M381" s="215">
        <f>TBLBAHANKELUAR[[#This Row],[KEB. BAHAN]]*TBLBAHANKELUAR[[#This Row],[JUMLAH KEB. BAHAN KELUAR]]</f>
        <v>2</v>
      </c>
      <c r="N381" s="214">
        <f>TBLBAHANKELUAR[[#This Row],[MODAL SATUAN]]*TBLBAHANKELUAR[[#This Row],[TOTAL BAHAN KELUAR]]</f>
        <v>2400</v>
      </c>
    </row>
    <row r="382" spans="1:14" x14ac:dyDescent="0.3">
      <c r="A382" s="103">
        <v>2026</v>
      </c>
      <c r="B382" s="211" t="s">
        <v>590</v>
      </c>
      <c r="C382" s="211"/>
      <c r="D382" s="211"/>
      <c r="E382" s="3" t="s">
        <v>389</v>
      </c>
      <c r="F382" s="212">
        <v>23</v>
      </c>
      <c r="G382" s="107" t="str">
        <f>VLOOKUP(TBLBAHANKELUAR[[#This Row],[KODE BAHAN]],[4]!TBLSIPKOREA[#Data],2,FALSE)</f>
        <v>AIR PANAS (CC/GRAM)</v>
      </c>
      <c r="H382" s="214">
        <f>VLOOKUP(TBLBAHANKELUAR[[#This Row],[NAMA BAHAN]],TBLREKAPBAHAN[[NAMA BAHAN]:[MODAL SATUAN]],2,FALSE)</f>
        <v>17000</v>
      </c>
      <c r="I382" s="214">
        <f>VLOOKUP(TBLBAHANKELUAR[[#This Row],[NAMA BAHAN]],TBLREKAPBAHAN[[NAMA BAHAN]:[MODAL SATUAN]],3,FALSE)</f>
        <v>19000</v>
      </c>
      <c r="J382" s="214">
        <f>VLOOKUP(TBLBAHANKELUAR[[#This Row],[NAMA BAHAN]],TBLREKAPBAHAN[[NAMA BAHAN]:[MODAL SATUAN]],4,FALSE)</f>
        <v>0.89473684210526316</v>
      </c>
      <c r="K382" s="215">
        <f>VLOOKUP(TBLBAHANKELUAR[[#This Row],[KODE BAHAN]],[4]!TBLSIPKOREA[#Data],11,FALSE)</f>
        <v>130</v>
      </c>
      <c r="L382" s="215">
        <f>SUMIF(TBLPRODUKKELUARJULI[NAMA PRODUK],TBLBAHANKELUAR[[#This Row],[NAMA PRODUK]],TBLPRODUKKELUARJULI[JUMLAH TERJUAL])</f>
        <v>1</v>
      </c>
      <c r="M382" s="215">
        <f>TBLBAHANKELUAR[[#This Row],[KEB. BAHAN]]*TBLBAHANKELUAR[[#This Row],[JUMLAH KEB. BAHAN KELUAR]]</f>
        <v>130</v>
      </c>
      <c r="N382" s="214">
        <f>TBLBAHANKELUAR[[#This Row],[MODAL SATUAN]]*TBLBAHANKELUAR[[#This Row],[TOTAL BAHAN KELUAR]]</f>
        <v>116.31578947368421</v>
      </c>
    </row>
    <row r="383" spans="1:14" x14ac:dyDescent="0.3">
      <c r="A383" s="103">
        <v>2026</v>
      </c>
      <c r="B383" s="211" t="s">
        <v>590</v>
      </c>
      <c r="C383" s="211"/>
      <c r="D383" s="211"/>
      <c r="E383" s="3" t="s">
        <v>389</v>
      </c>
      <c r="F383" s="212">
        <v>24</v>
      </c>
      <c r="G383" s="107" t="str">
        <f>VLOOKUP(TBLBAHANKELUAR[[#This Row],[KODE BAHAN]],[4]!TBLSIPKOREA[#Data],2,FALSE)</f>
        <v>GAS ELPIJI</v>
      </c>
      <c r="H383" s="214">
        <f>VLOOKUP(TBLBAHANKELUAR[[#This Row],[NAMA BAHAN]],TBLREKAPBAHAN[[NAMA BAHAN]:[MODAL SATUAN]],2,FALSE)</f>
        <v>23000</v>
      </c>
      <c r="I383" s="214">
        <f>VLOOKUP(TBLBAHANKELUAR[[#This Row],[NAMA BAHAN]],TBLREKAPBAHAN[[NAMA BAHAN]:[MODAL SATUAN]],3,FALSE)</f>
        <v>3000</v>
      </c>
      <c r="J383" s="214">
        <f>VLOOKUP(TBLBAHANKELUAR[[#This Row],[NAMA BAHAN]],TBLREKAPBAHAN[[NAMA BAHAN]:[MODAL SATUAN]],4,FALSE)</f>
        <v>7.666666666666667</v>
      </c>
      <c r="K383" s="215">
        <f>VLOOKUP(TBLBAHANKELUAR[[#This Row],[KODE BAHAN]],[4]!TBLSIPKOREA[#Data],11,FALSE)</f>
        <v>100</v>
      </c>
      <c r="L383" s="215">
        <f>SUMIF(TBLPRODUKKELUARJULI[NAMA PRODUK],TBLBAHANKELUAR[[#This Row],[NAMA PRODUK]],TBLPRODUKKELUARJULI[JUMLAH TERJUAL])</f>
        <v>1</v>
      </c>
      <c r="M383" s="215">
        <f>TBLBAHANKELUAR[[#This Row],[KEB. BAHAN]]*TBLBAHANKELUAR[[#This Row],[JUMLAH KEB. BAHAN KELUAR]]</f>
        <v>100</v>
      </c>
      <c r="N383" s="214">
        <f>TBLBAHANKELUAR[[#This Row],[MODAL SATUAN]]*TBLBAHANKELUAR[[#This Row],[TOTAL BAHAN KELUAR]]</f>
        <v>766.66666666666674</v>
      </c>
    </row>
    <row r="384" spans="1:14" x14ac:dyDescent="0.3">
      <c r="A384" s="103">
        <v>2026</v>
      </c>
      <c r="B384" s="211" t="s">
        <v>590</v>
      </c>
      <c r="C384" s="211"/>
      <c r="D384" s="211"/>
      <c r="E384" s="3" t="s">
        <v>389</v>
      </c>
      <c r="F384" s="212">
        <v>25</v>
      </c>
      <c r="G384" s="107" t="str">
        <f>VLOOKUP(TBLBAHANKELUAR[[#This Row],[KODE BAHAN]],[4]!TBLSIPKOREA[#Data],2,FALSE)</f>
        <v>KERTAS ROTI OVEN</v>
      </c>
      <c r="H384" s="214">
        <f>VLOOKUP(TBLBAHANKELUAR[[#This Row],[NAMA BAHAN]],TBLREKAPBAHAN[[NAMA BAHAN]:[MODAL SATUAN]],2,FALSE)</f>
        <v>10000</v>
      </c>
      <c r="I384" s="214">
        <f>VLOOKUP(TBLBAHANKELUAR[[#This Row],[NAMA BAHAN]],TBLREKAPBAHAN[[NAMA BAHAN]:[MODAL SATUAN]],3,FALSE)</f>
        <v>50</v>
      </c>
      <c r="J384" s="214">
        <f>VLOOKUP(TBLBAHANKELUAR[[#This Row],[NAMA BAHAN]],TBLREKAPBAHAN[[NAMA BAHAN]:[MODAL SATUAN]],4,FALSE)</f>
        <v>200</v>
      </c>
      <c r="K384" s="215">
        <f>VLOOKUP(TBLBAHANKELUAR[[#This Row],[KODE BAHAN]],[4]!TBLSIPKOREA[#Data],11,FALSE)</f>
        <v>1</v>
      </c>
      <c r="L384" s="215">
        <f>SUMIF(TBLPRODUKKELUARJULI[NAMA PRODUK],TBLBAHANKELUAR[[#This Row],[NAMA PRODUK]],TBLPRODUKKELUARJULI[JUMLAH TERJUAL])</f>
        <v>1</v>
      </c>
      <c r="M384" s="215">
        <f>TBLBAHANKELUAR[[#This Row],[KEB. BAHAN]]*TBLBAHANKELUAR[[#This Row],[JUMLAH KEB. BAHAN KELUAR]]</f>
        <v>1</v>
      </c>
      <c r="N384" s="214">
        <f>TBLBAHANKELUAR[[#This Row],[MODAL SATUAN]]*TBLBAHANKELUAR[[#This Row],[TOTAL BAHAN KELUAR]]</f>
        <v>200</v>
      </c>
    </row>
    <row r="385" spans="1:14" x14ac:dyDescent="0.3">
      <c r="A385" s="103">
        <v>2026</v>
      </c>
      <c r="B385" s="211" t="s">
        <v>590</v>
      </c>
      <c r="C385" s="211"/>
      <c r="D385" s="211"/>
      <c r="E385" s="3" t="s">
        <v>389</v>
      </c>
      <c r="F385" s="212">
        <v>26</v>
      </c>
      <c r="G385" s="107" t="str">
        <f>VLOOKUP(TBLBAHANKELUAR[[#This Row],[KODE BAHAN]],[4]!TBLSIPKOREA[#Data],2,FALSE)</f>
        <v>KOTAK 26 CM</v>
      </c>
      <c r="H385" s="214">
        <f>VLOOKUP(TBLBAHANKELUAR[[#This Row],[NAMA BAHAN]],TBLREKAPBAHAN[[NAMA BAHAN]:[MODAL SATUAN]],2,FALSE)</f>
        <v>3000</v>
      </c>
      <c r="I385" s="214">
        <f>VLOOKUP(TBLBAHANKELUAR[[#This Row],[NAMA BAHAN]],TBLREKAPBAHAN[[NAMA BAHAN]:[MODAL SATUAN]],3,FALSE)</f>
        <v>1</v>
      </c>
      <c r="J385" s="214">
        <f>VLOOKUP(TBLBAHANKELUAR[[#This Row],[NAMA BAHAN]],TBLREKAPBAHAN[[NAMA BAHAN]:[MODAL SATUAN]],4,FALSE)</f>
        <v>3000</v>
      </c>
      <c r="K385" s="215">
        <f>VLOOKUP(TBLBAHANKELUAR[[#This Row],[KODE BAHAN]],[4]!TBLSIPKOREA[#Data],11,FALSE)</f>
        <v>1</v>
      </c>
      <c r="L385" s="215">
        <f>SUMIF(TBLPRODUKKELUARJULI[NAMA PRODUK],TBLBAHANKELUAR[[#This Row],[NAMA PRODUK]],TBLPRODUKKELUARJULI[JUMLAH TERJUAL])</f>
        <v>1</v>
      </c>
      <c r="M385" s="215">
        <f>TBLBAHANKELUAR[[#This Row],[KEB. BAHAN]]*TBLBAHANKELUAR[[#This Row],[JUMLAH KEB. BAHAN KELUAR]]</f>
        <v>1</v>
      </c>
      <c r="N385" s="214">
        <f>TBLBAHANKELUAR[[#This Row],[MODAL SATUAN]]*TBLBAHANKELUAR[[#This Row],[TOTAL BAHAN KELUAR]]</f>
        <v>3000</v>
      </c>
    </row>
    <row r="386" spans="1:14" x14ac:dyDescent="0.3">
      <c r="A386" s="103">
        <v>2026</v>
      </c>
      <c r="B386" s="211" t="s">
        <v>590</v>
      </c>
      <c r="C386" s="211"/>
      <c r="D386" s="211"/>
      <c r="E386" s="3" t="s">
        <v>389</v>
      </c>
      <c r="F386" s="212">
        <v>27</v>
      </c>
      <c r="G386" s="107" t="str">
        <f>VLOOKUP(TBLBAHANKELUAR[[#This Row],[KODE BAHAN]],[4]!TBLSIPKOREA[#Data],2,FALSE)</f>
        <v>TALI RAFIA</v>
      </c>
      <c r="H386" s="214">
        <f>VLOOKUP(TBLBAHANKELUAR[[#This Row],[NAMA BAHAN]],TBLREKAPBAHAN[[NAMA BAHAN]:[MODAL SATUAN]],2,FALSE)</f>
        <v>37500</v>
      </c>
      <c r="I386" s="214">
        <f>VLOOKUP(TBLBAHANKELUAR[[#This Row],[NAMA BAHAN]],TBLREKAPBAHAN[[NAMA BAHAN]:[MODAL SATUAN]],3,FALSE)</f>
        <v>300</v>
      </c>
      <c r="J386" s="214">
        <f>VLOOKUP(TBLBAHANKELUAR[[#This Row],[NAMA BAHAN]],TBLREKAPBAHAN[[NAMA BAHAN]:[MODAL SATUAN]],4,FALSE)</f>
        <v>125</v>
      </c>
      <c r="K386" s="215">
        <f>VLOOKUP(TBLBAHANKELUAR[[#This Row],[KODE BAHAN]],[4]!TBLSIPKOREA[#Data],11,FALSE)</f>
        <v>1</v>
      </c>
      <c r="L386" s="215">
        <f>SUMIF(TBLPRODUKKELUARJULI[NAMA PRODUK],TBLBAHANKELUAR[[#This Row],[NAMA PRODUK]],TBLPRODUKKELUARJULI[JUMLAH TERJUAL])</f>
        <v>1</v>
      </c>
      <c r="M386" s="215">
        <f>TBLBAHANKELUAR[[#This Row],[KEB. BAHAN]]*TBLBAHANKELUAR[[#This Row],[JUMLAH KEB. BAHAN KELUAR]]</f>
        <v>1</v>
      </c>
      <c r="N386" s="214">
        <f>TBLBAHANKELUAR[[#This Row],[MODAL SATUAN]]*TBLBAHANKELUAR[[#This Row],[TOTAL BAHAN KELUAR]]</f>
        <v>125</v>
      </c>
    </row>
    <row r="387" spans="1:14" x14ac:dyDescent="0.3">
      <c r="A387" s="103">
        <v>2026</v>
      </c>
      <c r="B387" s="211" t="s">
        <v>590</v>
      </c>
      <c r="C387" s="211"/>
      <c r="D387" s="211"/>
      <c r="E387" s="3" t="s">
        <v>389</v>
      </c>
      <c r="F387" s="212">
        <v>28</v>
      </c>
      <c r="G387" s="107" t="str">
        <f>VLOOKUP(TBLBAHANKELUAR[[#This Row],[KODE BAHAN]],[4]!TBLSIPKOREA[#Data],2,FALSE)</f>
        <v>KRESEK 50 CM</v>
      </c>
      <c r="H387" s="214">
        <f>VLOOKUP(TBLBAHANKELUAR[[#This Row],[NAMA BAHAN]],TBLREKAPBAHAN[[NAMA BAHAN]:[MODAL SATUAN]],2,FALSE)</f>
        <v>1000</v>
      </c>
      <c r="I387" s="214">
        <f>VLOOKUP(TBLBAHANKELUAR[[#This Row],[NAMA BAHAN]],TBLREKAPBAHAN[[NAMA BAHAN]:[MODAL SATUAN]],3,FALSE)</f>
        <v>1</v>
      </c>
      <c r="J387" s="214">
        <f>VLOOKUP(TBLBAHANKELUAR[[#This Row],[NAMA BAHAN]],TBLREKAPBAHAN[[NAMA BAHAN]:[MODAL SATUAN]],4,FALSE)</f>
        <v>1000</v>
      </c>
      <c r="K387" s="215">
        <f>VLOOKUP(TBLBAHANKELUAR[[#This Row],[KODE BAHAN]],[4]!TBLSIPKOREA[#Data],11,FALSE)</f>
        <v>1</v>
      </c>
      <c r="L387" s="215">
        <f>SUMIF(TBLPRODUKKELUARJULI[NAMA PRODUK],TBLBAHANKELUAR[[#This Row],[NAMA PRODUK]],TBLPRODUKKELUARJULI[JUMLAH TERJUAL])</f>
        <v>1</v>
      </c>
      <c r="M387" s="215">
        <f>TBLBAHANKELUAR[[#This Row],[KEB. BAHAN]]*TBLBAHANKELUAR[[#This Row],[JUMLAH KEB. BAHAN KELUAR]]</f>
        <v>1</v>
      </c>
      <c r="N387" s="214">
        <f>TBLBAHANKELUAR[[#This Row],[MODAL SATUAN]]*TBLBAHANKELUAR[[#This Row],[TOTAL BAHAN KELUAR]]</f>
        <v>1000</v>
      </c>
    </row>
    <row r="388" spans="1:14" s="225" customFormat="1" x14ac:dyDescent="0.3">
      <c r="A388" s="218">
        <v>2026</v>
      </c>
      <c r="B388" s="219" t="s">
        <v>590</v>
      </c>
      <c r="C388" s="219"/>
      <c r="D388" s="219"/>
      <c r="E388" s="259"/>
      <c r="F388" s="260"/>
      <c r="G388" s="113" t="s">
        <v>579</v>
      </c>
      <c r="H388" s="223">
        <f>VLOOKUP(TBLBAHANKELUAR[[#This Row],[NAMA BAHAN]],TBLREKAPBAHAN[[NAMA BAHAN]:[MODAL SATUAN]],2,FALSE)</f>
        <v>27000</v>
      </c>
      <c r="I388" s="223">
        <f>VLOOKUP(TBLBAHANKELUAR[[#This Row],[NAMA BAHAN]],TBLREKAPBAHAN[[NAMA BAHAN]:[MODAL SATUAN]],3,FALSE)</f>
        <v>20</v>
      </c>
      <c r="J388" s="223">
        <f>VLOOKUP(TBLBAHANKELUAR[[#This Row],[NAMA BAHAN]],TBLREKAPBAHAN[[NAMA BAHAN]:[MODAL SATUAN]],4,FALSE)</f>
        <v>1350</v>
      </c>
      <c r="K388" s="224">
        <v>13</v>
      </c>
      <c r="L388" s="224">
        <v>1</v>
      </c>
      <c r="M388" s="224">
        <f>TBLBAHANKELUAR[[#This Row],[KEB. BAHAN]]*TBLBAHANKELUAR[[#This Row],[JUMLAH KEB. BAHAN KELUAR]]</f>
        <v>13</v>
      </c>
      <c r="N388" s="223">
        <f>TBLBAHANKELUAR[[#This Row],[MODAL SATUAN]]*TBLBAHANKELUAR[[#This Row],[TOTAL BAHAN KELUAR]]</f>
        <v>17550</v>
      </c>
    </row>
    <row r="389" spans="1:14" s="225" customFormat="1" x14ac:dyDescent="0.3">
      <c r="A389" s="218">
        <v>2026</v>
      </c>
      <c r="B389" s="219" t="s">
        <v>590</v>
      </c>
      <c r="C389" s="219"/>
      <c r="D389" s="219"/>
      <c r="E389" s="259"/>
      <c r="F389" s="260"/>
      <c r="G389" s="113" t="s">
        <v>333</v>
      </c>
      <c r="H389" s="223">
        <f>VLOOKUP(TBLBAHANKELUAR[[#This Row],[NAMA BAHAN]],TBLREKAPBAHAN[[NAMA BAHAN]:[MODAL SATUAN]],2,FALSE)</f>
        <v>15000</v>
      </c>
      <c r="I389" s="223">
        <f>VLOOKUP(TBLBAHANKELUAR[[#This Row],[NAMA BAHAN]],TBLREKAPBAHAN[[NAMA BAHAN]:[MODAL SATUAN]],3,FALSE)</f>
        <v>6</v>
      </c>
      <c r="J389" s="223">
        <f>VLOOKUP(TBLBAHANKELUAR[[#This Row],[NAMA BAHAN]],TBLREKAPBAHAN[[NAMA BAHAN]:[MODAL SATUAN]],4,FALSE)</f>
        <v>2500</v>
      </c>
      <c r="K389" s="224">
        <v>12</v>
      </c>
      <c r="L389" s="224">
        <v>1</v>
      </c>
      <c r="M389" s="224">
        <f>TBLBAHANKELUAR[[#This Row],[KEB. BAHAN]]*TBLBAHANKELUAR[[#This Row],[JUMLAH KEB. BAHAN KELUAR]]</f>
        <v>12</v>
      </c>
      <c r="N389" s="223">
        <f>TBLBAHANKELUAR[[#This Row],[MODAL SATUAN]]*TBLBAHANKELUAR[[#This Row],[TOTAL BAHAN KELUAR]]</f>
        <v>30000</v>
      </c>
    </row>
    <row r="390" spans="1:14" s="225" customFormat="1" x14ac:dyDescent="0.3">
      <c r="A390" s="218">
        <v>2026</v>
      </c>
      <c r="B390" s="219" t="s">
        <v>590</v>
      </c>
      <c r="C390" s="219"/>
      <c r="D390" s="219"/>
      <c r="E390" s="259"/>
      <c r="F390" s="260"/>
      <c r="G390" s="113" t="s">
        <v>328</v>
      </c>
      <c r="H390" s="223">
        <f>VLOOKUP(TBLBAHANKELUAR[[#This Row],[NAMA BAHAN]],TBLREKAPBAHAN[[NAMA BAHAN]:[MODAL SATUAN]],2,FALSE)</f>
        <v>16000</v>
      </c>
      <c r="I390" s="223">
        <f>VLOOKUP(TBLBAHANKELUAR[[#This Row],[NAMA BAHAN]],TBLREKAPBAHAN[[NAMA BAHAN]:[MODAL SATUAN]],3,FALSE)</f>
        <v>12</v>
      </c>
      <c r="J390" s="223">
        <f>VLOOKUP(TBLBAHANKELUAR[[#This Row],[NAMA BAHAN]],TBLREKAPBAHAN[[NAMA BAHAN]:[MODAL SATUAN]],4,FALSE)</f>
        <v>1333.3333333333333</v>
      </c>
      <c r="K390" s="224">
        <v>10</v>
      </c>
      <c r="L390" s="224">
        <v>1</v>
      </c>
      <c r="M390" s="224">
        <f>TBLBAHANKELUAR[[#This Row],[KEB. BAHAN]]*TBLBAHANKELUAR[[#This Row],[JUMLAH KEB. BAHAN KELUAR]]</f>
        <v>10</v>
      </c>
      <c r="N390" s="223">
        <f>TBLBAHANKELUAR[[#This Row],[MODAL SATUAN]]*TBLBAHANKELUAR[[#This Row],[TOTAL BAHAN KELUAR]]</f>
        <v>13333.333333333332</v>
      </c>
    </row>
    <row r="391" spans="1:14" s="225" customFormat="1" x14ac:dyDescent="0.3">
      <c r="A391" s="218">
        <v>2026</v>
      </c>
      <c r="B391" s="219" t="s">
        <v>590</v>
      </c>
      <c r="C391" s="219"/>
      <c r="D391" s="219"/>
      <c r="E391" s="259"/>
      <c r="F391" s="260"/>
      <c r="G391" s="113" t="s">
        <v>164</v>
      </c>
      <c r="H391" s="223">
        <f>VLOOKUP(TBLBAHANKELUAR[[#This Row],[NAMA BAHAN]],TBLREKAPBAHAN[[NAMA BAHAN]:[MODAL SATUAN]],2,FALSE)</f>
        <v>15000</v>
      </c>
      <c r="I391" s="223">
        <f>VLOOKUP(TBLBAHANKELUAR[[#This Row],[NAMA BAHAN]],TBLREKAPBAHAN[[NAMA BAHAN]:[MODAL SATUAN]],3,FALSE)</f>
        <v>6</v>
      </c>
      <c r="J391" s="223">
        <f>VLOOKUP(TBLBAHANKELUAR[[#This Row],[NAMA BAHAN]],TBLREKAPBAHAN[[NAMA BAHAN]:[MODAL SATUAN]],4,FALSE)</f>
        <v>2500</v>
      </c>
      <c r="K391" s="224">
        <v>4</v>
      </c>
      <c r="L391" s="224">
        <v>1</v>
      </c>
      <c r="M391" s="224">
        <f>TBLBAHANKELUAR[[#This Row],[KEB. BAHAN]]*TBLBAHANKELUAR[[#This Row],[JUMLAH KEB. BAHAN KELUAR]]</f>
        <v>4</v>
      </c>
      <c r="N391" s="223">
        <f>TBLBAHANKELUAR[[#This Row],[MODAL SATUAN]]*TBLBAHANKELUAR[[#This Row],[TOTAL BAHAN KELUAR]]</f>
        <v>10000</v>
      </c>
    </row>
    <row r="392" spans="1:14" s="225" customFormat="1" x14ac:dyDescent="0.3">
      <c r="A392" s="218">
        <v>2026</v>
      </c>
      <c r="B392" s="219" t="s">
        <v>590</v>
      </c>
      <c r="C392" s="219"/>
      <c r="D392" s="219"/>
      <c r="E392" s="259"/>
      <c r="F392" s="260"/>
      <c r="G392" s="113" t="s">
        <v>330</v>
      </c>
      <c r="H392" s="223">
        <f>VLOOKUP(TBLBAHANKELUAR[[#This Row],[NAMA BAHAN]],TBLREKAPBAHAN[[NAMA BAHAN]:[MODAL SATUAN]],2,FALSE)</f>
        <v>35000</v>
      </c>
      <c r="I392" s="223">
        <f>VLOOKUP(TBLBAHANKELUAR[[#This Row],[NAMA BAHAN]],TBLREKAPBAHAN[[NAMA BAHAN]:[MODAL SATUAN]],3,FALSE)</f>
        <v>38</v>
      </c>
      <c r="J392" s="223">
        <f>VLOOKUP(TBLBAHANKELUAR[[#This Row],[NAMA BAHAN]],TBLREKAPBAHAN[[NAMA BAHAN]:[MODAL SATUAN]],4,FALSE)</f>
        <v>921.0526315789474</v>
      </c>
      <c r="K392" s="224">
        <v>11</v>
      </c>
      <c r="L392" s="224">
        <v>1</v>
      </c>
      <c r="M392" s="224">
        <f>TBLBAHANKELUAR[[#This Row],[KEB. BAHAN]]*TBLBAHANKELUAR[[#This Row],[JUMLAH KEB. BAHAN KELUAR]]</f>
        <v>11</v>
      </c>
      <c r="N392" s="223">
        <f>TBLBAHANKELUAR[[#This Row],[MODAL SATUAN]]*TBLBAHANKELUAR[[#This Row],[TOTAL BAHAN KELUAR]]</f>
        <v>10131.578947368422</v>
      </c>
    </row>
  </sheetData>
  <mergeCells count="2">
    <mergeCell ref="G1:L1"/>
    <mergeCell ref="G2:L2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500-000000000000}">
          <x14:formula1>
            <xm:f>KATALOG!$B$4:$B$68</xm:f>
          </x14:formula1>
          <xm:sqref>E7:E121 E235:E391</xm:sqref>
        </x14:dataValidation>
        <x14:dataValidation type="list" allowBlank="1" showInputMessage="1" showErrorMessage="1" xr:uid="{00000000-0002-0000-0500-000001000000}">
          <x14:formula1>
            <xm:f>KATALOG!$B$4:$B$66</xm:f>
          </x14:formula1>
          <xm:sqref>E141:E234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7"/>
  <sheetViews>
    <sheetView zoomScale="90" zoomScaleNormal="90" workbookViewId="0">
      <pane xSplit="4" ySplit="3" topLeftCell="E73" activePane="bottomRight" state="frozen"/>
      <selection pane="topRight" activeCell="F1" sqref="F1"/>
      <selection pane="bottomLeft" activeCell="A4" sqref="A4"/>
      <selection pane="bottomRight" activeCell="D93" sqref="D93"/>
    </sheetView>
  </sheetViews>
  <sheetFormatPr defaultRowHeight="14.4" x14ac:dyDescent="0.3"/>
  <cols>
    <col min="1" max="3" width="20.88671875" style="4" customWidth="1"/>
    <col min="4" max="4" width="52.6640625" style="3" customWidth="1"/>
    <col min="5" max="5" width="32.44140625" style="3" customWidth="1"/>
    <col min="6" max="6" width="20.88671875" style="3" customWidth="1"/>
    <col min="7" max="7" width="15" style="5" hidden="1" customWidth="1"/>
    <col min="8" max="8" width="17.33203125" style="5" hidden="1" customWidth="1"/>
    <col min="9" max="9" width="34.33203125" style="5" hidden="1" customWidth="1"/>
    <col min="10" max="10" width="15" style="5" hidden="1" customWidth="1"/>
    <col min="11" max="11" width="15" style="10" hidden="1" customWidth="1"/>
    <col min="12" max="12" width="17.33203125" style="10" hidden="1" customWidth="1"/>
    <col min="13" max="13" width="16.6640625" style="10" hidden="1" customWidth="1"/>
    <col min="14" max="14" width="19.88671875" style="2" hidden="1" customWidth="1"/>
    <col min="15" max="15" width="18.109375" style="2" customWidth="1"/>
    <col min="16" max="16" width="19.44140625" style="2" customWidth="1"/>
    <col min="17" max="17" width="15.6640625" style="2" customWidth="1"/>
    <col min="18" max="18" width="21.33203125" style="2" customWidth="1"/>
    <col min="19" max="19" width="30.5546875" style="2" customWidth="1"/>
    <col min="20" max="20" width="19.88671875" style="2" customWidth="1"/>
    <col min="21" max="21" width="15.5546875" style="2" customWidth="1"/>
    <col min="22" max="22" width="23.88671875" style="2" customWidth="1"/>
    <col min="23" max="23" width="23.33203125" style="2" customWidth="1"/>
    <col min="24" max="24" width="20.33203125" customWidth="1"/>
    <col min="25" max="25" width="18.109375" customWidth="1"/>
  </cols>
  <sheetData>
    <row r="1" spans="1:25" ht="15.6" x14ac:dyDescent="0.3">
      <c r="A1" s="267" t="s">
        <v>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</row>
    <row r="2" spans="1:25" x14ac:dyDescent="0.3">
      <c r="A2" s="4" t="s">
        <v>577</v>
      </c>
    </row>
    <row r="3" spans="1:25" s="6" customFormat="1" ht="28.8" x14ac:dyDescent="0.3">
      <c r="A3" s="1" t="s">
        <v>109</v>
      </c>
      <c r="B3" s="1" t="s">
        <v>61</v>
      </c>
      <c r="C3" s="1" t="s">
        <v>1</v>
      </c>
      <c r="D3" s="1" t="s">
        <v>3</v>
      </c>
      <c r="E3" s="1" t="s">
        <v>25</v>
      </c>
      <c r="F3" s="1" t="s">
        <v>54</v>
      </c>
      <c r="G3" s="1" t="s">
        <v>113</v>
      </c>
      <c r="H3" s="10" t="s">
        <v>125</v>
      </c>
      <c r="I3" s="1" t="s">
        <v>126</v>
      </c>
      <c r="J3" s="10" t="s">
        <v>0</v>
      </c>
      <c r="K3" s="10" t="s">
        <v>19</v>
      </c>
      <c r="L3" s="10" t="s">
        <v>107</v>
      </c>
      <c r="M3" s="10" t="s">
        <v>106</v>
      </c>
      <c r="N3" s="10" t="s">
        <v>72</v>
      </c>
      <c r="O3" s="14" t="s">
        <v>50</v>
      </c>
      <c r="P3" s="14" t="s">
        <v>51</v>
      </c>
      <c r="Q3" s="10" t="s">
        <v>114</v>
      </c>
      <c r="R3" s="10" t="s">
        <v>21</v>
      </c>
      <c r="S3" s="10" t="s">
        <v>115</v>
      </c>
      <c r="T3" s="10" t="s">
        <v>22</v>
      </c>
      <c r="U3" s="10" t="s">
        <v>23</v>
      </c>
      <c r="V3" s="10" t="s">
        <v>283</v>
      </c>
      <c r="W3" s="10" t="s">
        <v>284</v>
      </c>
      <c r="X3" s="1" t="s">
        <v>59</v>
      </c>
      <c r="Y3" s="1" t="s">
        <v>99</v>
      </c>
    </row>
    <row r="4" spans="1:25" x14ac:dyDescent="0.3">
      <c r="A4" s="4">
        <v>2026</v>
      </c>
      <c r="B4" s="15" t="s">
        <v>577</v>
      </c>
      <c r="C4" s="15">
        <v>46198</v>
      </c>
      <c r="D4" s="3" t="s">
        <v>374</v>
      </c>
      <c r="E4" s="3" t="s">
        <v>146</v>
      </c>
      <c r="F4" s="3" t="str">
        <f>VLOOKUP(TBLPRODUKKELUARJUNI[[#This Row],[NAMA CUSTOMER]],TBLDATACUSTOMER[],4,FALSE)</f>
        <v>NURUL HIDAYATU SAMSIAH</v>
      </c>
      <c r="G4" s="5">
        <f>VLOOKUP(TBLPRODUKKELUARJUNI[[#This Row],[NAMA PRODUK]],TBLKATALOG[],2,FALSE)</f>
        <v>6192.1929824561403</v>
      </c>
      <c r="H4" s="5">
        <f>VLOOKUP(TBLPRODUKKELUARJUNI[[#This Row],[NAMA PRODUK]],TBLKATALOG[],3,FALSE)</f>
        <v>619.21929824561403</v>
      </c>
      <c r="I4" s="5">
        <f>VLOOKUP(TBLPRODUKKELUARJUNI[[#This Row],[NAMA PRODUK]],TBLKATALOG[],4,FALSE)</f>
        <v>6811.4122807017538</v>
      </c>
      <c r="J4" s="5">
        <f>VLOOKUP(TBLPRODUKKELUARJUNI[[#This Row],[NAMA PRODUK]],TBLKATALOG[],5,FALSE)</f>
        <v>9000</v>
      </c>
      <c r="K4" s="10">
        <f>VLOOKUP(TBLPRODUKKELUARJUNI[[#This Row],[NAMA PRODUK]],TBLKATALOG[],6,FALSE)</f>
        <v>2188.5877192982462</v>
      </c>
      <c r="L4" s="10">
        <f>VLOOKUP(TBLPRODUKKELUARJUNI[[#This Row],[NAMA PRODUK]],TBLKATALOG[],7,FALSE)</f>
        <v>309.60964912280701</v>
      </c>
      <c r="M4" s="10">
        <f>VLOOKUP(TBLPRODUKKELUARJUNI[[#This Row],[NAMA PRODUK]],TBLKATALOG[],8,FALSE)</f>
        <v>309.60964912280701</v>
      </c>
      <c r="N4" s="10">
        <f>VLOOKUP(TBLPRODUKKELUARJUNI[[#This Row],[NAMA PRODUK]],TBLKATALOG[],9,FALSE)</f>
        <v>2188.5877192982462</v>
      </c>
      <c r="O4" s="10">
        <v>2</v>
      </c>
      <c r="P4" s="10">
        <v>2</v>
      </c>
      <c r="Q4" s="10">
        <f>TBLPRODUKKELUARJUNI[[#This Row],[MODAL]]*TBLPRODUKKELUARJUNI[[#This Row],[JUMLAH TERJUAL]]</f>
        <v>12384.385964912281</v>
      </c>
      <c r="R4" s="10">
        <f>TBLPRODUKKELUARJUNI[[#This Row],[BUDGET KOMISI]]*TBLPRODUKKELUARJUNI[[#This Row],[JUMLAH TERJUAL]]</f>
        <v>1238.4385964912281</v>
      </c>
      <c r="S4" s="10">
        <f>TBLPRODUKKELUARJUNI[[#This Row],[MODAL DITAMBAH BUDGET KOMISI]]*TBLPRODUKKELUARJUNI[[#This Row],[JUMLAH TERJUAL]]</f>
        <v>13622.824561403508</v>
      </c>
      <c r="T4" s="10">
        <f>TBLPRODUKKELUARJUNI[[#This Row],[HARGA JUAL]]*TBLPRODUKKELUARJUNI[[#This Row],[JUMLAH TERJUAL]]</f>
        <v>18000</v>
      </c>
      <c r="U4" s="10">
        <f>TBLPRODUKKELUARJUNI[[#This Row],[SELISIH]]*TBLPRODUKKELUARJUNI[[#This Row],[JUMLAH TERJUAL]]</f>
        <v>4377.1754385964923</v>
      </c>
      <c r="V4" s="10">
        <f>TBLPRODUKKELUARJUNI[[#This Row],[LABA MITRA 8 %]]*TBLPRODUKKELUARJUNI[[#This Row],[JUMLAH TERJUAL]]</f>
        <v>619.21929824561403</v>
      </c>
      <c r="W4" s="10">
        <f>TBLPRODUKKELUARJUNI[[#This Row],[LABA KIRIM 8 %]]*TBLPRODUKKELUARJUNI[[#This Row],[JUMLAH TERKIRIM]]</f>
        <v>619.21929824561403</v>
      </c>
      <c r="X4" s="10">
        <f>TBLPRODUKKELUARJUNI[[#This Row],[TOTAL LABA MITRA 5%]]+TBLPRODUKKELUARJUNI[[#This Row],[TOTAL LABA KIRIM 5%]]</f>
        <v>1238.4385964912281</v>
      </c>
      <c r="Y4" s="10">
        <f>TBLPRODUKKELUARJUNI[[#This Row],[LABA BERSIH TOKO]]*TBLPRODUKKELUARJUNI[[#This Row],[JUMLAH TERJUAL]]</f>
        <v>4377.1754385964923</v>
      </c>
    </row>
    <row r="5" spans="1:25" x14ac:dyDescent="0.3">
      <c r="A5" s="4">
        <v>2026</v>
      </c>
      <c r="B5" s="15" t="s">
        <v>577</v>
      </c>
      <c r="C5" s="15">
        <v>46198</v>
      </c>
      <c r="D5" s="3" t="s">
        <v>374</v>
      </c>
      <c r="E5" s="3" t="s">
        <v>189</v>
      </c>
      <c r="F5" s="3" t="str">
        <f>VLOOKUP(TBLPRODUKKELUARJUNI[[#This Row],[NAMA CUSTOMER]],TBLDATACUSTOMER[],4,FALSE)</f>
        <v>CAHYA GALLERY</v>
      </c>
      <c r="G5" s="5">
        <f>VLOOKUP(TBLPRODUKKELUARJUNI[[#This Row],[NAMA PRODUK]],TBLKATALOG[],2,FALSE)</f>
        <v>6192.1929824561403</v>
      </c>
      <c r="H5" s="5">
        <f>VLOOKUP(TBLPRODUKKELUARJUNI[[#This Row],[NAMA PRODUK]],TBLKATALOG[],3,FALSE)</f>
        <v>619.21929824561403</v>
      </c>
      <c r="I5" s="5">
        <f>VLOOKUP(TBLPRODUKKELUARJUNI[[#This Row],[NAMA PRODUK]],TBLKATALOG[],4,FALSE)</f>
        <v>6811.4122807017538</v>
      </c>
      <c r="J5" s="5">
        <f>VLOOKUP(TBLPRODUKKELUARJUNI[[#This Row],[NAMA PRODUK]],TBLKATALOG[],5,FALSE)</f>
        <v>9000</v>
      </c>
      <c r="K5" s="10">
        <f>VLOOKUP(TBLPRODUKKELUARJUNI[[#This Row],[NAMA PRODUK]],TBLKATALOG[],6,FALSE)</f>
        <v>2188.5877192982462</v>
      </c>
      <c r="L5" s="10">
        <f>VLOOKUP(TBLPRODUKKELUARJUNI[[#This Row],[NAMA PRODUK]],TBLKATALOG[],7,FALSE)</f>
        <v>309.60964912280701</v>
      </c>
      <c r="M5" s="10">
        <f>VLOOKUP(TBLPRODUKKELUARJUNI[[#This Row],[NAMA PRODUK]],TBLKATALOG[],8,FALSE)</f>
        <v>309.60964912280701</v>
      </c>
      <c r="N5" s="10">
        <f>VLOOKUP(TBLPRODUKKELUARJUNI[[#This Row],[NAMA PRODUK]],TBLKATALOG[],9,FALSE)</f>
        <v>2188.5877192982462</v>
      </c>
      <c r="O5" s="10">
        <v>1</v>
      </c>
      <c r="P5" s="10">
        <v>1</v>
      </c>
      <c r="Q5" s="10">
        <f>TBLPRODUKKELUARJUNI[[#This Row],[MODAL]]*TBLPRODUKKELUARJUNI[[#This Row],[JUMLAH TERJUAL]]</f>
        <v>6192.1929824561403</v>
      </c>
      <c r="R5" s="10">
        <f>TBLPRODUKKELUARJUNI[[#This Row],[BUDGET KOMISI]]*TBLPRODUKKELUARJUNI[[#This Row],[JUMLAH TERJUAL]]</f>
        <v>619.21929824561403</v>
      </c>
      <c r="S5" s="10">
        <f>TBLPRODUKKELUARJUNI[[#This Row],[MODAL DITAMBAH BUDGET KOMISI]]*TBLPRODUKKELUARJUNI[[#This Row],[JUMLAH TERJUAL]]</f>
        <v>6811.4122807017538</v>
      </c>
      <c r="T5" s="10">
        <f>TBLPRODUKKELUARJUNI[[#This Row],[HARGA JUAL]]*TBLPRODUKKELUARJUNI[[#This Row],[JUMLAH TERJUAL]]</f>
        <v>9000</v>
      </c>
      <c r="U5" s="10">
        <f>TBLPRODUKKELUARJUNI[[#This Row],[SELISIH]]*TBLPRODUKKELUARJUNI[[#This Row],[JUMLAH TERJUAL]]</f>
        <v>2188.5877192982462</v>
      </c>
      <c r="V5" s="10">
        <f>TBLPRODUKKELUARJUNI[[#This Row],[LABA MITRA 8 %]]*TBLPRODUKKELUARJUNI[[#This Row],[JUMLAH TERJUAL]]</f>
        <v>309.60964912280701</v>
      </c>
      <c r="W5" s="10">
        <f>TBLPRODUKKELUARJUNI[[#This Row],[LABA KIRIM 8 %]]*TBLPRODUKKELUARJUNI[[#This Row],[JUMLAH TERKIRIM]]</f>
        <v>309.60964912280701</v>
      </c>
      <c r="X5" s="10">
        <f>TBLPRODUKKELUARJUNI[[#This Row],[TOTAL LABA MITRA 5%]]+TBLPRODUKKELUARJUNI[[#This Row],[TOTAL LABA KIRIM 5%]]</f>
        <v>619.21929824561403</v>
      </c>
      <c r="Y5" s="10">
        <f>TBLPRODUKKELUARJUNI[[#This Row],[LABA BERSIH TOKO]]*TBLPRODUKKELUARJUNI[[#This Row],[JUMLAH TERJUAL]]</f>
        <v>2188.5877192982462</v>
      </c>
    </row>
    <row r="6" spans="1:25" x14ac:dyDescent="0.3">
      <c r="A6" s="4">
        <v>2026</v>
      </c>
      <c r="B6" s="15" t="s">
        <v>577</v>
      </c>
      <c r="C6" s="15">
        <v>46198</v>
      </c>
      <c r="D6" s="3" t="s">
        <v>475</v>
      </c>
      <c r="E6" s="3" t="s">
        <v>91</v>
      </c>
      <c r="F6" s="3" t="str">
        <f>VLOOKUP(TBLPRODUKKELUARJUNI[[#This Row],[NAMA CUSTOMER]],TBLDATACUSTOMER[],4,FALSE)</f>
        <v>NURUL HIDAYATU SAMSIAH</v>
      </c>
      <c r="G6" s="5">
        <f>VLOOKUP(TBLPRODUKKELUARJUNI[[#This Row],[NAMA PRODUK]],TBLKATALOG[],2,FALSE)</f>
        <v>8378.6666666666679</v>
      </c>
      <c r="H6" s="5">
        <f>VLOOKUP(TBLPRODUKKELUARJUNI[[#This Row],[NAMA PRODUK]],TBLKATALOG[],3,FALSE)</f>
        <v>837.86666666666679</v>
      </c>
      <c r="I6" s="5">
        <f>VLOOKUP(TBLPRODUKKELUARJUNI[[#This Row],[NAMA PRODUK]],TBLKATALOG[],4,FALSE)</f>
        <v>9216.5333333333347</v>
      </c>
      <c r="J6" s="5">
        <f>VLOOKUP(TBLPRODUKKELUARJUNI[[#This Row],[NAMA PRODUK]],TBLKATALOG[],5,FALSE)</f>
        <v>12000</v>
      </c>
      <c r="K6" s="10">
        <f>VLOOKUP(TBLPRODUKKELUARJUNI[[#This Row],[NAMA PRODUK]],TBLKATALOG[],6,FALSE)</f>
        <v>2783.4666666666653</v>
      </c>
      <c r="L6" s="10">
        <f>VLOOKUP(TBLPRODUKKELUARJUNI[[#This Row],[NAMA PRODUK]],TBLKATALOG[],7,FALSE)</f>
        <v>418.93333333333339</v>
      </c>
      <c r="M6" s="10">
        <f>VLOOKUP(TBLPRODUKKELUARJUNI[[#This Row],[NAMA PRODUK]],TBLKATALOG[],8,FALSE)</f>
        <v>418.93333333333339</v>
      </c>
      <c r="N6" s="10">
        <f>VLOOKUP(TBLPRODUKKELUARJUNI[[#This Row],[NAMA PRODUK]],TBLKATALOG[],9,FALSE)</f>
        <v>2783.4666666666653</v>
      </c>
      <c r="O6" s="10">
        <v>3</v>
      </c>
      <c r="P6" s="10">
        <v>3</v>
      </c>
      <c r="Q6" s="10">
        <f>TBLPRODUKKELUARJUNI[[#This Row],[MODAL]]*TBLPRODUKKELUARJUNI[[#This Row],[JUMLAH TERJUAL]]</f>
        <v>25136.000000000004</v>
      </c>
      <c r="R6" s="10">
        <f>TBLPRODUKKELUARJUNI[[#This Row],[BUDGET KOMISI]]*TBLPRODUKKELUARJUNI[[#This Row],[JUMLAH TERJUAL]]</f>
        <v>2513.6000000000004</v>
      </c>
      <c r="S6" s="10">
        <f>TBLPRODUKKELUARJUNI[[#This Row],[MODAL DITAMBAH BUDGET KOMISI]]*TBLPRODUKKELUARJUNI[[#This Row],[JUMLAH TERJUAL]]</f>
        <v>27649.600000000006</v>
      </c>
      <c r="T6" s="10">
        <f>TBLPRODUKKELUARJUNI[[#This Row],[HARGA JUAL]]*TBLPRODUKKELUARJUNI[[#This Row],[JUMLAH TERJUAL]]</f>
        <v>36000</v>
      </c>
      <c r="U6" s="10">
        <f>TBLPRODUKKELUARJUNI[[#This Row],[SELISIH]]*TBLPRODUKKELUARJUNI[[#This Row],[JUMLAH TERJUAL]]</f>
        <v>8350.399999999996</v>
      </c>
      <c r="V6" s="10">
        <f>TBLPRODUKKELUARJUNI[[#This Row],[LABA MITRA 8 %]]*TBLPRODUKKELUARJUNI[[#This Row],[JUMLAH TERJUAL]]</f>
        <v>1256.8000000000002</v>
      </c>
      <c r="W6" s="10">
        <f>TBLPRODUKKELUARJUNI[[#This Row],[LABA KIRIM 8 %]]*TBLPRODUKKELUARJUNI[[#This Row],[JUMLAH TERKIRIM]]</f>
        <v>1256.8000000000002</v>
      </c>
      <c r="X6" s="10">
        <f>TBLPRODUKKELUARJUNI[[#This Row],[TOTAL LABA MITRA 5%]]+TBLPRODUKKELUARJUNI[[#This Row],[TOTAL LABA KIRIM 5%]]</f>
        <v>2513.6000000000004</v>
      </c>
      <c r="Y6" s="10">
        <f>TBLPRODUKKELUARJUNI[[#This Row],[LABA BERSIH TOKO]]*TBLPRODUKKELUARJUNI[[#This Row],[JUMLAH TERJUAL]]</f>
        <v>8350.399999999996</v>
      </c>
    </row>
    <row r="7" spans="1:25" x14ac:dyDescent="0.3">
      <c r="A7" s="4">
        <v>2026</v>
      </c>
      <c r="B7" s="15" t="s">
        <v>577</v>
      </c>
      <c r="C7" s="15">
        <v>46198</v>
      </c>
      <c r="D7" s="3" t="s">
        <v>475</v>
      </c>
      <c r="E7" s="3" t="s">
        <v>571</v>
      </c>
      <c r="F7" s="3" t="str">
        <f>VLOOKUP(TBLPRODUKKELUARJUNI[[#This Row],[NAMA CUSTOMER]],TBLDATACUSTOMER[],4,FALSE)</f>
        <v>CAHYA GALLERY</v>
      </c>
      <c r="G7" s="5">
        <f>VLOOKUP(TBLPRODUKKELUARJUNI[[#This Row],[NAMA PRODUK]],TBLKATALOG[],2,FALSE)</f>
        <v>8378.6666666666679</v>
      </c>
      <c r="H7" s="5">
        <f>VLOOKUP(TBLPRODUKKELUARJUNI[[#This Row],[NAMA PRODUK]],TBLKATALOG[],3,FALSE)</f>
        <v>837.86666666666679</v>
      </c>
      <c r="I7" s="5">
        <f>VLOOKUP(TBLPRODUKKELUARJUNI[[#This Row],[NAMA PRODUK]],TBLKATALOG[],4,FALSE)</f>
        <v>9216.5333333333347</v>
      </c>
      <c r="J7" s="5">
        <f>VLOOKUP(TBLPRODUKKELUARJUNI[[#This Row],[NAMA PRODUK]],TBLKATALOG[],5,FALSE)</f>
        <v>12000</v>
      </c>
      <c r="K7" s="10">
        <f>VLOOKUP(TBLPRODUKKELUARJUNI[[#This Row],[NAMA PRODUK]],TBLKATALOG[],6,FALSE)</f>
        <v>2783.4666666666653</v>
      </c>
      <c r="L7" s="10">
        <f>VLOOKUP(TBLPRODUKKELUARJUNI[[#This Row],[NAMA PRODUK]],TBLKATALOG[],7,FALSE)</f>
        <v>418.93333333333339</v>
      </c>
      <c r="M7" s="10">
        <f>VLOOKUP(TBLPRODUKKELUARJUNI[[#This Row],[NAMA PRODUK]],TBLKATALOG[],8,FALSE)</f>
        <v>418.93333333333339</v>
      </c>
      <c r="N7" s="10">
        <f>VLOOKUP(TBLPRODUKKELUARJUNI[[#This Row],[NAMA PRODUK]],TBLKATALOG[],9,FALSE)</f>
        <v>2783.4666666666653</v>
      </c>
      <c r="O7" s="10">
        <v>1</v>
      </c>
      <c r="P7" s="10">
        <v>1</v>
      </c>
      <c r="Q7" s="10">
        <f>TBLPRODUKKELUARJUNI[[#This Row],[MODAL]]*TBLPRODUKKELUARJUNI[[#This Row],[JUMLAH TERJUAL]]</f>
        <v>8378.6666666666679</v>
      </c>
      <c r="R7" s="10">
        <f>TBLPRODUKKELUARJUNI[[#This Row],[BUDGET KOMISI]]*TBLPRODUKKELUARJUNI[[#This Row],[JUMLAH TERJUAL]]</f>
        <v>837.86666666666679</v>
      </c>
      <c r="S7" s="10">
        <f>TBLPRODUKKELUARJUNI[[#This Row],[MODAL DITAMBAH BUDGET KOMISI]]*TBLPRODUKKELUARJUNI[[#This Row],[JUMLAH TERJUAL]]</f>
        <v>9216.5333333333347</v>
      </c>
      <c r="T7" s="10">
        <f>TBLPRODUKKELUARJUNI[[#This Row],[HARGA JUAL]]*TBLPRODUKKELUARJUNI[[#This Row],[JUMLAH TERJUAL]]</f>
        <v>12000</v>
      </c>
      <c r="U7" s="10">
        <f>TBLPRODUKKELUARJUNI[[#This Row],[SELISIH]]*TBLPRODUKKELUARJUNI[[#This Row],[JUMLAH TERJUAL]]</f>
        <v>2783.4666666666653</v>
      </c>
      <c r="V7" s="10">
        <f>TBLPRODUKKELUARJUNI[[#This Row],[LABA MITRA 8 %]]*TBLPRODUKKELUARJUNI[[#This Row],[JUMLAH TERJUAL]]</f>
        <v>418.93333333333339</v>
      </c>
      <c r="W7" s="10">
        <f>TBLPRODUKKELUARJUNI[[#This Row],[LABA KIRIM 8 %]]*TBLPRODUKKELUARJUNI[[#This Row],[JUMLAH TERKIRIM]]</f>
        <v>418.93333333333339</v>
      </c>
      <c r="X7" s="10">
        <f>TBLPRODUKKELUARJUNI[[#This Row],[TOTAL LABA MITRA 5%]]+TBLPRODUKKELUARJUNI[[#This Row],[TOTAL LABA KIRIM 5%]]</f>
        <v>837.86666666666679</v>
      </c>
      <c r="Y7" s="10">
        <f>TBLPRODUKKELUARJUNI[[#This Row],[LABA BERSIH TOKO]]*TBLPRODUKKELUARJUNI[[#This Row],[JUMLAH TERJUAL]]</f>
        <v>2783.4666666666653</v>
      </c>
    </row>
    <row r="8" spans="1:25" x14ac:dyDescent="0.3">
      <c r="A8" s="4">
        <v>2026</v>
      </c>
      <c r="B8" s="15" t="s">
        <v>577</v>
      </c>
      <c r="C8" s="15">
        <v>46198</v>
      </c>
      <c r="D8" s="3" t="s">
        <v>378</v>
      </c>
      <c r="E8" s="3" t="s">
        <v>314</v>
      </c>
      <c r="F8" s="3" t="str">
        <f>VLOOKUP(TBLPRODUKKELUARJUNI[[#This Row],[NAMA CUSTOMER]],TBLDATACUSTOMER[],4,FALSE)</f>
        <v>CAHYA GALLERY</v>
      </c>
      <c r="G8" s="5">
        <f>VLOOKUP(TBLPRODUKKELUARJUNI[[#This Row],[NAMA PRODUK]],TBLKATALOG[],2,FALSE)</f>
        <v>8174.7192982456145</v>
      </c>
      <c r="H8" s="5">
        <f>VLOOKUP(TBLPRODUKKELUARJUNI[[#This Row],[NAMA PRODUK]],TBLKATALOG[],3,FALSE)</f>
        <v>817.47192982456147</v>
      </c>
      <c r="I8" s="5">
        <f>VLOOKUP(TBLPRODUKKELUARJUNI[[#This Row],[NAMA PRODUK]],TBLKATALOG[],4,FALSE)</f>
        <v>8992.1912280701763</v>
      </c>
      <c r="J8" s="5">
        <f>VLOOKUP(TBLPRODUKKELUARJUNI[[#This Row],[NAMA PRODUK]],TBLKATALOG[],5,FALSE)</f>
        <v>12000</v>
      </c>
      <c r="K8" s="10">
        <f>VLOOKUP(TBLPRODUKKELUARJUNI[[#This Row],[NAMA PRODUK]],TBLKATALOG[],6,FALSE)</f>
        <v>3007.8087719298237</v>
      </c>
      <c r="L8" s="10">
        <f>VLOOKUP(TBLPRODUKKELUARJUNI[[#This Row],[NAMA PRODUK]],TBLKATALOG[],7,FALSE)</f>
        <v>408.73596491228074</v>
      </c>
      <c r="M8" s="10">
        <f>VLOOKUP(TBLPRODUKKELUARJUNI[[#This Row],[NAMA PRODUK]],TBLKATALOG[],8,FALSE)</f>
        <v>408.73596491228074</v>
      </c>
      <c r="N8" s="10">
        <f>VLOOKUP(TBLPRODUKKELUARJUNI[[#This Row],[NAMA PRODUK]],TBLKATALOG[],9,FALSE)</f>
        <v>3007.8087719298237</v>
      </c>
      <c r="O8" s="10">
        <v>2</v>
      </c>
      <c r="P8" s="10">
        <v>2</v>
      </c>
      <c r="Q8" s="10">
        <f>TBLPRODUKKELUARJUNI[[#This Row],[MODAL]]*TBLPRODUKKELUARJUNI[[#This Row],[JUMLAH TERJUAL]]</f>
        <v>16349.438596491229</v>
      </c>
      <c r="R8" s="10">
        <f>TBLPRODUKKELUARJUNI[[#This Row],[BUDGET KOMISI]]*TBLPRODUKKELUARJUNI[[#This Row],[JUMLAH TERJUAL]]</f>
        <v>1634.9438596491229</v>
      </c>
      <c r="S8" s="10">
        <f>TBLPRODUKKELUARJUNI[[#This Row],[MODAL DITAMBAH BUDGET KOMISI]]*TBLPRODUKKELUARJUNI[[#This Row],[JUMLAH TERJUAL]]</f>
        <v>17984.382456140353</v>
      </c>
      <c r="T8" s="10">
        <f>TBLPRODUKKELUARJUNI[[#This Row],[HARGA JUAL]]*TBLPRODUKKELUARJUNI[[#This Row],[JUMLAH TERJUAL]]</f>
        <v>24000</v>
      </c>
      <c r="U8" s="10">
        <f>TBLPRODUKKELUARJUNI[[#This Row],[SELISIH]]*TBLPRODUKKELUARJUNI[[#This Row],[JUMLAH TERJUAL]]</f>
        <v>6015.6175438596474</v>
      </c>
      <c r="V8" s="10">
        <f>TBLPRODUKKELUARJUNI[[#This Row],[LABA MITRA 8 %]]*TBLPRODUKKELUARJUNI[[#This Row],[JUMLAH TERJUAL]]</f>
        <v>817.47192982456147</v>
      </c>
      <c r="W8" s="10">
        <f>TBLPRODUKKELUARJUNI[[#This Row],[LABA KIRIM 8 %]]*TBLPRODUKKELUARJUNI[[#This Row],[JUMLAH TERKIRIM]]</f>
        <v>817.47192982456147</v>
      </c>
      <c r="X8" s="10">
        <f>TBLPRODUKKELUARJUNI[[#This Row],[TOTAL LABA MITRA 5%]]+TBLPRODUKKELUARJUNI[[#This Row],[TOTAL LABA KIRIM 5%]]</f>
        <v>1634.9438596491229</v>
      </c>
      <c r="Y8" s="10">
        <f>TBLPRODUKKELUARJUNI[[#This Row],[LABA BERSIH TOKO]]*TBLPRODUKKELUARJUNI[[#This Row],[JUMLAH TERJUAL]]</f>
        <v>6015.6175438596474</v>
      </c>
    </row>
    <row r="9" spans="1:25" x14ac:dyDescent="0.3">
      <c r="A9" s="4">
        <v>2026</v>
      </c>
      <c r="B9" s="15" t="s">
        <v>577</v>
      </c>
      <c r="C9" s="15">
        <v>46198</v>
      </c>
      <c r="D9" s="3" t="s">
        <v>474</v>
      </c>
      <c r="E9" s="3" t="s">
        <v>571</v>
      </c>
      <c r="F9" s="3" t="str">
        <f>VLOOKUP(TBLPRODUKKELUARJUNI[[#This Row],[NAMA CUSTOMER]],TBLDATACUSTOMER[],4,FALSE)</f>
        <v>CAHYA GALLERY</v>
      </c>
      <c r="G9" s="5">
        <f>VLOOKUP(TBLPRODUKKELUARJUNI[[#This Row],[NAMA PRODUK]],TBLKATALOG[],2,FALSE)</f>
        <v>8478.6666666666679</v>
      </c>
      <c r="H9" s="5">
        <f>VLOOKUP(TBLPRODUKKELUARJUNI[[#This Row],[NAMA PRODUK]],TBLKATALOG[],3,FALSE)</f>
        <v>847.86666666666679</v>
      </c>
      <c r="I9" s="5">
        <f>VLOOKUP(TBLPRODUKKELUARJUNI[[#This Row],[NAMA PRODUK]],TBLKATALOG[],4,FALSE)</f>
        <v>9326.5333333333347</v>
      </c>
      <c r="J9" s="5">
        <f>VLOOKUP(TBLPRODUKKELUARJUNI[[#This Row],[NAMA PRODUK]],TBLKATALOG[],5,FALSE)</f>
        <v>12000</v>
      </c>
      <c r="K9" s="10">
        <f>VLOOKUP(TBLPRODUKKELUARJUNI[[#This Row],[NAMA PRODUK]],TBLKATALOG[],6,FALSE)</f>
        <v>2673.4666666666653</v>
      </c>
      <c r="L9" s="10">
        <f>VLOOKUP(TBLPRODUKKELUARJUNI[[#This Row],[NAMA PRODUK]],TBLKATALOG[],7,FALSE)</f>
        <v>423.93333333333339</v>
      </c>
      <c r="M9" s="10">
        <f>VLOOKUP(TBLPRODUKKELUARJUNI[[#This Row],[NAMA PRODUK]],TBLKATALOG[],8,FALSE)</f>
        <v>423.93333333333339</v>
      </c>
      <c r="N9" s="10">
        <f>VLOOKUP(TBLPRODUKKELUARJUNI[[#This Row],[NAMA PRODUK]],TBLKATALOG[],9,FALSE)</f>
        <v>2673.4666666666653</v>
      </c>
      <c r="O9" s="10">
        <v>1</v>
      </c>
      <c r="P9" s="10">
        <v>1</v>
      </c>
      <c r="Q9" s="10">
        <f>TBLPRODUKKELUARJUNI[[#This Row],[MODAL]]*TBLPRODUKKELUARJUNI[[#This Row],[JUMLAH TERJUAL]]</f>
        <v>8478.6666666666679</v>
      </c>
      <c r="R9" s="10">
        <f>TBLPRODUKKELUARJUNI[[#This Row],[BUDGET KOMISI]]*TBLPRODUKKELUARJUNI[[#This Row],[JUMLAH TERJUAL]]</f>
        <v>847.86666666666679</v>
      </c>
      <c r="S9" s="10">
        <f>TBLPRODUKKELUARJUNI[[#This Row],[MODAL DITAMBAH BUDGET KOMISI]]*TBLPRODUKKELUARJUNI[[#This Row],[JUMLAH TERJUAL]]</f>
        <v>9326.5333333333347</v>
      </c>
      <c r="T9" s="10">
        <f>TBLPRODUKKELUARJUNI[[#This Row],[HARGA JUAL]]*TBLPRODUKKELUARJUNI[[#This Row],[JUMLAH TERJUAL]]</f>
        <v>12000</v>
      </c>
      <c r="U9" s="10">
        <f>TBLPRODUKKELUARJUNI[[#This Row],[SELISIH]]*TBLPRODUKKELUARJUNI[[#This Row],[JUMLAH TERJUAL]]</f>
        <v>2673.4666666666653</v>
      </c>
      <c r="V9" s="10">
        <f>TBLPRODUKKELUARJUNI[[#This Row],[LABA MITRA 8 %]]*TBLPRODUKKELUARJUNI[[#This Row],[JUMLAH TERJUAL]]</f>
        <v>423.93333333333339</v>
      </c>
      <c r="W9" s="10">
        <f>TBLPRODUKKELUARJUNI[[#This Row],[LABA KIRIM 8 %]]*TBLPRODUKKELUARJUNI[[#This Row],[JUMLAH TERKIRIM]]</f>
        <v>423.93333333333339</v>
      </c>
      <c r="X9" s="10">
        <f>TBLPRODUKKELUARJUNI[[#This Row],[TOTAL LABA MITRA 5%]]+TBLPRODUKKELUARJUNI[[#This Row],[TOTAL LABA KIRIM 5%]]</f>
        <v>847.86666666666679</v>
      </c>
      <c r="Y9" s="10">
        <f>TBLPRODUKKELUARJUNI[[#This Row],[LABA BERSIH TOKO]]*TBLPRODUKKELUARJUNI[[#This Row],[JUMLAH TERJUAL]]</f>
        <v>2673.4666666666653</v>
      </c>
    </row>
    <row r="10" spans="1:25" x14ac:dyDescent="0.3">
      <c r="A10" s="4">
        <v>2026</v>
      </c>
      <c r="B10" s="15" t="s">
        <v>577</v>
      </c>
      <c r="C10" s="15">
        <v>46198</v>
      </c>
      <c r="D10" s="3" t="s">
        <v>373</v>
      </c>
      <c r="E10" s="3" t="s">
        <v>34</v>
      </c>
      <c r="F10" s="3" t="str">
        <f>VLOOKUP(TBLPRODUKKELUARJUNI[[#This Row],[NAMA CUSTOMER]],TBLDATACUSTOMER[],4,FALSE)</f>
        <v>NURUL HIDAYATU SAMSIAH</v>
      </c>
      <c r="G10" s="5">
        <f>VLOOKUP(TBLPRODUKKELUARJUNI[[#This Row],[NAMA PRODUK]],TBLKATALOG[],2,FALSE)</f>
        <v>6122.1929824561403</v>
      </c>
      <c r="H10" s="5">
        <f>VLOOKUP(TBLPRODUKKELUARJUNI[[#This Row],[NAMA PRODUK]],TBLKATALOG[],3,FALSE)</f>
        <v>612.21929824561403</v>
      </c>
      <c r="I10" s="5">
        <f>VLOOKUP(TBLPRODUKKELUARJUNI[[#This Row],[NAMA PRODUK]],TBLKATALOG[],4,FALSE)</f>
        <v>6734.4122807017538</v>
      </c>
      <c r="J10" s="5">
        <f>VLOOKUP(TBLPRODUKKELUARJUNI[[#This Row],[NAMA PRODUK]],TBLKATALOG[],5,FALSE)</f>
        <v>9000</v>
      </c>
      <c r="K10" s="10">
        <f>VLOOKUP(TBLPRODUKKELUARJUNI[[#This Row],[NAMA PRODUK]],TBLKATALOG[],6,FALSE)</f>
        <v>2265.5877192982462</v>
      </c>
      <c r="L10" s="10">
        <f>VLOOKUP(TBLPRODUKKELUARJUNI[[#This Row],[NAMA PRODUK]],TBLKATALOG[],7,FALSE)</f>
        <v>306.10964912280701</v>
      </c>
      <c r="M10" s="10">
        <f>VLOOKUP(TBLPRODUKKELUARJUNI[[#This Row],[NAMA PRODUK]],TBLKATALOG[],8,FALSE)</f>
        <v>306.10964912280701</v>
      </c>
      <c r="N10" s="10">
        <f>VLOOKUP(TBLPRODUKKELUARJUNI[[#This Row],[NAMA PRODUK]],TBLKATALOG[],9,FALSE)</f>
        <v>2265.5877192982462</v>
      </c>
      <c r="O10" s="10">
        <v>2</v>
      </c>
      <c r="P10" s="10">
        <v>2</v>
      </c>
      <c r="Q10" s="10">
        <f>TBLPRODUKKELUARJUNI[[#This Row],[MODAL]]*TBLPRODUKKELUARJUNI[[#This Row],[JUMLAH TERJUAL]]</f>
        <v>12244.385964912281</v>
      </c>
      <c r="R10" s="10">
        <f>TBLPRODUKKELUARJUNI[[#This Row],[BUDGET KOMISI]]*TBLPRODUKKELUARJUNI[[#This Row],[JUMLAH TERJUAL]]</f>
        <v>1224.4385964912281</v>
      </c>
      <c r="S10" s="10">
        <f>TBLPRODUKKELUARJUNI[[#This Row],[MODAL DITAMBAH BUDGET KOMISI]]*TBLPRODUKKELUARJUNI[[#This Row],[JUMLAH TERJUAL]]</f>
        <v>13468.824561403508</v>
      </c>
      <c r="T10" s="10">
        <f>TBLPRODUKKELUARJUNI[[#This Row],[HARGA JUAL]]*TBLPRODUKKELUARJUNI[[#This Row],[JUMLAH TERJUAL]]</f>
        <v>18000</v>
      </c>
      <c r="U10" s="10">
        <f>TBLPRODUKKELUARJUNI[[#This Row],[SELISIH]]*TBLPRODUKKELUARJUNI[[#This Row],[JUMLAH TERJUAL]]</f>
        <v>4531.1754385964923</v>
      </c>
      <c r="V10" s="10">
        <f>TBLPRODUKKELUARJUNI[[#This Row],[LABA MITRA 8 %]]*TBLPRODUKKELUARJUNI[[#This Row],[JUMLAH TERJUAL]]</f>
        <v>612.21929824561403</v>
      </c>
      <c r="W10" s="10">
        <f>TBLPRODUKKELUARJUNI[[#This Row],[LABA KIRIM 8 %]]*TBLPRODUKKELUARJUNI[[#This Row],[JUMLAH TERKIRIM]]</f>
        <v>612.21929824561403</v>
      </c>
      <c r="X10" s="10">
        <f>TBLPRODUKKELUARJUNI[[#This Row],[TOTAL LABA MITRA 5%]]+TBLPRODUKKELUARJUNI[[#This Row],[TOTAL LABA KIRIM 5%]]</f>
        <v>1224.4385964912281</v>
      </c>
      <c r="Y10" s="10">
        <f>TBLPRODUKKELUARJUNI[[#This Row],[LABA BERSIH TOKO]]*TBLPRODUKKELUARJUNI[[#This Row],[JUMLAH TERJUAL]]</f>
        <v>4531.1754385964923</v>
      </c>
    </row>
    <row r="11" spans="1:25" x14ac:dyDescent="0.3">
      <c r="B11" s="15"/>
      <c r="C11" s="1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3">
      <c r="B12" s="15"/>
      <c r="C12" s="1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3">
      <c r="B13" s="15"/>
      <c r="C13" s="1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3">
      <c r="A14" s="4" t="s">
        <v>590</v>
      </c>
    </row>
    <row r="15" spans="1:25" s="6" customFormat="1" ht="28.8" x14ac:dyDescent="0.3">
      <c r="A15" s="1" t="s">
        <v>109</v>
      </c>
      <c r="B15" s="1" t="s">
        <v>61</v>
      </c>
      <c r="C15" s="1" t="s">
        <v>1</v>
      </c>
      <c r="D15" s="1" t="s">
        <v>3</v>
      </c>
      <c r="E15" s="1" t="s">
        <v>25</v>
      </c>
      <c r="F15" s="1" t="s">
        <v>54</v>
      </c>
      <c r="G15" s="1" t="s">
        <v>113</v>
      </c>
      <c r="H15" s="10" t="s">
        <v>125</v>
      </c>
      <c r="I15" s="1" t="s">
        <v>126</v>
      </c>
      <c r="J15" s="10" t="s">
        <v>0</v>
      </c>
      <c r="K15" s="10" t="s">
        <v>19</v>
      </c>
      <c r="L15" s="10" t="s">
        <v>107</v>
      </c>
      <c r="M15" s="10" t="s">
        <v>106</v>
      </c>
      <c r="N15" s="10" t="s">
        <v>72</v>
      </c>
      <c r="O15" s="14" t="s">
        <v>50</v>
      </c>
      <c r="P15" s="14" t="s">
        <v>51</v>
      </c>
      <c r="Q15" s="10" t="s">
        <v>114</v>
      </c>
      <c r="R15" s="10" t="s">
        <v>21</v>
      </c>
      <c r="S15" s="10" t="s">
        <v>115</v>
      </c>
      <c r="T15" s="10" t="s">
        <v>22</v>
      </c>
      <c r="U15" s="10" t="s">
        <v>23</v>
      </c>
      <c r="V15" s="10" t="s">
        <v>283</v>
      </c>
      <c r="W15" s="10" t="s">
        <v>284</v>
      </c>
      <c r="X15" s="1" t="s">
        <v>59</v>
      </c>
      <c r="Y15" s="1" t="s">
        <v>99</v>
      </c>
    </row>
    <row r="16" spans="1:25" x14ac:dyDescent="0.3">
      <c r="A16" s="4">
        <v>2026</v>
      </c>
      <c r="B16" s="15" t="s">
        <v>590</v>
      </c>
      <c r="C16" s="15">
        <v>46206</v>
      </c>
      <c r="D16" s="3" t="s">
        <v>374</v>
      </c>
      <c r="E16" s="3" t="s">
        <v>446</v>
      </c>
      <c r="F16" s="3" t="str">
        <f>VLOOKUP(TBLPRODUKKELUARJULI[[#This Row],[NAMA CUSTOMER]],TBLDATACUSTOMER[],4,FALSE)</f>
        <v>RIA</v>
      </c>
      <c r="G16" s="5">
        <f>VLOOKUP(TBLPRODUKKELUARJULI[[#This Row],[NAMA PRODUK]],TBLKATALOG[],2,FALSE)</f>
        <v>6192.1929824561403</v>
      </c>
      <c r="H16" s="5">
        <f>VLOOKUP(TBLPRODUKKELUARJULI[[#This Row],[NAMA PRODUK]],TBLKATALOG[],3,FALSE)</f>
        <v>619.21929824561403</v>
      </c>
      <c r="I16" s="5">
        <f>VLOOKUP(TBLPRODUKKELUARJULI[[#This Row],[NAMA PRODUK]],TBLKATALOG[],4,FALSE)</f>
        <v>6811.4122807017538</v>
      </c>
      <c r="J16" s="5">
        <f>VLOOKUP(TBLPRODUKKELUARJULI[[#This Row],[NAMA PRODUK]],TBLKATALOG[],5,FALSE)</f>
        <v>9000</v>
      </c>
      <c r="K16" s="10">
        <f>VLOOKUP(TBLPRODUKKELUARJULI[[#This Row],[NAMA PRODUK]],TBLKATALOG[],6,FALSE)</f>
        <v>2188.5877192982462</v>
      </c>
      <c r="L16" s="10">
        <f>VLOOKUP(TBLPRODUKKELUARJULI[[#This Row],[NAMA PRODUK]],TBLKATALOG[],7,FALSE)</f>
        <v>309.60964912280701</v>
      </c>
      <c r="M16" s="10">
        <f>VLOOKUP(TBLPRODUKKELUARJULI[[#This Row],[NAMA PRODUK]],TBLKATALOG[],8,FALSE)</f>
        <v>309.60964912280701</v>
      </c>
      <c r="N16" s="10">
        <f>VLOOKUP(TBLPRODUKKELUARJULI[[#This Row],[NAMA PRODUK]],TBLKATALOG[],9,FALSE)</f>
        <v>2188.5877192982462</v>
      </c>
      <c r="O16" s="10">
        <v>2</v>
      </c>
      <c r="P16" s="10">
        <v>2</v>
      </c>
      <c r="Q16" s="10">
        <f>TBLPRODUKKELUARJULI[[#This Row],[MODAL]]*TBLPRODUKKELUARJULI[[#This Row],[JUMLAH TERJUAL]]</f>
        <v>12384.385964912281</v>
      </c>
      <c r="R16" s="10">
        <f>TBLPRODUKKELUARJULI[[#This Row],[BUDGET KOMISI]]*TBLPRODUKKELUARJULI[[#This Row],[JUMLAH TERJUAL]]</f>
        <v>1238.4385964912281</v>
      </c>
      <c r="S16" s="10">
        <f>TBLPRODUKKELUARJULI[[#This Row],[MODAL DITAMBAH BUDGET KOMISI]]*TBLPRODUKKELUARJULI[[#This Row],[JUMLAH TERJUAL]]</f>
        <v>13622.824561403508</v>
      </c>
      <c r="T16" s="10">
        <f>TBLPRODUKKELUARJULI[[#This Row],[HARGA JUAL]]*TBLPRODUKKELUARJULI[[#This Row],[JUMLAH TERJUAL]]</f>
        <v>18000</v>
      </c>
      <c r="U16" s="10">
        <f>TBLPRODUKKELUARJULI[[#This Row],[SELISIH]]*TBLPRODUKKELUARJULI[[#This Row],[JUMLAH TERJUAL]]</f>
        <v>4377.1754385964923</v>
      </c>
      <c r="V16" s="10">
        <f>TBLPRODUKKELUARJULI[[#This Row],[LABA MITRA 8 %]]*TBLPRODUKKELUARJULI[[#This Row],[JUMLAH TERJUAL]]</f>
        <v>619.21929824561403</v>
      </c>
      <c r="W16" s="10">
        <f>TBLPRODUKKELUARJULI[[#This Row],[LABA KIRIM 8 %]]*TBLPRODUKKELUARJULI[[#This Row],[JUMLAH TERKIRIM]]</f>
        <v>619.21929824561403</v>
      </c>
      <c r="X16" s="10">
        <f>TBLPRODUKKELUARJULI[[#This Row],[TOTAL LABA MITRA 5%]]+TBLPRODUKKELUARJULI[[#This Row],[TOTAL LABA KIRIM 5%]]</f>
        <v>1238.4385964912281</v>
      </c>
      <c r="Y16" s="10">
        <f>TBLPRODUKKELUARJULI[[#This Row],[LABA BERSIH TOKO]]*TBLPRODUKKELUARJULI[[#This Row],[JUMLAH TERJUAL]]</f>
        <v>4377.1754385964923</v>
      </c>
    </row>
    <row r="17" spans="1:25" x14ac:dyDescent="0.3">
      <c r="A17" s="4">
        <v>2026</v>
      </c>
      <c r="B17" s="15" t="s">
        <v>590</v>
      </c>
      <c r="C17" s="15">
        <v>46206</v>
      </c>
      <c r="D17" s="3" t="s">
        <v>373</v>
      </c>
      <c r="E17" s="3" t="s">
        <v>446</v>
      </c>
      <c r="F17" s="3" t="str">
        <f>VLOOKUP(TBLPRODUKKELUARJULI[[#This Row],[NAMA CUSTOMER]],TBLDATACUSTOMER[],4,FALSE)</f>
        <v>RIA</v>
      </c>
      <c r="G17" s="5">
        <f>VLOOKUP(TBLPRODUKKELUARJULI[[#This Row],[NAMA PRODUK]],TBLKATALOG[],2,FALSE)</f>
        <v>6122.1929824561403</v>
      </c>
      <c r="H17" s="5">
        <f>VLOOKUP(TBLPRODUKKELUARJULI[[#This Row],[NAMA PRODUK]],TBLKATALOG[],3,FALSE)</f>
        <v>612.21929824561403</v>
      </c>
      <c r="I17" s="5">
        <f>VLOOKUP(TBLPRODUKKELUARJULI[[#This Row],[NAMA PRODUK]],TBLKATALOG[],4,FALSE)</f>
        <v>6734.4122807017538</v>
      </c>
      <c r="J17" s="5">
        <f>VLOOKUP(TBLPRODUKKELUARJULI[[#This Row],[NAMA PRODUK]],TBLKATALOG[],5,FALSE)</f>
        <v>9000</v>
      </c>
      <c r="K17" s="10">
        <f>VLOOKUP(TBLPRODUKKELUARJULI[[#This Row],[NAMA PRODUK]],TBLKATALOG[],6,FALSE)</f>
        <v>2265.5877192982462</v>
      </c>
      <c r="L17" s="10">
        <f>VLOOKUP(TBLPRODUKKELUARJULI[[#This Row],[NAMA PRODUK]],TBLKATALOG[],7,FALSE)</f>
        <v>306.10964912280701</v>
      </c>
      <c r="M17" s="10">
        <f>VLOOKUP(TBLPRODUKKELUARJULI[[#This Row],[NAMA PRODUK]],TBLKATALOG[],8,FALSE)</f>
        <v>306.10964912280701</v>
      </c>
      <c r="N17" s="10">
        <f>VLOOKUP(TBLPRODUKKELUARJULI[[#This Row],[NAMA PRODUK]],TBLKATALOG[],9,FALSE)</f>
        <v>2265.5877192982462</v>
      </c>
      <c r="O17" s="10">
        <v>2</v>
      </c>
      <c r="P17" s="10">
        <v>2</v>
      </c>
      <c r="Q17" s="10">
        <f>TBLPRODUKKELUARJULI[[#This Row],[MODAL]]*TBLPRODUKKELUARJULI[[#This Row],[JUMLAH TERJUAL]]</f>
        <v>12244.385964912281</v>
      </c>
      <c r="R17" s="10">
        <f>TBLPRODUKKELUARJULI[[#This Row],[BUDGET KOMISI]]*TBLPRODUKKELUARJULI[[#This Row],[JUMLAH TERJUAL]]</f>
        <v>1224.4385964912281</v>
      </c>
      <c r="S17" s="10">
        <f>TBLPRODUKKELUARJULI[[#This Row],[MODAL DITAMBAH BUDGET KOMISI]]*TBLPRODUKKELUARJULI[[#This Row],[JUMLAH TERJUAL]]</f>
        <v>13468.824561403508</v>
      </c>
      <c r="T17" s="10">
        <f>TBLPRODUKKELUARJULI[[#This Row],[HARGA JUAL]]*TBLPRODUKKELUARJULI[[#This Row],[JUMLAH TERJUAL]]</f>
        <v>18000</v>
      </c>
      <c r="U17" s="10">
        <f>TBLPRODUKKELUARJULI[[#This Row],[SELISIH]]*TBLPRODUKKELUARJULI[[#This Row],[JUMLAH TERJUAL]]</f>
        <v>4531.1754385964923</v>
      </c>
      <c r="V17" s="10">
        <f>TBLPRODUKKELUARJULI[[#This Row],[LABA MITRA 8 %]]*TBLPRODUKKELUARJULI[[#This Row],[JUMLAH TERJUAL]]</f>
        <v>612.21929824561403</v>
      </c>
      <c r="W17" s="10">
        <f>TBLPRODUKKELUARJULI[[#This Row],[LABA KIRIM 8 %]]*TBLPRODUKKELUARJULI[[#This Row],[JUMLAH TERKIRIM]]</f>
        <v>612.21929824561403</v>
      </c>
      <c r="X17" s="10">
        <f>TBLPRODUKKELUARJULI[[#This Row],[TOTAL LABA MITRA 5%]]+TBLPRODUKKELUARJULI[[#This Row],[TOTAL LABA KIRIM 5%]]</f>
        <v>1224.4385964912281</v>
      </c>
      <c r="Y17" s="10">
        <f>TBLPRODUKKELUARJULI[[#This Row],[LABA BERSIH TOKO]]*TBLPRODUKKELUARJULI[[#This Row],[JUMLAH TERJUAL]]</f>
        <v>4531.1754385964923</v>
      </c>
    </row>
    <row r="18" spans="1:25" x14ac:dyDescent="0.3">
      <c r="A18" s="4">
        <v>2026</v>
      </c>
      <c r="B18" s="15" t="s">
        <v>590</v>
      </c>
      <c r="C18" s="15">
        <v>46207</v>
      </c>
      <c r="D18" s="3" t="s">
        <v>374</v>
      </c>
      <c r="E18" s="3" t="s">
        <v>446</v>
      </c>
      <c r="F18" s="3" t="str">
        <f>VLOOKUP(TBLPRODUKKELUARJULI[[#This Row],[NAMA CUSTOMER]],TBLDATACUSTOMER[],4,FALSE)</f>
        <v>RIA</v>
      </c>
      <c r="G18" s="5">
        <f>VLOOKUP(TBLPRODUKKELUARJULI[[#This Row],[NAMA PRODUK]],TBLKATALOG[],2,FALSE)</f>
        <v>6192.1929824561403</v>
      </c>
      <c r="H18" s="5">
        <f>VLOOKUP(TBLPRODUKKELUARJULI[[#This Row],[NAMA PRODUK]],TBLKATALOG[],3,FALSE)</f>
        <v>619.21929824561403</v>
      </c>
      <c r="I18" s="5">
        <f>VLOOKUP(TBLPRODUKKELUARJULI[[#This Row],[NAMA PRODUK]],TBLKATALOG[],4,FALSE)</f>
        <v>6811.4122807017538</v>
      </c>
      <c r="J18" s="5">
        <f>VLOOKUP(TBLPRODUKKELUARJULI[[#This Row],[NAMA PRODUK]],TBLKATALOG[],5,FALSE)</f>
        <v>9000</v>
      </c>
      <c r="K18" s="10">
        <f>VLOOKUP(TBLPRODUKKELUARJULI[[#This Row],[NAMA PRODUK]],TBLKATALOG[],6,FALSE)</f>
        <v>2188.5877192982462</v>
      </c>
      <c r="L18" s="10">
        <f>VLOOKUP(TBLPRODUKKELUARJULI[[#This Row],[NAMA PRODUK]],TBLKATALOG[],7,FALSE)</f>
        <v>309.60964912280701</v>
      </c>
      <c r="M18" s="10">
        <f>VLOOKUP(TBLPRODUKKELUARJULI[[#This Row],[NAMA PRODUK]],TBLKATALOG[],8,FALSE)</f>
        <v>309.60964912280701</v>
      </c>
      <c r="N18" s="10">
        <f>VLOOKUP(TBLPRODUKKELUARJULI[[#This Row],[NAMA PRODUK]],TBLKATALOG[],9,FALSE)</f>
        <v>2188.5877192982462</v>
      </c>
      <c r="O18" s="10">
        <v>2</v>
      </c>
      <c r="P18" s="10">
        <v>2</v>
      </c>
      <c r="Q18" s="10">
        <f>TBLPRODUKKELUARJULI[[#This Row],[MODAL]]*TBLPRODUKKELUARJULI[[#This Row],[JUMLAH TERJUAL]]</f>
        <v>12384.385964912281</v>
      </c>
      <c r="R18" s="10">
        <f>TBLPRODUKKELUARJULI[[#This Row],[BUDGET KOMISI]]*TBLPRODUKKELUARJULI[[#This Row],[JUMLAH TERJUAL]]</f>
        <v>1238.4385964912281</v>
      </c>
      <c r="S18" s="10">
        <f>TBLPRODUKKELUARJULI[[#This Row],[MODAL DITAMBAH BUDGET KOMISI]]*TBLPRODUKKELUARJULI[[#This Row],[JUMLAH TERJUAL]]</f>
        <v>13622.824561403508</v>
      </c>
      <c r="T18" s="10">
        <f>TBLPRODUKKELUARJULI[[#This Row],[HARGA JUAL]]*TBLPRODUKKELUARJULI[[#This Row],[JUMLAH TERJUAL]]</f>
        <v>18000</v>
      </c>
      <c r="U18" s="10">
        <f>TBLPRODUKKELUARJULI[[#This Row],[SELISIH]]*TBLPRODUKKELUARJULI[[#This Row],[JUMLAH TERJUAL]]</f>
        <v>4377.1754385964923</v>
      </c>
      <c r="V18" s="10">
        <f>TBLPRODUKKELUARJULI[[#This Row],[LABA MITRA 8 %]]*TBLPRODUKKELUARJULI[[#This Row],[JUMLAH TERJUAL]]</f>
        <v>619.21929824561403</v>
      </c>
      <c r="W18" s="10">
        <f>TBLPRODUKKELUARJULI[[#This Row],[LABA KIRIM 8 %]]*TBLPRODUKKELUARJULI[[#This Row],[JUMLAH TERKIRIM]]</f>
        <v>619.21929824561403</v>
      </c>
      <c r="X18" s="10">
        <f>TBLPRODUKKELUARJULI[[#This Row],[TOTAL LABA MITRA 5%]]+TBLPRODUKKELUARJULI[[#This Row],[TOTAL LABA KIRIM 5%]]</f>
        <v>1238.4385964912281</v>
      </c>
      <c r="Y18" s="10">
        <f>TBLPRODUKKELUARJULI[[#This Row],[LABA BERSIH TOKO]]*TBLPRODUKKELUARJULI[[#This Row],[JUMLAH TERJUAL]]</f>
        <v>4377.1754385964923</v>
      </c>
    </row>
    <row r="19" spans="1:25" x14ac:dyDescent="0.3">
      <c r="A19" s="4">
        <v>2026</v>
      </c>
      <c r="B19" s="15" t="s">
        <v>590</v>
      </c>
      <c r="C19" s="15">
        <v>46207</v>
      </c>
      <c r="D19" s="3" t="s">
        <v>373</v>
      </c>
      <c r="E19" s="3" t="s">
        <v>446</v>
      </c>
      <c r="F19" s="3" t="str">
        <f>VLOOKUP(TBLPRODUKKELUARJULI[[#This Row],[NAMA CUSTOMER]],TBLDATACUSTOMER[],4,FALSE)</f>
        <v>RIA</v>
      </c>
      <c r="G19" s="5">
        <f>VLOOKUP(TBLPRODUKKELUARJULI[[#This Row],[NAMA PRODUK]],TBLKATALOG[],2,FALSE)</f>
        <v>6122.1929824561403</v>
      </c>
      <c r="H19" s="5">
        <f>VLOOKUP(TBLPRODUKKELUARJULI[[#This Row],[NAMA PRODUK]],TBLKATALOG[],3,FALSE)</f>
        <v>612.21929824561403</v>
      </c>
      <c r="I19" s="5">
        <f>VLOOKUP(TBLPRODUKKELUARJULI[[#This Row],[NAMA PRODUK]],TBLKATALOG[],4,FALSE)</f>
        <v>6734.4122807017538</v>
      </c>
      <c r="J19" s="5">
        <f>VLOOKUP(TBLPRODUKKELUARJULI[[#This Row],[NAMA PRODUK]],TBLKATALOG[],5,FALSE)</f>
        <v>9000</v>
      </c>
      <c r="K19" s="10">
        <f>VLOOKUP(TBLPRODUKKELUARJULI[[#This Row],[NAMA PRODUK]],TBLKATALOG[],6,FALSE)</f>
        <v>2265.5877192982462</v>
      </c>
      <c r="L19" s="10">
        <f>VLOOKUP(TBLPRODUKKELUARJULI[[#This Row],[NAMA PRODUK]],TBLKATALOG[],7,FALSE)</f>
        <v>306.10964912280701</v>
      </c>
      <c r="M19" s="10">
        <f>VLOOKUP(TBLPRODUKKELUARJULI[[#This Row],[NAMA PRODUK]],TBLKATALOG[],8,FALSE)</f>
        <v>306.10964912280701</v>
      </c>
      <c r="N19" s="10">
        <f>VLOOKUP(TBLPRODUKKELUARJULI[[#This Row],[NAMA PRODUK]],TBLKATALOG[],9,FALSE)</f>
        <v>2265.5877192982462</v>
      </c>
      <c r="O19" s="10">
        <v>3</v>
      </c>
      <c r="P19" s="10">
        <v>3</v>
      </c>
      <c r="Q19" s="10">
        <f>TBLPRODUKKELUARJULI[[#This Row],[MODAL]]*TBLPRODUKKELUARJULI[[#This Row],[JUMLAH TERJUAL]]</f>
        <v>18366.57894736842</v>
      </c>
      <c r="R19" s="10">
        <f>TBLPRODUKKELUARJULI[[#This Row],[BUDGET KOMISI]]*TBLPRODUKKELUARJULI[[#This Row],[JUMLAH TERJUAL]]</f>
        <v>1836.6578947368421</v>
      </c>
      <c r="S19" s="10">
        <f>TBLPRODUKKELUARJULI[[#This Row],[MODAL DITAMBAH BUDGET KOMISI]]*TBLPRODUKKELUARJULI[[#This Row],[JUMLAH TERJUAL]]</f>
        <v>20203.23684210526</v>
      </c>
      <c r="T19" s="10">
        <f>TBLPRODUKKELUARJULI[[#This Row],[HARGA JUAL]]*TBLPRODUKKELUARJULI[[#This Row],[JUMLAH TERJUAL]]</f>
        <v>27000</v>
      </c>
      <c r="U19" s="10">
        <f>TBLPRODUKKELUARJULI[[#This Row],[SELISIH]]*TBLPRODUKKELUARJULI[[#This Row],[JUMLAH TERJUAL]]</f>
        <v>6796.7631578947385</v>
      </c>
      <c r="V19" s="10">
        <f>TBLPRODUKKELUARJULI[[#This Row],[LABA MITRA 8 %]]*TBLPRODUKKELUARJULI[[#This Row],[JUMLAH TERJUAL]]</f>
        <v>918.32894736842104</v>
      </c>
      <c r="W19" s="10">
        <f>TBLPRODUKKELUARJULI[[#This Row],[LABA KIRIM 8 %]]*TBLPRODUKKELUARJULI[[#This Row],[JUMLAH TERKIRIM]]</f>
        <v>918.32894736842104</v>
      </c>
      <c r="X19" s="10">
        <f>TBLPRODUKKELUARJULI[[#This Row],[TOTAL LABA MITRA 5%]]+TBLPRODUKKELUARJULI[[#This Row],[TOTAL LABA KIRIM 5%]]</f>
        <v>1836.6578947368421</v>
      </c>
      <c r="Y19" s="10">
        <f>TBLPRODUKKELUARJULI[[#This Row],[LABA BERSIH TOKO]]*TBLPRODUKKELUARJULI[[#This Row],[JUMLAH TERJUAL]]</f>
        <v>6796.7631578947385</v>
      </c>
    </row>
    <row r="20" spans="1:25" x14ac:dyDescent="0.3">
      <c r="A20" s="4">
        <v>2026</v>
      </c>
      <c r="B20" s="15" t="s">
        <v>590</v>
      </c>
      <c r="C20" s="15">
        <v>46207</v>
      </c>
      <c r="D20" s="3" t="s">
        <v>378</v>
      </c>
      <c r="E20" s="3" t="s">
        <v>422</v>
      </c>
      <c r="F20" s="3" t="str">
        <f>VLOOKUP(TBLPRODUKKELUARJULI[[#This Row],[NAMA CUSTOMER]],TBLDATACUSTOMER[],4,FALSE)</f>
        <v>NURUL HIDAYATU SAMSIAH</v>
      </c>
      <c r="G20" s="5">
        <f>VLOOKUP(TBLPRODUKKELUARJULI[[#This Row],[NAMA PRODUK]],TBLKATALOG[],2,FALSE)</f>
        <v>8174.7192982456145</v>
      </c>
      <c r="H20" s="5">
        <f>VLOOKUP(TBLPRODUKKELUARJULI[[#This Row],[NAMA PRODUK]],TBLKATALOG[],3,FALSE)</f>
        <v>817.47192982456147</v>
      </c>
      <c r="I20" s="5">
        <f>VLOOKUP(TBLPRODUKKELUARJULI[[#This Row],[NAMA PRODUK]],TBLKATALOG[],4,FALSE)</f>
        <v>8992.1912280701763</v>
      </c>
      <c r="J20" s="5">
        <f>VLOOKUP(TBLPRODUKKELUARJULI[[#This Row],[NAMA PRODUK]],TBLKATALOG[],5,FALSE)</f>
        <v>12000</v>
      </c>
      <c r="K20" s="10">
        <f>VLOOKUP(TBLPRODUKKELUARJULI[[#This Row],[NAMA PRODUK]],TBLKATALOG[],6,FALSE)</f>
        <v>3007.8087719298237</v>
      </c>
      <c r="L20" s="10">
        <f>VLOOKUP(TBLPRODUKKELUARJULI[[#This Row],[NAMA PRODUK]],TBLKATALOG[],7,FALSE)</f>
        <v>408.73596491228074</v>
      </c>
      <c r="M20" s="10">
        <f>VLOOKUP(TBLPRODUKKELUARJULI[[#This Row],[NAMA PRODUK]],TBLKATALOG[],8,FALSE)</f>
        <v>408.73596491228074</v>
      </c>
      <c r="N20" s="10">
        <f>VLOOKUP(TBLPRODUKKELUARJULI[[#This Row],[NAMA PRODUK]],TBLKATALOG[],9,FALSE)</f>
        <v>3007.8087719298237</v>
      </c>
      <c r="O20" s="10">
        <v>5</v>
      </c>
      <c r="P20" s="10">
        <v>5</v>
      </c>
      <c r="Q20" s="10">
        <f>TBLPRODUKKELUARJULI[[#This Row],[MODAL]]*TBLPRODUKKELUARJULI[[#This Row],[JUMLAH TERJUAL]]</f>
        <v>40873.596491228076</v>
      </c>
      <c r="R20" s="10">
        <f>TBLPRODUKKELUARJULI[[#This Row],[BUDGET KOMISI]]*TBLPRODUKKELUARJULI[[#This Row],[JUMLAH TERJUAL]]</f>
        <v>4087.3596491228072</v>
      </c>
      <c r="S20" s="10">
        <f>TBLPRODUKKELUARJULI[[#This Row],[MODAL DITAMBAH BUDGET KOMISI]]*TBLPRODUKKELUARJULI[[#This Row],[JUMLAH TERJUAL]]</f>
        <v>44960.956140350885</v>
      </c>
      <c r="T20" s="10">
        <f>TBLPRODUKKELUARJULI[[#This Row],[HARGA JUAL]]*TBLPRODUKKELUARJULI[[#This Row],[JUMLAH TERJUAL]]</f>
        <v>60000</v>
      </c>
      <c r="U20" s="10">
        <f>TBLPRODUKKELUARJULI[[#This Row],[SELISIH]]*TBLPRODUKKELUARJULI[[#This Row],[JUMLAH TERJUAL]]</f>
        <v>15039.043859649119</v>
      </c>
      <c r="V20" s="10">
        <f>TBLPRODUKKELUARJULI[[#This Row],[LABA MITRA 8 %]]*TBLPRODUKKELUARJULI[[#This Row],[JUMLAH TERJUAL]]</f>
        <v>2043.6798245614036</v>
      </c>
      <c r="W20" s="10">
        <f>TBLPRODUKKELUARJULI[[#This Row],[LABA KIRIM 8 %]]*TBLPRODUKKELUARJULI[[#This Row],[JUMLAH TERKIRIM]]</f>
        <v>2043.6798245614036</v>
      </c>
      <c r="X20" s="10">
        <f>TBLPRODUKKELUARJULI[[#This Row],[TOTAL LABA MITRA 5%]]+TBLPRODUKKELUARJULI[[#This Row],[TOTAL LABA KIRIM 5%]]</f>
        <v>4087.3596491228072</v>
      </c>
      <c r="Y20" s="10">
        <f>TBLPRODUKKELUARJULI[[#This Row],[LABA BERSIH TOKO]]*TBLPRODUKKELUARJULI[[#This Row],[JUMLAH TERJUAL]]</f>
        <v>15039.043859649119</v>
      </c>
    </row>
    <row r="21" spans="1:25" x14ac:dyDescent="0.3">
      <c r="A21" s="4">
        <v>2026</v>
      </c>
      <c r="B21" s="15" t="s">
        <v>590</v>
      </c>
      <c r="C21" s="15">
        <v>46207</v>
      </c>
      <c r="D21" s="3" t="s">
        <v>377</v>
      </c>
      <c r="E21" s="3" t="s">
        <v>422</v>
      </c>
      <c r="F21" s="3" t="str">
        <f>VLOOKUP(TBLPRODUKKELUARJULI[[#This Row],[NAMA CUSTOMER]],TBLDATACUSTOMER[],4,FALSE)</f>
        <v>NURUL HIDAYATU SAMSIAH</v>
      </c>
      <c r="G21" s="5">
        <f>VLOOKUP(TBLPRODUKKELUARJULI[[#This Row],[NAMA PRODUK]],TBLKATALOG[],2,FALSE)</f>
        <v>8274.7192982456145</v>
      </c>
      <c r="H21" s="5">
        <f>VLOOKUP(TBLPRODUKKELUARJULI[[#This Row],[NAMA PRODUK]],TBLKATALOG[],3,FALSE)</f>
        <v>827.47192982456147</v>
      </c>
      <c r="I21" s="5">
        <f>VLOOKUP(TBLPRODUKKELUARJULI[[#This Row],[NAMA PRODUK]],TBLKATALOG[],4,FALSE)</f>
        <v>9102.1912280701763</v>
      </c>
      <c r="J21" s="5">
        <f>VLOOKUP(TBLPRODUKKELUARJULI[[#This Row],[NAMA PRODUK]],TBLKATALOG[],5,FALSE)</f>
        <v>12000</v>
      </c>
      <c r="K21" s="10">
        <f>VLOOKUP(TBLPRODUKKELUARJULI[[#This Row],[NAMA PRODUK]],TBLKATALOG[],6,FALSE)</f>
        <v>2897.8087719298237</v>
      </c>
      <c r="L21" s="10">
        <f>VLOOKUP(TBLPRODUKKELUARJULI[[#This Row],[NAMA PRODUK]],TBLKATALOG[],7,FALSE)</f>
        <v>413.73596491228074</v>
      </c>
      <c r="M21" s="10">
        <f>VLOOKUP(TBLPRODUKKELUARJULI[[#This Row],[NAMA PRODUK]],TBLKATALOG[],8,FALSE)</f>
        <v>413.73596491228074</v>
      </c>
      <c r="N21" s="10">
        <f>VLOOKUP(TBLPRODUKKELUARJULI[[#This Row],[NAMA PRODUK]],TBLKATALOG[],9,FALSE)</f>
        <v>2897.8087719298237</v>
      </c>
      <c r="O21" s="10">
        <v>2</v>
      </c>
      <c r="P21" s="10">
        <v>2</v>
      </c>
      <c r="Q21" s="10">
        <f>TBLPRODUKKELUARJULI[[#This Row],[MODAL]]*TBLPRODUKKELUARJULI[[#This Row],[JUMLAH TERJUAL]]</f>
        <v>16549.438596491229</v>
      </c>
      <c r="R21" s="10">
        <f>TBLPRODUKKELUARJULI[[#This Row],[BUDGET KOMISI]]*TBLPRODUKKELUARJULI[[#This Row],[JUMLAH TERJUAL]]</f>
        <v>1654.9438596491229</v>
      </c>
      <c r="S21" s="10">
        <f>TBLPRODUKKELUARJULI[[#This Row],[MODAL DITAMBAH BUDGET KOMISI]]*TBLPRODUKKELUARJULI[[#This Row],[JUMLAH TERJUAL]]</f>
        <v>18204.382456140353</v>
      </c>
      <c r="T21" s="10">
        <f>TBLPRODUKKELUARJULI[[#This Row],[HARGA JUAL]]*TBLPRODUKKELUARJULI[[#This Row],[JUMLAH TERJUAL]]</f>
        <v>24000</v>
      </c>
      <c r="U21" s="10">
        <f>TBLPRODUKKELUARJULI[[#This Row],[SELISIH]]*TBLPRODUKKELUARJULI[[#This Row],[JUMLAH TERJUAL]]</f>
        <v>5795.6175438596474</v>
      </c>
      <c r="V21" s="10">
        <f>TBLPRODUKKELUARJULI[[#This Row],[LABA MITRA 8 %]]*TBLPRODUKKELUARJULI[[#This Row],[JUMLAH TERJUAL]]</f>
        <v>827.47192982456147</v>
      </c>
      <c r="W21" s="10">
        <f>TBLPRODUKKELUARJULI[[#This Row],[LABA KIRIM 8 %]]*TBLPRODUKKELUARJULI[[#This Row],[JUMLAH TERKIRIM]]</f>
        <v>827.47192982456147</v>
      </c>
      <c r="X21" s="10">
        <f>TBLPRODUKKELUARJULI[[#This Row],[TOTAL LABA MITRA 5%]]+TBLPRODUKKELUARJULI[[#This Row],[TOTAL LABA KIRIM 5%]]</f>
        <v>1654.9438596491229</v>
      </c>
      <c r="Y21" s="10">
        <f>TBLPRODUKKELUARJULI[[#This Row],[LABA BERSIH TOKO]]*TBLPRODUKKELUARJULI[[#This Row],[JUMLAH TERJUAL]]</f>
        <v>5795.6175438596474</v>
      </c>
    </row>
    <row r="22" spans="1:25" x14ac:dyDescent="0.3">
      <c r="A22" s="4">
        <v>2026</v>
      </c>
      <c r="B22" s="15" t="s">
        <v>590</v>
      </c>
      <c r="C22" s="15">
        <v>46207</v>
      </c>
      <c r="D22" s="3" t="s">
        <v>374</v>
      </c>
      <c r="E22" s="3" t="s">
        <v>34</v>
      </c>
      <c r="F22" s="3" t="str">
        <f>VLOOKUP(TBLPRODUKKELUARJULI[[#This Row],[NAMA CUSTOMER]],TBLDATACUSTOMER[],4,FALSE)</f>
        <v>NURUL HIDAYATU SAMSIAH</v>
      </c>
      <c r="G22" s="5">
        <f>VLOOKUP(TBLPRODUKKELUARJULI[[#This Row],[NAMA PRODUK]],TBLKATALOG[],2,FALSE)</f>
        <v>6192.1929824561403</v>
      </c>
      <c r="H22" s="5">
        <f>VLOOKUP(TBLPRODUKKELUARJULI[[#This Row],[NAMA PRODUK]],TBLKATALOG[],3,FALSE)</f>
        <v>619.21929824561403</v>
      </c>
      <c r="I22" s="5">
        <f>VLOOKUP(TBLPRODUKKELUARJULI[[#This Row],[NAMA PRODUK]],TBLKATALOG[],4,FALSE)</f>
        <v>6811.4122807017538</v>
      </c>
      <c r="J22" s="5">
        <f>VLOOKUP(TBLPRODUKKELUARJULI[[#This Row],[NAMA PRODUK]],TBLKATALOG[],5,FALSE)</f>
        <v>9000</v>
      </c>
      <c r="K22" s="10">
        <f>VLOOKUP(TBLPRODUKKELUARJULI[[#This Row],[NAMA PRODUK]],TBLKATALOG[],6,FALSE)</f>
        <v>2188.5877192982462</v>
      </c>
      <c r="L22" s="10">
        <f>VLOOKUP(TBLPRODUKKELUARJULI[[#This Row],[NAMA PRODUK]],TBLKATALOG[],7,FALSE)</f>
        <v>309.60964912280701</v>
      </c>
      <c r="M22" s="10">
        <f>VLOOKUP(TBLPRODUKKELUARJULI[[#This Row],[NAMA PRODUK]],TBLKATALOG[],8,FALSE)</f>
        <v>309.60964912280701</v>
      </c>
      <c r="N22" s="10">
        <f>VLOOKUP(TBLPRODUKKELUARJULI[[#This Row],[NAMA PRODUK]],TBLKATALOG[],9,FALSE)</f>
        <v>2188.5877192982462</v>
      </c>
      <c r="O22" s="10">
        <v>1</v>
      </c>
      <c r="P22" s="10">
        <v>1</v>
      </c>
      <c r="Q22" s="10">
        <f>TBLPRODUKKELUARJULI[[#This Row],[MODAL]]*TBLPRODUKKELUARJULI[[#This Row],[JUMLAH TERJUAL]]</f>
        <v>6192.1929824561403</v>
      </c>
      <c r="R22" s="10">
        <f>TBLPRODUKKELUARJULI[[#This Row],[BUDGET KOMISI]]*TBLPRODUKKELUARJULI[[#This Row],[JUMLAH TERJUAL]]</f>
        <v>619.21929824561403</v>
      </c>
      <c r="S22" s="10">
        <f>TBLPRODUKKELUARJULI[[#This Row],[MODAL DITAMBAH BUDGET KOMISI]]*TBLPRODUKKELUARJULI[[#This Row],[JUMLAH TERJUAL]]</f>
        <v>6811.4122807017538</v>
      </c>
      <c r="T22" s="10">
        <f>TBLPRODUKKELUARJULI[[#This Row],[HARGA JUAL]]*TBLPRODUKKELUARJULI[[#This Row],[JUMLAH TERJUAL]]</f>
        <v>9000</v>
      </c>
      <c r="U22" s="10">
        <f>TBLPRODUKKELUARJULI[[#This Row],[SELISIH]]*TBLPRODUKKELUARJULI[[#This Row],[JUMLAH TERJUAL]]</f>
        <v>2188.5877192982462</v>
      </c>
      <c r="V22" s="10">
        <f>TBLPRODUKKELUARJULI[[#This Row],[LABA MITRA 8 %]]*TBLPRODUKKELUARJULI[[#This Row],[JUMLAH TERJUAL]]</f>
        <v>309.60964912280701</v>
      </c>
      <c r="W22" s="10">
        <f>TBLPRODUKKELUARJULI[[#This Row],[LABA KIRIM 8 %]]*TBLPRODUKKELUARJULI[[#This Row],[JUMLAH TERKIRIM]]</f>
        <v>309.60964912280701</v>
      </c>
      <c r="X22" s="10">
        <f>TBLPRODUKKELUARJULI[[#This Row],[TOTAL LABA MITRA 5%]]+TBLPRODUKKELUARJULI[[#This Row],[TOTAL LABA KIRIM 5%]]</f>
        <v>619.21929824561403</v>
      </c>
      <c r="Y22" s="10">
        <f>TBLPRODUKKELUARJULI[[#This Row],[LABA BERSIH TOKO]]*TBLPRODUKKELUARJULI[[#This Row],[JUMLAH TERJUAL]]</f>
        <v>2188.5877192982462</v>
      </c>
    </row>
    <row r="23" spans="1:25" x14ac:dyDescent="0.3">
      <c r="A23" s="4">
        <v>2026</v>
      </c>
      <c r="B23" s="15" t="s">
        <v>590</v>
      </c>
      <c r="C23" s="15">
        <v>46207</v>
      </c>
      <c r="D23" s="3" t="s">
        <v>377</v>
      </c>
      <c r="E23" s="3" t="s">
        <v>14</v>
      </c>
      <c r="F23" s="3" t="str">
        <f>VLOOKUP(TBLPRODUKKELUARJULI[[#This Row],[NAMA CUSTOMER]],TBLDATACUSTOMER[],4,FALSE)</f>
        <v>DENI</v>
      </c>
      <c r="G23" s="5">
        <f>VLOOKUP(TBLPRODUKKELUARJULI[[#This Row],[NAMA PRODUK]],TBLKATALOG[],2,FALSE)</f>
        <v>8274.7192982456145</v>
      </c>
      <c r="H23" s="5">
        <f>VLOOKUP(TBLPRODUKKELUARJULI[[#This Row],[NAMA PRODUK]],TBLKATALOG[],3,FALSE)</f>
        <v>827.47192982456147</v>
      </c>
      <c r="I23" s="5">
        <f>VLOOKUP(TBLPRODUKKELUARJULI[[#This Row],[NAMA PRODUK]],TBLKATALOG[],4,FALSE)</f>
        <v>9102.1912280701763</v>
      </c>
      <c r="J23" s="5">
        <f>VLOOKUP(TBLPRODUKKELUARJULI[[#This Row],[NAMA PRODUK]],TBLKATALOG[],5,FALSE)</f>
        <v>12000</v>
      </c>
      <c r="K23" s="10">
        <f>VLOOKUP(TBLPRODUKKELUARJULI[[#This Row],[NAMA PRODUK]],TBLKATALOG[],6,FALSE)</f>
        <v>2897.8087719298237</v>
      </c>
      <c r="L23" s="10">
        <f>VLOOKUP(TBLPRODUKKELUARJULI[[#This Row],[NAMA PRODUK]],TBLKATALOG[],7,FALSE)</f>
        <v>413.73596491228074</v>
      </c>
      <c r="M23" s="10">
        <f>VLOOKUP(TBLPRODUKKELUARJULI[[#This Row],[NAMA PRODUK]],TBLKATALOG[],8,FALSE)</f>
        <v>413.73596491228074</v>
      </c>
      <c r="N23" s="10">
        <f>VLOOKUP(TBLPRODUKKELUARJULI[[#This Row],[NAMA PRODUK]],TBLKATALOG[],9,FALSE)</f>
        <v>2897.8087719298237</v>
      </c>
      <c r="O23" s="10">
        <v>1</v>
      </c>
      <c r="P23" s="10">
        <v>1</v>
      </c>
      <c r="Q23" s="10">
        <f>TBLPRODUKKELUARJULI[[#This Row],[MODAL]]*TBLPRODUKKELUARJULI[[#This Row],[JUMLAH TERJUAL]]</f>
        <v>8274.7192982456145</v>
      </c>
      <c r="R23" s="10">
        <f>TBLPRODUKKELUARJULI[[#This Row],[BUDGET KOMISI]]*TBLPRODUKKELUARJULI[[#This Row],[JUMLAH TERJUAL]]</f>
        <v>827.47192982456147</v>
      </c>
      <c r="S23" s="10">
        <f>TBLPRODUKKELUARJULI[[#This Row],[MODAL DITAMBAH BUDGET KOMISI]]*TBLPRODUKKELUARJULI[[#This Row],[JUMLAH TERJUAL]]</f>
        <v>9102.1912280701763</v>
      </c>
      <c r="T23" s="10">
        <f>TBLPRODUKKELUARJULI[[#This Row],[HARGA JUAL]]*TBLPRODUKKELUARJULI[[#This Row],[JUMLAH TERJUAL]]</f>
        <v>12000</v>
      </c>
      <c r="U23" s="10">
        <f>TBLPRODUKKELUARJULI[[#This Row],[SELISIH]]*TBLPRODUKKELUARJULI[[#This Row],[JUMLAH TERJUAL]]</f>
        <v>2897.8087719298237</v>
      </c>
      <c r="V23" s="10">
        <f>TBLPRODUKKELUARJULI[[#This Row],[LABA MITRA 8 %]]*TBLPRODUKKELUARJULI[[#This Row],[JUMLAH TERJUAL]]</f>
        <v>413.73596491228074</v>
      </c>
      <c r="W23" s="10">
        <f>TBLPRODUKKELUARJULI[[#This Row],[LABA KIRIM 8 %]]*TBLPRODUKKELUARJULI[[#This Row],[JUMLAH TERKIRIM]]</f>
        <v>413.73596491228074</v>
      </c>
      <c r="X23" s="10">
        <f>TBLPRODUKKELUARJULI[[#This Row],[TOTAL LABA MITRA 5%]]+TBLPRODUKKELUARJULI[[#This Row],[TOTAL LABA KIRIM 5%]]</f>
        <v>827.47192982456147</v>
      </c>
      <c r="Y23" s="10">
        <f>TBLPRODUKKELUARJULI[[#This Row],[LABA BERSIH TOKO]]*TBLPRODUKKELUARJULI[[#This Row],[JUMLAH TERJUAL]]</f>
        <v>2897.8087719298237</v>
      </c>
    </row>
    <row r="24" spans="1:25" x14ac:dyDescent="0.3">
      <c r="A24" s="4">
        <v>2026</v>
      </c>
      <c r="B24" s="15" t="s">
        <v>590</v>
      </c>
      <c r="C24" s="15">
        <v>46208</v>
      </c>
      <c r="D24" s="3" t="s">
        <v>374</v>
      </c>
      <c r="E24" s="3" t="s">
        <v>446</v>
      </c>
      <c r="F24" s="3" t="str">
        <f>VLOOKUP(TBLPRODUKKELUARJULI[[#This Row],[NAMA CUSTOMER]],TBLDATACUSTOMER[],4,FALSE)</f>
        <v>RIA</v>
      </c>
      <c r="G24" s="5">
        <f>VLOOKUP(TBLPRODUKKELUARJULI[[#This Row],[NAMA PRODUK]],TBLKATALOG[],2,FALSE)</f>
        <v>6192.1929824561403</v>
      </c>
      <c r="H24" s="5">
        <f>VLOOKUP(TBLPRODUKKELUARJULI[[#This Row],[NAMA PRODUK]],TBLKATALOG[],3,FALSE)</f>
        <v>619.21929824561403</v>
      </c>
      <c r="I24" s="5">
        <f>VLOOKUP(TBLPRODUKKELUARJULI[[#This Row],[NAMA PRODUK]],TBLKATALOG[],4,FALSE)</f>
        <v>6811.4122807017538</v>
      </c>
      <c r="J24" s="5">
        <f>VLOOKUP(TBLPRODUKKELUARJULI[[#This Row],[NAMA PRODUK]],TBLKATALOG[],5,FALSE)</f>
        <v>9000</v>
      </c>
      <c r="K24" s="10">
        <f>VLOOKUP(TBLPRODUKKELUARJULI[[#This Row],[NAMA PRODUK]],TBLKATALOG[],6,FALSE)</f>
        <v>2188.5877192982462</v>
      </c>
      <c r="L24" s="10">
        <f>VLOOKUP(TBLPRODUKKELUARJULI[[#This Row],[NAMA PRODUK]],TBLKATALOG[],7,FALSE)</f>
        <v>309.60964912280701</v>
      </c>
      <c r="M24" s="10">
        <f>VLOOKUP(TBLPRODUKKELUARJULI[[#This Row],[NAMA PRODUK]],TBLKATALOG[],8,FALSE)</f>
        <v>309.60964912280701</v>
      </c>
      <c r="N24" s="10">
        <f>VLOOKUP(TBLPRODUKKELUARJULI[[#This Row],[NAMA PRODUK]],TBLKATALOG[],9,FALSE)</f>
        <v>2188.5877192982462</v>
      </c>
      <c r="O24" s="10">
        <v>2</v>
      </c>
      <c r="P24" s="10">
        <v>2</v>
      </c>
      <c r="Q24" s="10">
        <f>TBLPRODUKKELUARJULI[[#This Row],[MODAL]]*TBLPRODUKKELUARJULI[[#This Row],[JUMLAH TERJUAL]]</f>
        <v>12384.385964912281</v>
      </c>
      <c r="R24" s="10">
        <f>TBLPRODUKKELUARJULI[[#This Row],[BUDGET KOMISI]]*TBLPRODUKKELUARJULI[[#This Row],[JUMLAH TERJUAL]]</f>
        <v>1238.4385964912281</v>
      </c>
      <c r="S24" s="10">
        <f>TBLPRODUKKELUARJULI[[#This Row],[MODAL DITAMBAH BUDGET KOMISI]]*TBLPRODUKKELUARJULI[[#This Row],[JUMLAH TERJUAL]]</f>
        <v>13622.824561403508</v>
      </c>
      <c r="T24" s="10">
        <f>TBLPRODUKKELUARJULI[[#This Row],[HARGA JUAL]]*TBLPRODUKKELUARJULI[[#This Row],[JUMLAH TERJUAL]]</f>
        <v>18000</v>
      </c>
      <c r="U24" s="10">
        <f>TBLPRODUKKELUARJULI[[#This Row],[SELISIH]]*TBLPRODUKKELUARJULI[[#This Row],[JUMLAH TERJUAL]]</f>
        <v>4377.1754385964923</v>
      </c>
      <c r="V24" s="10">
        <f>TBLPRODUKKELUARJULI[[#This Row],[LABA MITRA 8 %]]*TBLPRODUKKELUARJULI[[#This Row],[JUMLAH TERJUAL]]</f>
        <v>619.21929824561403</v>
      </c>
      <c r="W24" s="10">
        <f>TBLPRODUKKELUARJULI[[#This Row],[LABA KIRIM 8 %]]*TBLPRODUKKELUARJULI[[#This Row],[JUMLAH TERKIRIM]]</f>
        <v>619.21929824561403</v>
      </c>
      <c r="X24" s="10">
        <f>TBLPRODUKKELUARJULI[[#This Row],[TOTAL LABA MITRA 5%]]+TBLPRODUKKELUARJULI[[#This Row],[TOTAL LABA KIRIM 5%]]</f>
        <v>1238.4385964912281</v>
      </c>
      <c r="Y24" s="10">
        <f>TBLPRODUKKELUARJULI[[#This Row],[LABA BERSIH TOKO]]*TBLPRODUKKELUARJULI[[#This Row],[JUMLAH TERJUAL]]</f>
        <v>4377.1754385964923</v>
      </c>
    </row>
    <row r="25" spans="1:25" x14ac:dyDescent="0.3">
      <c r="A25" s="4">
        <v>2026</v>
      </c>
      <c r="B25" s="15" t="s">
        <v>590</v>
      </c>
      <c r="C25" s="15">
        <v>46208</v>
      </c>
      <c r="D25" s="3" t="s">
        <v>373</v>
      </c>
      <c r="E25" s="3" t="s">
        <v>446</v>
      </c>
      <c r="F25" s="3" t="str">
        <f>VLOOKUP(TBLPRODUKKELUARJULI[[#This Row],[NAMA CUSTOMER]],TBLDATACUSTOMER[],4,FALSE)</f>
        <v>RIA</v>
      </c>
      <c r="G25" s="5">
        <f>VLOOKUP(TBLPRODUKKELUARJULI[[#This Row],[NAMA PRODUK]],TBLKATALOG[],2,FALSE)</f>
        <v>6122.1929824561403</v>
      </c>
      <c r="H25" s="5">
        <f>VLOOKUP(TBLPRODUKKELUARJULI[[#This Row],[NAMA PRODUK]],TBLKATALOG[],3,FALSE)</f>
        <v>612.21929824561403</v>
      </c>
      <c r="I25" s="5">
        <f>VLOOKUP(TBLPRODUKKELUARJULI[[#This Row],[NAMA PRODUK]],TBLKATALOG[],4,FALSE)</f>
        <v>6734.4122807017538</v>
      </c>
      <c r="J25" s="5">
        <f>VLOOKUP(TBLPRODUKKELUARJULI[[#This Row],[NAMA PRODUK]],TBLKATALOG[],5,FALSE)</f>
        <v>9000</v>
      </c>
      <c r="K25" s="10">
        <f>VLOOKUP(TBLPRODUKKELUARJULI[[#This Row],[NAMA PRODUK]],TBLKATALOG[],6,FALSE)</f>
        <v>2265.5877192982462</v>
      </c>
      <c r="L25" s="10">
        <f>VLOOKUP(TBLPRODUKKELUARJULI[[#This Row],[NAMA PRODUK]],TBLKATALOG[],7,FALSE)</f>
        <v>306.10964912280701</v>
      </c>
      <c r="M25" s="10">
        <f>VLOOKUP(TBLPRODUKKELUARJULI[[#This Row],[NAMA PRODUK]],TBLKATALOG[],8,FALSE)</f>
        <v>306.10964912280701</v>
      </c>
      <c r="N25" s="10">
        <f>VLOOKUP(TBLPRODUKKELUARJULI[[#This Row],[NAMA PRODUK]],TBLKATALOG[],9,FALSE)</f>
        <v>2265.5877192982462</v>
      </c>
      <c r="O25" s="10">
        <v>2</v>
      </c>
      <c r="P25" s="10">
        <v>2</v>
      </c>
      <c r="Q25" s="10">
        <f>TBLPRODUKKELUARJULI[[#This Row],[MODAL]]*TBLPRODUKKELUARJULI[[#This Row],[JUMLAH TERJUAL]]</f>
        <v>12244.385964912281</v>
      </c>
      <c r="R25" s="10">
        <f>TBLPRODUKKELUARJULI[[#This Row],[BUDGET KOMISI]]*TBLPRODUKKELUARJULI[[#This Row],[JUMLAH TERJUAL]]</f>
        <v>1224.4385964912281</v>
      </c>
      <c r="S25" s="10">
        <f>TBLPRODUKKELUARJULI[[#This Row],[MODAL DITAMBAH BUDGET KOMISI]]*TBLPRODUKKELUARJULI[[#This Row],[JUMLAH TERJUAL]]</f>
        <v>13468.824561403508</v>
      </c>
      <c r="T25" s="10">
        <f>TBLPRODUKKELUARJULI[[#This Row],[HARGA JUAL]]*TBLPRODUKKELUARJULI[[#This Row],[JUMLAH TERJUAL]]</f>
        <v>18000</v>
      </c>
      <c r="U25" s="10">
        <f>TBLPRODUKKELUARJULI[[#This Row],[SELISIH]]*TBLPRODUKKELUARJULI[[#This Row],[JUMLAH TERJUAL]]</f>
        <v>4531.1754385964923</v>
      </c>
      <c r="V25" s="10">
        <f>TBLPRODUKKELUARJULI[[#This Row],[LABA MITRA 8 %]]*TBLPRODUKKELUARJULI[[#This Row],[JUMLAH TERJUAL]]</f>
        <v>612.21929824561403</v>
      </c>
      <c r="W25" s="10">
        <f>TBLPRODUKKELUARJULI[[#This Row],[LABA KIRIM 8 %]]*TBLPRODUKKELUARJULI[[#This Row],[JUMLAH TERKIRIM]]</f>
        <v>612.21929824561403</v>
      </c>
      <c r="X25" s="10">
        <f>TBLPRODUKKELUARJULI[[#This Row],[TOTAL LABA MITRA 5%]]+TBLPRODUKKELUARJULI[[#This Row],[TOTAL LABA KIRIM 5%]]</f>
        <v>1224.4385964912281</v>
      </c>
      <c r="Y25" s="10">
        <f>TBLPRODUKKELUARJULI[[#This Row],[LABA BERSIH TOKO]]*TBLPRODUKKELUARJULI[[#This Row],[JUMLAH TERJUAL]]</f>
        <v>4531.1754385964923</v>
      </c>
    </row>
    <row r="26" spans="1:25" x14ac:dyDescent="0.3">
      <c r="A26" s="4">
        <v>2026</v>
      </c>
      <c r="B26" s="15" t="s">
        <v>590</v>
      </c>
      <c r="C26" s="15">
        <v>46209</v>
      </c>
      <c r="D26" s="3" t="s">
        <v>374</v>
      </c>
      <c r="E26" s="3" t="s">
        <v>446</v>
      </c>
      <c r="F26" s="3" t="str">
        <f>VLOOKUP(TBLPRODUKKELUARJULI[[#This Row],[NAMA CUSTOMER]],TBLDATACUSTOMER[],4,FALSE)</f>
        <v>RIA</v>
      </c>
      <c r="G26" s="5">
        <f>VLOOKUP(TBLPRODUKKELUARJULI[[#This Row],[NAMA PRODUK]],TBLKATALOG[],2,FALSE)</f>
        <v>6192.1929824561403</v>
      </c>
      <c r="H26" s="5">
        <f>VLOOKUP(TBLPRODUKKELUARJULI[[#This Row],[NAMA PRODUK]],TBLKATALOG[],3,FALSE)</f>
        <v>619.21929824561403</v>
      </c>
      <c r="I26" s="5">
        <f>VLOOKUP(TBLPRODUKKELUARJULI[[#This Row],[NAMA PRODUK]],TBLKATALOG[],4,FALSE)</f>
        <v>6811.4122807017538</v>
      </c>
      <c r="J26" s="5">
        <f>VLOOKUP(TBLPRODUKKELUARJULI[[#This Row],[NAMA PRODUK]],TBLKATALOG[],5,FALSE)</f>
        <v>9000</v>
      </c>
      <c r="K26" s="10">
        <f>VLOOKUP(TBLPRODUKKELUARJULI[[#This Row],[NAMA PRODUK]],TBLKATALOG[],6,FALSE)</f>
        <v>2188.5877192982462</v>
      </c>
      <c r="L26" s="10">
        <f>VLOOKUP(TBLPRODUKKELUARJULI[[#This Row],[NAMA PRODUK]],TBLKATALOG[],7,FALSE)</f>
        <v>309.60964912280701</v>
      </c>
      <c r="M26" s="10">
        <f>VLOOKUP(TBLPRODUKKELUARJULI[[#This Row],[NAMA PRODUK]],TBLKATALOG[],8,FALSE)</f>
        <v>309.60964912280701</v>
      </c>
      <c r="N26" s="10">
        <f>VLOOKUP(TBLPRODUKKELUARJULI[[#This Row],[NAMA PRODUK]],TBLKATALOG[],9,FALSE)</f>
        <v>2188.5877192982462</v>
      </c>
      <c r="O26" s="10">
        <v>2</v>
      </c>
      <c r="P26" s="10">
        <v>2</v>
      </c>
      <c r="Q26" s="10">
        <f>TBLPRODUKKELUARJULI[[#This Row],[MODAL]]*TBLPRODUKKELUARJULI[[#This Row],[JUMLAH TERJUAL]]</f>
        <v>12384.385964912281</v>
      </c>
      <c r="R26" s="10">
        <f>TBLPRODUKKELUARJULI[[#This Row],[BUDGET KOMISI]]*TBLPRODUKKELUARJULI[[#This Row],[JUMLAH TERJUAL]]</f>
        <v>1238.4385964912281</v>
      </c>
      <c r="S26" s="10">
        <f>TBLPRODUKKELUARJULI[[#This Row],[MODAL DITAMBAH BUDGET KOMISI]]*TBLPRODUKKELUARJULI[[#This Row],[JUMLAH TERJUAL]]</f>
        <v>13622.824561403508</v>
      </c>
      <c r="T26" s="10">
        <f>TBLPRODUKKELUARJULI[[#This Row],[HARGA JUAL]]*TBLPRODUKKELUARJULI[[#This Row],[JUMLAH TERJUAL]]</f>
        <v>18000</v>
      </c>
      <c r="U26" s="10">
        <f>TBLPRODUKKELUARJULI[[#This Row],[SELISIH]]*TBLPRODUKKELUARJULI[[#This Row],[JUMLAH TERJUAL]]</f>
        <v>4377.1754385964923</v>
      </c>
      <c r="V26" s="10">
        <f>TBLPRODUKKELUARJULI[[#This Row],[LABA MITRA 8 %]]*TBLPRODUKKELUARJULI[[#This Row],[JUMLAH TERJUAL]]</f>
        <v>619.21929824561403</v>
      </c>
      <c r="W26" s="10">
        <f>TBLPRODUKKELUARJULI[[#This Row],[LABA KIRIM 8 %]]*TBLPRODUKKELUARJULI[[#This Row],[JUMLAH TERKIRIM]]</f>
        <v>619.21929824561403</v>
      </c>
      <c r="X26" s="10">
        <f>TBLPRODUKKELUARJULI[[#This Row],[TOTAL LABA MITRA 5%]]+TBLPRODUKKELUARJULI[[#This Row],[TOTAL LABA KIRIM 5%]]</f>
        <v>1238.4385964912281</v>
      </c>
      <c r="Y26" s="10">
        <f>TBLPRODUKKELUARJULI[[#This Row],[LABA BERSIH TOKO]]*TBLPRODUKKELUARJULI[[#This Row],[JUMLAH TERJUAL]]</f>
        <v>4377.1754385964923</v>
      </c>
    </row>
    <row r="27" spans="1:25" x14ac:dyDescent="0.3">
      <c r="A27" s="4">
        <v>2026</v>
      </c>
      <c r="B27" s="15" t="s">
        <v>590</v>
      </c>
      <c r="C27" s="15">
        <v>46209</v>
      </c>
      <c r="D27" s="3" t="s">
        <v>373</v>
      </c>
      <c r="E27" s="3" t="s">
        <v>446</v>
      </c>
      <c r="F27" s="3" t="str">
        <f>VLOOKUP(TBLPRODUKKELUARJULI[[#This Row],[NAMA CUSTOMER]],TBLDATACUSTOMER[],4,FALSE)</f>
        <v>RIA</v>
      </c>
      <c r="G27" s="5">
        <f>VLOOKUP(TBLPRODUKKELUARJULI[[#This Row],[NAMA PRODUK]],TBLKATALOG[],2,FALSE)</f>
        <v>6122.1929824561403</v>
      </c>
      <c r="H27" s="5">
        <f>VLOOKUP(TBLPRODUKKELUARJULI[[#This Row],[NAMA PRODUK]],TBLKATALOG[],3,FALSE)</f>
        <v>612.21929824561403</v>
      </c>
      <c r="I27" s="5">
        <f>VLOOKUP(TBLPRODUKKELUARJULI[[#This Row],[NAMA PRODUK]],TBLKATALOG[],4,FALSE)</f>
        <v>6734.4122807017538</v>
      </c>
      <c r="J27" s="5">
        <f>VLOOKUP(TBLPRODUKKELUARJULI[[#This Row],[NAMA PRODUK]],TBLKATALOG[],5,FALSE)</f>
        <v>9000</v>
      </c>
      <c r="K27" s="10">
        <f>VLOOKUP(TBLPRODUKKELUARJULI[[#This Row],[NAMA PRODUK]],TBLKATALOG[],6,FALSE)</f>
        <v>2265.5877192982462</v>
      </c>
      <c r="L27" s="10">
        <f>VLOOKUP(TBLPRODUKKELUARJULI[[#This Row],[NAMA PRODUK]],TBLKATALOG[],7,FALSE)</f>
        <v>306.10964912280701</v>
      </c>
      <c r="M27" s="10">
        <f>VLOOKUP(TBLPRODUKKELUARJULI[[#This Row],[NAMA PRODUK]],TBLKATALOG[],8,FALSE)</f>
        <v>306.10964912280701</v>
      </c>
      <c r="N27" s="10">
        <f>VLOOKUP(TBLPRODUKKELUARJULI[[#This Row],[NAMA PRODUK]],TBLKATALOG[],9,FALSE)</f>
        <v>2265.5877192982462</v>
      </c>
      <c r="O27" s="10">
        <v>2</v>
      </c>
      <c r="P27" s="10">
        <v>2</v>
      </c>
      <c r="Q27" s="10">
        <f>TBLPRODUKKELUARJULI[[#This Row],[MODAL]]*TBLPRODUKKELUARJULI[[#This Row],[JUMLAH TERJUAL]]</f>
        <v>12244.385964912281</v>
      </c>
      <c r="R27" s="10">
        <f>TBLPRODUKKELUARJULI[[#This Row],[BUDGET KOMISI]]*TBLPRODUKKELUARJULI[[#This Row],[JUMLAH TERJUAL]]</f>
        <v>1224.4385964912281</v>
      </c>
      <c r="S27" s="10">
        <f>TBLPRODUKKELUARJULI[[#This Row],[MODAL DITAMBAH BUDGET KOMISI]]*TBLPRODUKKELUARJULI[[#This Row],[JUMLAH TERJUAL]]</f>
        <v>13468.824561403508</v>
      </c>
      <c r="T27" s="10">
        <f>TBLPRODUKKELUARJULI[[#This Row],[HARGA JUAL]]*TBLPRODUKKELUARJULI[[#This Row],[JUMLAH TERJUAL]]</f>
        <v>18000</v>
      </c>
      <c r="U27" s="10">
        <f>TBLPRODUKKELUARJULI[[#This Row],[SELISIH]]*TBLPRODUKKELUARJULI[[#This Row],[JUMLAH TERJUAL]]</f>
        <v>4531.1754385964923</v>
      </c>
      <c r="V27" s="10">
        <f>TBLPRODUKKELUARJULI[[#This Row],[LABA MITRA 8 %]]*TBLPRODUKKELUARJULI[[#This Row],[JUMLAH TERJUAL]]</f>
        <v>612.21929824561403</v>
      </c>
      <c r="W27" s="10">
        <f>TBLPRODUKKELUARJULI[[#This Row],[LABA KIRIM 8 %]]*TBLPRODUKKELUARJULI[[#This Row],[JUMLAH TERKIRIM]]</f>
        <v>612.21929824561403</v>
      </c>
      <c r="X27" s="10">
        <f>TBLPRODUKKELUARJULI[[#This Row],[TOTAL LABA MITRA 5%]]+TBLPRODUKKELUARJULI[[#This Row],[TOTAL LABA KIRIM 5%]]</f>
        <v>1224.4385964912281</v>
      </c>
      <c r="Y27" s="10">
        <f>TBLPRODUKKELUARJULI[[#This Row],[LABA BERSIH TOKO]]*TBLPRODUKKELUARJULI[[#This Row],[JUMLAH TERJUAL]]</f>
        <v>4531.1754385964923</v>
      </c>
    </row>
    <row r="28" spans="1:25" x14ac:dyDescent="0.3">
      <c r="A28" s="4">
        <v>2026</v>
      </c>
      <c r="B28" s="15" t="s">
        <v>590</v>
      </c>
      <c r="C28" s="15">
        <v>46209</v>
      </c>
      <c r="D28" s="3" t="s">
        <v>377</v>
      </c>
      <c r="E28" s="3" t="s">
        <v>418</v>
      </c>
      <c r="F28" s="3" t="str">
        <f>VLOOKUP(TBLPRODUKKELUARJULI[[#This Row],[NAMA CUSTOMER]],TBLDATACUSTOMER[],4,FALSE)</f>
        <v>CAHYA GALLERY</v>
      </c>
      <c r="G28" s="5">
        <f>VLOOKUP(TBLPRODUKKELUARJULI[[#This Row],[NAMA PRODUK]],TBLKATALOG[],2,FALSE)</f>
        <v>8274.7192982456145</v>
      </c>
      <c r="H28" s="5">
        <f>VLOOKUP(TBLPRODUKKELUARJULI[[#This Row],[NAMA PRODUK]],TBLKATALOG[],3,FALSE)</f>
        <v>827.47192982456147</v>
      </c>
      <c r="I28" s="5">
        <f>VLOOKUP(TBLPRODUKKELUARJULI[[#This Row],[NAMA PRODUK]],TBLKATALOG[],4,FALSE)</f>
        <v>9102.1912280701763</v>
      </c>
      <c r="J28" s="5">
        <f>VLOOKUP(TBLPRODUKKELUARJULI[[#This Row],[NAMA PRODUK]],TBLKATALOG[],5,FALSE)</f>
        <v>12000</v>
      </c>
      <c r="K28" s="10">
        <f>VLOOKUP(TBLPRODUKKELUARJULI[[#This Row],[NAMA PRODUK]],TBLKATALOG[],6,FALSE)</f>
        <v>2897.8087719298237</v>
      </c>
      <c r="L28" s="10">
        <f>VLOOKUP(TBLPRODUKKELUARJULI[[#This Row],[NAMA PRODUK]],TBLKATALOG[],7,FALSE)</f>
        <v>413.73596491228074</v>
      </c>
      <c r="M28" s="10">
        <f>VLOOKUP(TBLPRODUKKELUARJULI[[#This Row],[NAMA PRODUK]],TBLKATALOG[],8,FALSE)</f>
        <v>413.73596491228074</v>
      </c>
      <c r="N28" s="10">
        <f>VLOOKUP(TBLPRODUKKELUARJULI[[#This Row],[NAMA PRODUK]],TBLKATALOG[],9,FALSE)</f>
        <v>2897.8087719298237</v>
      </c>
      <c r="O28" s="10">
        <v>4</v>
      </c>
      <c r="P28" s="10">
        <v>4</v>
      </c>
      <c r="Q28" s="10">
        <f>TBLPRODUKKELUARJULI[[#This Row],[MODAL]]*TBLPRODUKKELUARJULI[[#This Row],[JUMLAH TERJUAL]]</f>
        <v>33098.877192982458</v>
      </c>
      <c r="R28" s="10">
        <f>TBLPRODUKKELUARJULI[[#This Row],[BUDGET KOMISI]]*TBLPRODUKKELUARJULI[[#This Row],[JUMLAH TERJUAL]]</f>
        <v>3309.8877192982459</v>
      </c>
      <c r="S28" s="10">
        <f>TBLPRODUKKELUARJULI[[#This Row],[MODAL DITAMBAH BUDGET KOMISI]]*TBLPRODUKKELUARJULI[[#This Row],[JUMLAH TERJUAL]]</f>
        <v>36408.764912280705</v>
      </c>
      <c r="T28" s="10">
        <f>TBLPRODUKKELUARJULI[[#This Row],[HARGA JUAL]]*TBLPRODUKKELUARJULI[[#This Row],[JUMLAH TERJUAL]]</f>
        <v>48000</v>
      </c>
      <c r="U28" s="10">
        <f>TBLPRODUKKELUARJULI[[#This Row],[SELISIH]]*TBLPRODUKKELUARJULI[[#This Row],[JUMLAH TERJUAL]]</f>
        <v>11591.235087719295</v>
      </c>
      <c r="V28" s="10">
        <f>TBLPRODUKKELUARJULI[[#This Row],[LABA MITRA 8 %]]*TBLPRODUKKELUARJULI[[#This Row],[JUMLAH TERJUAL]]</f>
        <v>1654.9438596491229</v>
      </c>
      <c r="W28" s="10">
        <f>TBLPRODUKKELUARJULI[[#This Row],[LABA KIRIM 8 %]]*TBLPRODUKKELUARJULI[[#This Row],[JUMLAH TERKIRIM]]</f>
        <v>1654.9438596491229</v>
      </c>
      <c r="X28" s="10">
        <f>TBLPRODUKKELUARJULI[[#This Row],[TOTAL LABA MITRA 5%]]+TBLPRODUKKELUARJULI[[#This Row],[TOTAL LABA KIRIM 5%]]</f>
        <v>3309.8877192982459</v>
      </c>
      <c r="Y28" s="10">
        <f>TBLPRODUKKELUARJULI[[#This Row],[LABA BERSIH TOKO]]*TBLPRODUKKELUARJULI[[#This Row],[JUMLAH TERJUAL]]</f>
        <v>11591.235087719295</v>
      </c>
    </row>
    <row r="29" spans="1:25" x14ac:dyDescent="0.3">
      <c r="A29" s="4">
        <v>2026</v>
      </c>
      <c r="B29" s="15" t="s">
        <v>590</v>
      </c>
      <c r="C29" s="15">
        <v>46209</v>
      </c>
      <c r="D29" s="3" t="s">
        <v>397</v>
      </c>
      <c r="E29" s="3" t="s">
        <v>418</v>
      </c>
      <c r="F29" s="3" t="str">
        <f>VLOOKUP(TBLPRODUKKELUARJULI[[#This Row],[NAMA CUSTOMER]],TBLDATACUSTOMER[],4,FALSE)</f>
        <v>CAHYA GALLERY</v>
      </c>
      <c r="G29" s="5">
        <f>VLOOKUP(TBLPRODUKKELUARJULI[[#This Row],[NAMA PRODUK]],TBLKATALOG[],2,FALSE)</f>
        <v>33622.993620414672</v>
      </c>
      <c r="H29" s="5">
        <f>VLOOKUP(TBLPRODUKKELUARJULI[[#This Row],[NAMA PRODUK]],TBLKATALOG[],3,FALSE)</f>
        <v>3362.2993620414672</v>
      </c>
      <c r="I29" s="5">
        <f>VLOOKUP(TBLPRODUKKELUARJULI[[#This Row],[NAMA PRODUK]],TBLKATALOG[],4,FALSE)</f>
        <v>36985.292982456143</v>
      </c>
      <c r="J29" s="5">
        <f>VLOOKUP(TBLPRODUKKELUARJULI[[#This Row],[NAMA PRODUK]],TBLKATALOG[],5,FALSE)</f>
        <v>40000</v>
      </c>
      <c r="K29" s="10">
        <f>VLOOKUP(TBLPRODUKKELUARJULI[[#This Row],[NAMA PRODUK]],TBLKATALOG[],6,FALSE)</f>
        <v>3014.7070175438566</v>
      </c>
      <c r="L29" s="10">
        <f>VLOOKUP(TBLPRODUKKELUARJULI[[#This Row],[NAMA PRODUK]],TBLKATALOG[],7,FALSE)</f>
        <v>1681.1496810207336</v>
      </c>
      <c r="M29" s="10">
        <f>VLOOKUP(TBLPRODUKKELUARJULI[[#This Row],[NAMA PRODUK]],TBLKATALOG[],8,FALSE)</f>
        <v>1681.1496810207336</v>
      </c>
      <c r="N29" s="10">
        <f>VLOOKUP(TBLPRODUKKELUARJULI[[#This Row],[NAMA PRODUK]],TBLKATALOG[],9,FALSE)</f>
        <v>3014.7070175438566</v>
      </c>
      <c r="O29" s="10">
        <v>1</v>
      </c>
      <c r="P29" s="10">
        <v>1</v>
      </c>
      <c r="Q29" s="10">
        <f>TBLPRODUKKELUARJULI[[#This Row],[MODAL]]*TBLPRODUKKELUARJULI[[#This Row],[JUMLAH TERJUAL]]</f>
        <v>33622.993620414672</v>
      </c>
      <c r="R29" s="10">
        <f>TBLPRODUKKELUARJULI[[#This Row],[BUDGET KOMISI]]*TBLPRODUKKELUARJULI[[#This Row],[JUMLAH TERJUAL]]</f>
        <v>3362.2993620414672</v>
      </c>
      <c r="S29" s="10">
        <f>TBLPRODUKKELUARJULI[[#This Row],[MODAL DITAMBAH BUDGET KOMISI]]*TBLPRODUKKELUARJULI[[#This Row],[JUMLAH TERJUAL]]</f>
        <v>36985.292982456143</v>
      </c>
      <c r="T29" s="10">
        <f>TBLPRODUKKELUARJULI[[#This Row],[HARGA JUAL]]*TBLPRODUKKELUARJULI[[#This Row],[JUMLAH TERJUAL]]</f>
        <v>40000</v>
      </c>
      <c r="U29" s="10">
        <f>TBLPRODUKKELUARJULI[[#This Row],[SELISIH]]*TBLPRODUKKELUARJULI[[#This Row],[JUMLAH TERJUAL]]</f>
        <v>3014.7070175438566</v>
      </c>
      <c r="V29" s="10">
        <f>TBLPRODUKKELUARJULI[[#This Row],[LABA MITRA 8 %]]*TBLPRODUKKELUARJULI[[#This Row],[JUMLAH TERJUAL]]</f>
        <v>1681.1496810207336</v>
      </c>
      <c r="W29" s="10">
        <f>TBLPRODUKKELUARJULI[[#This Row],[LABA KIRIM 8 %]]*TBLPRODUKKELUARJULI[[#This Row],[JUMLAH TERKIRIM]]</f>
        <v>1681.1496810207336</v>
      </c>
      <c r="X29" s="10">
        <f>TBLPRODUKKELUARJULI[[#This Row],[TOTAL LABA MITRA 5%]]+TBLPRODUKKELUARJULI[[#This Row],[TOTAL LABA KIRIM 5%]]</f>
        <v>3362.2993620414672</v>
      </c>
      <c r="Y29" s="10">
        <f>TBLPRODUKKELUARJULI[[#This Row],[LABA BERSIH TOKO]]*TBLPRODUKKELUARJULI[[#This Row],[JUMLAH TERJUAL]]</f>
        <v>3014.7070175438566</v>
      </c>
    </row>
    <row r="30" spans="1:25" x14ac:dyDescent="0.3">
      <c r="A30" s="4">
        <v>2026</v>
      </c>
      <c r="B30" s="15" t="s">
        <v>590</v>
      </c>
      <c r="C30" s="15">
        <v>46209</v>
      </c>
      <c r="D30" s="3" t="s">
        <v>374</v>
      </c>
      <c r="E30" s="3" t="s">
        <v>446</v>
      </c>
      <c r="F30" s="3" t="str">
        <f>VLOOKUP(TBLPRODUKKELUARJULI[[#This Row],[NAMA CUSTOMER]],TBLDATACUSTOMER[],4,FALSE)</f>
        <v>RIA</v>
      </c>
      <c r="G30" s="5">
        <f>VLOOKUP(TBLPRODUKKELUARJULI[[#This Row],[NAMA PRODUK]],TBLKATALOG[],2,FALSE)</f>
        <v>6192.1929824561403</v>
      </c>
      <c r="H30" s="5">
        <f>VLOOKUP(TBLPRODUKKELUARJULI[[#This Row],[NAMA PRODUK]],TBLKATALOG[],3,FALSE)</f>
        <v>619.21929824561403</v>
      </c>
      <c r="I30" s="5">
        <f>VLOOKUP(TBLPRODUKKELUARJULI[[#This Row],[NAMA PRODUK]],TBLKATALOG[],4,FALSE)</f>
        <v>6811.4122807017538</v>
      </c>
      <c r="J30" s="5">
        <f>VLOOKUP(TBLPRODUKKELUARJULI[[#This Row],[NAMA PRODUK]],TBLKATALOG[],5,FALSE)</f>
        <v>9000</v>
      </c>
      <c r="K30" s="10">
        <f>VLOOKUP(TBLPRODUKKELUARJULI[[#This Row],[NAMA PRODUK]],TBLKATALOG[],6,FALSE)</f>
        <v>2188.5877192982462</v>
      </c>
      <c r="L30" s="10">
        <f>VLOOKUP(TBLPRODUKKELUARJULI[[#This Row],[NAMA PRODUK]],TBLKATALOG[],7,FALSE)</f>
        <v>309.60964912280701</v>
      </c>
      <c r="M30" s="10">
        <f>VLOOKUP(TBLPRODUKKELUARJULI[[#This Row],[NAMA PRODUK]],TBLKATALOG[],8,FALSE)</f>
        <v>309.60964912280701</v>
      </c>
      <c r="N30" s="10">
        <f>VLOOKUP(TBLPRODUKKELUARJULI[[#This Row],[NAMA PRODUK]],TBLKATALOG[],9,FALSE)</f>
        <v>2188.5877192982462</v>
      </c>
      <c r="O30" s="10">
        <v>3</v>
      </c>
      <c r="P30" s="10">
        <v>3</v>
      </c>
      <c r="Q30" s="10">
        <f>TBLPRODUKKELUARJULI[[#This Row],[MODAL]]*TBLPRODUKKELUARJULI[[#This Row],[JUMLAH TERJUAL]]</f>
        <v>18576.57894736842</v>
      </c>
      <c r="R30" s="10">
        <f>TBLPRODUKKELUARJULI[[#This Row],[BUDGET KOMISI]]*TBLPRODUKKELUARJULI[[#This Row],[JUMLAH TERJUAL]]</f>
        <v>1857.6578947368421</v>
      </c>
      <c r="S30" s="10">
        <f>TBLPRODUKKELUARJULI[[#This Row],[MODAL DITAMBAH BUDGET KOMISI]]*TBLPRODUKKELUARJULI[[#This Row],[JUMLAH TERJUAL]]</f>
        <v>20434.23684210526</v>
      </c>
      <c r="T30" s="10">
        <f>TBLPRODUKKELUARJULI[[#This Row],[HARGA JUAL]]*TBLPRODUKKELUARJULI[[#This Row],[JUMLAH TERJUAL]]</f>
        <v>27000</v>
      </c>
      <c r="U30" s="10">
        <f>TBLPRODUKKELUARJULI[[#This Row],[SELISIH]]*TBLPRODUKKELUARJULI[[#This Row],[JUMLAH TERJUAL]]</f>
        <v>6565.7631578947385</v>
      </c>
      <c r="V30" s="10">
        <f>TBLPRODUKKELUARJULI[[#This Row],[LABA MITRA 8 %]]*TBLPRODUKKELUARJULI[[#This Row],[JUMLAH TERJUAL]]</f>
        <v>928.82894736842104</v>
      </c>
      <c r="W30" s="10">
        <f>TBLPRODUKKELUARJULI[[#This Row],[LABA KIRIM 8 %]]*TBLPRODUKKELUARJULI[[#This Row],[JUMLAH TERKIRIM]]</f>
        <v>928.82894736842104</v>
      </c>
      <c r="X30" s="10">
        <f>TBLPRODUKKELUARJULI[[#This Row],[TOTAL LABA MITRA 5%]]+TBLPRODUKKELUARJULI[[#This Row],[TOTAL LABA KIRIM 5%]]</f>
        <v>1857.6578947368421</v>
      </c>
      <c r="Y30" s="10">
        <f>TBLPRODUKKELUARJULI[[#This Row],[LABA BERSIH TOKO]]*TBLPRODUKKELUARJULI[[#This Row],[JUMLAH TERJUAL]]</f>
        <v>6565.7631578947385</v>
      </c>
    </row>
    <row r="31" spans="1:25" x14ac:dyDescent="0.3">
      <c r="A31" s="4">
        <v>2026</v>
      </c>
      <c r="B31" s="15" t="s">
        <v>590</v>
      </c>
      <c r="C31" s="15">
        <v>46210</v>
      </c>
      <c r="D31" s="3" t="s">
        <v>373</v>
      </c>
      <c r="E31" s="3" t="s">
        <v>446</v>
      </c>
      <c r="F31" s="3" t="str">
        <f>VLOOKUP(TBLPRODUKKELUARJULI[[#This Row],[NAMA CUSTOMER]],TBLDATACUSTOMER[],4,FALSE)</f>
        <v>RIA</v>
      </c>
      <c r="G31" s="5">
        <f>VLOOKUP(TBLPRODUKKELUARJULI[[#This Row],[NAMA PRODUK]],TBLKATALOG[],2,FALSE)</f>
        <v>6122.1929824561403</v>
      </c>
      <c r="H31" s="5">
        <f>VLOOKUP(TBLPRODUKKELUARJULI[[#This Row],[NAMA PRODUK]],TBLKATALOG[],3,FALSE)</f>
        <v>612.21929824561403</v>
      </c>
      <c r="I31" s="5">
        <f>VLOOKUP(TBLPRODUKKELUARJULI[[#This Row],[NAMA PRODUK]],TBLKATALOG[],4,FALSE)</f>
        <v>6734.4122807017538</v>
      </c>
      <c r="J31" s="5">
        <f>VLOOKUP(TBLPRODUKKELUARJULI[[#This Row],[NAMA PRODUK]],TBLKATALOG[],5,FALSE)</f>
        <v>9000</v>
      </c>
      <c r="K31" s="10">
        <f>VLOOKUP(TBLPRODUKKELUARJULI[[#This Row],[NAMA PRODUK]],TBLKATALOG[],6,FALSE)</f>
        <v>2265.5877192982462</v>
      </c>
      <c r="L31" s="10">
        <f>VLOOKUP(TBLPRODUKKELUARJULI[[#This Row],[NAMA PRODUK]],TBLKATALOG[],7,FALSE)</f>
        <v>306.10964912280701</v>
      </c>
      <c r="M31" s="10">
        <f>VLOOKUP(TBLPRODUKKELUARJULI[[#This Row],[NAMA PRODUK]],TBLKATALOG[],8,FALSE)</f>
        <v>306.10964912280701</v>
      </c>
      <c r="N31" s="10">
        <f>VLOOKUP(TBLPRODUKKELUARJULI[[#This Row],[NAMA PRODUK]],TBLKATALOG[],9,FALSE)</f>
        <v>2265.5877192982462</v>
      </c>
      <c r="O31" s="10">
        <v>3</v>
      </c>
      <c r="P31" s="10">
        <v>3</v>
      </c>
      <c r="Q31" s="10">
        <f>TBLPRODUKKELUARJULI[[#This Row],[MODAL]]*TBLPRODUKKELUARJULI[[#This Row],[JUMLAH TERJUAL]]</f>
        <v>18366.57894736842</v>
      </c>
      <c r="R31" s="10">
        <f>TBLPRODUKKELUARJULI[[#This Row],[BUDGET KOMISI]]*TBLPRODUKKELUARJULI[[#This Row],[JUMLAH TERJUAL]]</f>
        <v>1836.6578947368421</v>
      </c>
      <c r="S31" s="10">
        <f>TBLPRODUKKELUARJULI[[#This Row],[MODAL DITAMBAH BUDGET KOMISI]]*TBLPRODUKKELUARJULI[[#This Row],[JUMLAH TERJUAL]]</f>
        <v>20203.23684210526</v>
      </c>
      <c r="T31" s="10">
        <f>TBLPRODUKKELUARJULI[[#This Row],[HARGA JUAL]]*TBLPRODUKKELUARJULI[[#This Row],[JUMLAH TERJUAL]]</f>
        <v>27000</v>
      </c>
      <c r="U31" s="10">
        <f>TBLPRODUKKELUARJULI[[#This Row],[SELISIH]]*TBLPRODUKKELUARJULI[[#This Row],[JUMLAH TERJUAL]]</f>
        <v>6796.7631578947385</v>
      </c>
      <c r="V31" s="10">
        <f>TBLPRODUKKELUARJULI[[#This Row],[LABA MITRA 8 %]]*TBLPRODUKKELUARJULI[[#This Row],[JUMLAH TERJUAL]]</f>
        <v>918.32894736842104</v>
      </c>
      <c r="W31" s="10">
        <f>TBLPRODUKKELUARJULI[[#This Row],[LABA KIRIM 8 %]]*TBLPRODUKKELUARJULI[[#This Row],[JUMLAH TERKIRIM]]</f>
        <v>918.32894736842104</v>
      </c>
      <c r="X31" s="10">
        <f>TBLPRODUKKELUARJULI[[#This Row],[TOTAL LABA MITRA 5%]]+TBLPRODUKKELUARJULI[[#This Row],[TOTAL LABA KIRIM 5%]]</f>
        <v>1836.6578947368421</v>
      </c>
      <c r="Y31" s="10">
        <f>TBLPRODUKKELUARJULI[[#This Row],[LABA BERSIH TOKO]]*TBLPRODUKKELUARJULI[[#This Row],[JUMLAH TERJUAL]]</f>
        <v>6796.7631578947385</v>
      </c>
    </row>
    <row r="32" spans="1:25" x14ac:dyDescent="0.3">
      <c r="A32" s="4">
        <v>2026</v>
      </c>
      <c r="B32" s="15" t="s">
        <v>590</v>
      </c>
      <c r="C32" s="15">
        <v>46210</v>
      </c>
      <c r="D32" s="3" t="s">
        <v>378</v>
      </c>
      <c r="E32" s="3" t="s">
        <v>311</v>
      </c>
      <c r="F32" s="3" t="str">
        <f>VLOOKUP(TBLPRODUKKELUARJULI[[#This Row],[NAMA CUSTOMER]],TBLDATACUSTOMER[],4,FALSE)</f>
        <v>LELI</v>
      </c>
      <c r="G32" s="5">
        <f>VLOOKUP(TBLPRODUKKELUARJULI[[#This Row],[NAMA PRODUK]],TBLKATALOG[],2,FALSE)</f>
        <v>8174.7192982456145</v>
      </c>
      <c r="H32" s="5">
        <f>VLOOKUP(TBLPRODUKKELUARJULI[[#This Row],[NAMA PRODUK]],TBLKATALOG[],3,FALSE)</f>
        <v>817.47192982456147</v>
      </c>
      <c r="I32" s="5">
        <f>VLOOKUP(TBLPRODUKKELUARJULI[[#This Row],[NAMA PRODUK]],TBLKATALOG[],4,FALSE)</f>
        <v>8992.1912280701763</v>
      </c>
      <c r="J32" s="5">
        <f>VLOOKUP(TBLPRODUKKELUARJULI[[#This Row],[NAMA PRODUK]],TBLKATALOG[],5,FALSE)</f>
        <v>12000</v>
      </c>
      <c r="K32" s="10">
        <f>VLOOKUP(TBLPRODUKKELUARJULI[[#This Row],[NAMA PRODUK]],TBLKATALOG[],6,FALSE)</f>
        <v>3007.8087719298237</v>
      </c>
      <c r="L32" s="10">
        <f>VLOOKUP(TBLPRODUKKELUARJULI[[#This Row],[NAMA PRODUK]],TBLKATALOG[],7,FALSE)</f>
        <v>408.73596491228074</v>
      </c>
      <c r="M32" s="10">
        <f>VLOOKUP(TBLPRODUKKELUARJULI[[#This Row],[NAMA PRODUK]],TBLKATALOG[],8,FALSE)</f>
        <v>408.73596491228074</v>
      </c>
      <c r="N32" s="10">
        <f>VLOOKUP(TBLPRODUKKELUARJULI[[#This Row],[NAMA PRODUK]],TBLKATALOG[],9,FALSE)</f>
        <v>3007.8087719298237</v>
      </c>
      <c r="O32" s="10">
        <v>1</v>
      </c>
      <c r="P32" s="10">
        <v>1</v>
      </c>
      <c r="Q32" s="10">
        <f>TBLPRODUKKELUARJULI[[#This Row],[MODAL]]*TBLPRODUKKELUARJULI[[#This Row],[JUMLAH TERJUAL]]</f>
        <v>8174.7192982456145</v>
      </c>
      <c r="R32" s="10">
        <f>TBLPRODUKKELUARJULI[[#This Row],[BUDGET KOMISI]]*TBLPRODUKKELUARJULI[[#This Row],[JUMLAH TERJUAL]]</f>
        <v>817.47192982456147</v>
      </c>
      <c r="S32" s="10">
        <f>TBLPRODUKKELUARJULI[[#This Row],[MODAL DITAMBAH BUDGET KOMISI]]*TBLPRODUKKELUARJULI[[#This Row],[JUMLAH TERJUAL]]</f>
        <v>8992.1912280701763</v>
      </c>
      <c r="T32" s="10">
        <f>TBLPRODUKKELUARJULI[[#This Row],[HARGA JUAL]]*TBLPRODUKKELUARJULI[[#This Row],[JUMLAH TERJUAL]]</f>
        <v>12000</v>
      </c>
      <c r="U32" s="10">
        <f>TBLPRODUKKELUARJULI[[#This Row],[SELISIH]]*TBLPRODUKKELUARJULI[[#This Row],[JUMLAH TERJUAL]]</f>
        <v>3007.8087719298237</v>
      </c>
      <c r="V32" s="10">
        <f>TBLPRODUKKELUARJULI[[#This Row],[LABA MITRA 8 %]]*TBLPRODUKKELUARJULI[[#This Row],[JUMLAH TERJUAL]]</f>
        <v>408.73596491228074</v>
      </c>
      <c r="W32" s="10">
        <f>TBLPRODUKKELUARJULI[[#This Row],[LABA KIRIM 8 %]]*TBLPRODUKKELUARJULI[[#This Row],[JUMLAH TERKIRIM]]</f>
        <v>408.73596491228074</v>
      </c>
      <c r="X32" s="10">
        <f>TBLPRODUKKELUARJULI[[#This Row],[TOTAL LABA MITRA 5%]]+TBLPRODUKKELUARJULI[[#This Row],[TOTAL LABA KIRIM 5%]]</f>
        <v>817.47192982456147</v>
      </c>
      <c r="Y32" s="10">
        <f>TBLPRODUKKELUARJULI[[#This Row],[LABA BERSIH TOKO]]*TBLPRODUKKELUARJULI[[#This Row],[JUMLAH TERJUAL]]</f>
        <v>3007.8087719298237</v>
      </c>
    </row>
    <row r="33" spans="1:25" x14ac:dyDescent="0.3">
      <c r="A33" s="4">
        <v>2026</v>
      </c>
      <c r="B33" s="15" t="s">
        <v>590</v>
      </c>
      <c r="C33" s="15">
        <v>46210</v>
      </c>
      <c r="D33" s="3" t="s">
        <v>377</v>
      </c>
      <c r="E33" s="3" t="s">
        <v>311</v>
      </c>
      <c r="F33" s="3" t="str">
        <f>VLOOKUP(TBLPRODUKKELUARJULI[[#This Row],[NAMA CUSTOMER]],TBLDATACUSTOMER[],4,FALSE)</f>
        <v>LELI</v>
      </c>
      <c r="G33" s="5">
        <f>VLOOKUP(TBLPRODUKKELUARJULI[[#This Row],[NAMA PRODUK]],TBLKATALOG[],2,FALSE)</f>
        <v>8274.7192982456145</v>
      </c>
      <c r="H33" s="5">
        <f>VLOOKUP(TBLPRODUKKELUARJULI[[#This Row],[NAMA PRODUK]],TBLKATALOG[],3,FALSE)</f>
        <v>827.47192982456147</v>
      </c>
      <c r="I33" s="5">
        <f>VLOOKUP(TBLPRODUKKELUARJULI[[#This Row],[NAMA PRODUK]],TBLKATALOG[],4,FALSE)</f>
        <v>9102.1912280701763</v>
      </c>
      <c r="J33" s="5">
        <f>VLOOKUP(TBLPRODUKKELUARJULI[[#This Row],[NAMA PRODUK]],TBLKATALOG[],5,FALSE)</f>
        <v>12000</v>
      </c>
      <c r="K33" s="10">
        <f>VLOOKUP(TBLPRODUKKELUARJULI[[#This Row],[NAMA PRODUK]],TBLKATALOG[],6,FALSE)</f>
        <v>2897.8087719298237</v>
      </c>
      <c r="L33" s="10">
        <f>VLOOKUP(TBLPRODUKKELUARJULI[[#This Row],[NAMA PRODUK]],TBLKATALOG[],7,FALSE)</f>
        <v>413.73596491228074</v>
      </c>
      <c r="M33" s="10">
        <f>VLOOKUP(TBLPRODUKKELUARJULI[[#This Row],[NAMA PRODUK]],TBLKATALOG[],8,FALSE)</f>
        <v>413.73596491228074</v>
      </c>
      <c r="N33" s="10">
        <f>VLOOKUP(TBLPRODUKKELUARJULI[[#This Row],[NAMA PRODUK]],TBLKATALOG[],9,FALSE)</f>
        <v>2897.8087719298237</v>
      </c>
      <c r="O33" s="10">
        <v>2</v>
      </c>
      <c r="P33" s="10">
        <v>2</v>
      </c>
      <c r="Q33" s="10">
        <f>TBLPRODUKKELUARJULI[[#This Row],[MODAL]]*TBLPRODUKKELUARJULI[[#This Row],[JUMLAH TERJUAL]]</f>
        <v>16549.438596491229</v>
      </c>
      <c r="R33" s="10">
        <f>TBLPRODUKKELUARJULI[[#This Row],[BUDGET KOMISI]]*TBLPRODUKKELUARJULI[[#This Row],[JUMLAH TERJUAL]]</f>
        <v>1654.9438596491229</v>
      </c>
      <c r="S33" s="10">
        <f>TBLPRODUKKELUARJULI[[#This Row],[MODAL DITAMBAH BUDGET KOMISI]]*TBLPRODUKKELUARJULI[[#This Row],[JUMLAH TERJUAL]]</f>
        <v>18204.382456140353</v>
      </c>
      <c r="T33" s="10">
        <f>TBLPRODUKKELUARJULI[[#This Row],[HARGA JUAL]]*TBLPRODUKKELUARJULI[[#This Row],[JUMLAH TERJUAL]]</f>
        <v>24000</v>
      </c>
      <c r="U33" s="10">
        <f>TBLPRODUKKELUARJULI[[#This Row],[SELISIH]]*TBLPRODUKKELUARJULI[[#This Row],[JUMLAH TERJUAL]]</f>
        <v>5795.6175438596474</v>
      </c>
      <c r="V33" s="10">
        <f>TBLPRODUKKELUARJULI[[#This Row],[LABA MITRA 8 %]]*TBLPRODUKKELUARJULI[[#This Row],[JUMLAH TERJUAL]]</f>
        <v>827.47192982456147</v>
      </c>
      <c r="W33" s="10">
        <f>TBLPRODUKKELUARJULI[[#This Row],[LABA KIRIM 8 %]]*TBLPRODUKKELUARJULI[[#This Row],[JUMLAH TERKIRIM]]</f>
        <v>827.47192982456147</v>
      </c>
      <c r="X33" s="10">
        <f>TBLPRODUKKELUARJULI[[#This Row],[TOTAL LABA MITRA 5%]]+TBLPRODUKKELUARJULI[[#This Row],[TOTAL LABA KIRIM 5%]]</f>
        <v>1654.9438596491229</v>
      </c>
      <c r="Y33" s="10">
        <f>TBLPRODUKKELUARJULI[[#This Row],[LABA BERSIH TOKO]]*TBLPRODUKKELUARJULI[[#This Row],[JUMLAH TERJUAL]]</f>
        <v>5795.6175438596474</v>
      </c>
    </row>
    <row r="34" spans="1:25" x14ac:dyDescent="0.3">
      <c r="A34" s="4">
        <v>2026</v>
      </c>
      <c r="B34" s="15" t="s">
        <v>590</v>
      </c>
      <c r="C34" s="15">
        <v>46211</v>
      </c>
      <c r="D34" s="3" t="s">
        <v>374</v>
      </c>
      <c r="E34" s="3" t="s">
        <v>446</v>
      </c>
      <c r="F34" s="3" t="str">
        <f>VLOOKUP(TBLPRODUKKELUARJULI[[#This Row],[NAMA CUSTOMER]],TBLDATACUSTOMER[],4,FALSE)</f>
        <v>RIA</v>
      </c>
      <c r="G34" s="5">
        <f>VLOOKUP(TBLPRODUKKELUARJULI[[#This Row],[NAMA PRODUK]],TBLKATALOG[],2,FALSE)</f>
        <v>6192.1929824561403</v>
      </c>
      <c r="H34" s="5">
        <f>VLOOKUP(TBLPRODUKKELUARJULI[[#This Row],[NAMA PRODUK]],TBLKATALOG[],3,FALSE)</f>
        <v>619.21929824561403</v>
      </c>
      <c r="I34" s="5">
        <f>VLOOKUP(TBLPRODUKKELUARJULI[[#This Row],[NAMA PRODUK]],TBLKATALOG[],4,FALSE)</f>
        <v>6811.4122807017538</v>
      </c>
      <c r="J34" s="5">
        <f>VLOOKUP(TBLPRODUKKELUARJULI[[#This Row],[NAMA PRODUK]],TBLKATALOG[],5,FALSE)</f>
        <v>9000</v>
      </c>
      <c r="K34" s="10">
        <f>VLOOKUP(TBLPRODUKKELUARJULI[[#This Row],[NAMA PRODUK]],TBLKATALOG[],6,FALSE)</f>
        <v>2188.5877192982462</v>
      </c>
      <c r="L34" s="10">
        <f>VLOOKUP(TBLPRODUKKELUARJULI[[#This Row],[NAMA PRODUK]],TBLKATALOG[],7,FALSE)</f>
        <v>309.60964912280701</v>
      </c>
      <c r="M34" s="10">
        <f>VLOOKUP(TBLPRODUKKELUARJULI[[#This Row],[NAMA PRODUK]],TBLKATALOG[],8,FALSE)</f>
        <v>309.60964912280701</v>
      </c>
      <c r="N34" s="10">
        <f>VLOOKUP(TBLPRODUKKELUARJULI[[#This Row],[NAMA PRODUK]],TBLKATALOG[],9,FALSE)</f>
        <v>2188.5877192982462</v>
      </c>
      <c r="O34" s="10">
        <v>3</v>
      </c>
      <c r="P34" s="10">
        <v>3</v>
      </c>
      <c r="Q34" s="10">
        <f>TBLPRODUKKELUARJULI[[#This Row],[MODAL]]*TBLPRODUKKELUARJULI[[#This Row],[JUMLAH TERJUAL]]</f>
        <v>18576.57894736842</v>
      </c>
      <c r="R34" s="10">
        <f>TBLPRODUKKELUARJULI[[#This Row],[BUDGET KOMISI]]*TBLPRODUKKELUARJULI[[#This Row],[JUMLAH TERJUAL]]</f>
        <v>1857.6578947368421</v>
      </c>
      <c r="S34" s="10">
        <f>TBLPRODUKKELUARJULI[[#This Row],[MODAL DITAMBAH BUDGET KOMISI]]*TBLPRODUKKELUARJULI[[#This Row],[JUMLAH TERJUAL]]</f>
        <v>20434.23684210526</v>
      </c>
      <c r="T34" s="10">
        <f>TBLPRODUKKELUARJULI[[#This Row],[HARGA JUAL]]*TBLPRODUKKELUARJULI[[#This Row],[JUMLAH TERJUAL]]</f>
        <v>27000</v>
      </c>
      <c r="U34" s="10">
        <f>TBLPRODUKKELUARJULI[[#This Row],[SELISIH]]*TBLPRODUKKELUARJULI[[#This Row],[JUMLAH TERJUAL]]</f>
        <v>6565.7631578947385</v>
      </c>
      <c r="V34" s="10">
        <f>TBLPRODUKKELUARJULI[[#This Row],[LABA MITRA 8 %]]*TBLPRODUKKELUARJULI[[#This Row],[JUMLAH TERJUAL]]</f>
        <v>928.82894736842104</v>
      </c>
      <c r="W34" s="10">
        <f>TBLPRODUKKELUARJULI[[#This Row],[LABA KIRIM 8 %]]*TBLPRODUKKELUARJULI[[#This Row],[JUMLAH TERKIRIM]]</f>
        <v>928.82894736842104</v>
      </c>
      <c r="X34" s="10">
        <f>TBLPRODUKKELUARJULI[[#This Row],[TOTAL LABA MITRA 5%]]+TBLPRODUKKELUARJULI[[#This Row],[TOTAL LABA KIRIM 5%]]</f>
        <v>1857.6578947368421</v>
      </c>
      <c r="Y34" s="10">
        <f>TBLPRODUKKELUARJULI[[#This Row],[LABA BERSIH TOKO]]*TBLPRODUKKELUARJULI[[#This Row],[JUMLAH TERJUAL]]</f>
        <v>6565.7631578947385</v>
      </c>
    </row>
    <row r="35" spans="1:25" x14ac:dyDescent="0.3">
      <c r="A35" s="4">
        <v>2026</v>
      </c>
      <c r="B35" s="15" t="s">
        <v>590</v>
      </c>
      <c r="C35" s="15">
        <v>46211</v>
      </c>
      <c r="D35" s="3" t="s">
        <v>373</v>
      </c>
      <c r="E35" s="3" t="s">
        <v>446</v>
      </c>
      <c r="F35" s="3" t="str">
        <f>VLOOKUP(TBLPRODUKKELUARJULI[[#This Row],[NAMA CUSTOMER]],TBLDATACUSTOMER[],4,FALSE)</f>
        <v>RIA</v>
      </c>
      <c r="G35" s="5">
        <f>VLOOKUP(TBLPRODUKKELUARJULI[[#This Row],[NAMA PRODUK]],TBLKATALOG[],2,FALSE)</f>
        <v>6122.1929824561403</v>
      </c>
      <c r="H35" s="5">
        <f>VLOOKUP(TBLPRODUKKELUARJULI[[#This Row],[NAMA PRODUK]],TBLKATALOG[],3,FALSE)</f>
        <v>612.21929824561403</v>
      </c>
      <c r="I35" s="5">
        <f>VLOOKUP(TBLPRODUKKELUARJULI[[#This Row],[NAMA PRODUK]],TBLKATALOG[],4,FALSE)</f>
        <v>6734.4122807017538</v>
      </c>
      <c r="J35" s="5">
        <f>VLOOKUP(TBLPRODUKKELUARJULI[[#This Row],[NAMA PRODUK]],TBLKATALOG[],5,FALSE)</f>
        <v>9000</v>
      </c>
      <c r="K35" s="10">
        <f>VLOOKUP(TBLPRODUKKELUARJULI[[#This Row],[NAMA PRODUK]],TBLKATALOG[],6,FALSE)</f>
        <v>2265.5877192982462</v>
      </c>
      <c r="L35" s="10">
        <f>VLOOKUP(TBLPRODUKKELUARJULI[[#This Row],[NAMA PRODUK]],TBLKATALOG[],7,FALSE)</f>
        <v>306.10964912280701</v>
      </c>
      <c r="M35" s="10">
        <f>VLOOKUP(TBLPRODUKKELUARJULI[[#This Row],[NAMA PRODUK]],TBLKATALOG[],8,FALSE)</f>
        <v>306.10964912280701</v>
      </c>
      <c r="N35" s="10">
        <f>VLOOKUP(TBLPRODUKKELUARJULI[[#This Row],[NAMA PRODUK]],TBLKATALOG[],9,FALSE)</f>
        <v>2265.5877192982462</v>
      </c>
      <c r="O35" s="10">
        <v>3</v>
      </c>
      <c r="P35" s="10">
        <v>3</v>
      </c>
      <c r="Q35" s="10">
        <f>TBLPRODUKKELUARJULI[[#This Row],[MODAL]]*TBLPRODUKKELUARJULI[[#This Row],[JUMLAH TERJUAL]]</f>
        <v>18366.57894736842</v>
      </c>
      <c r="R35" s="10">
        <f>TBLPRODUKKELUARJULI[[#This Row],[BUDGET KOMISI]]*TBLPRODUKKELUARJULI[[#This Row],[JUMLAH TERJUAL]]</f>
        <v>1836.6578947368421</v>
      </c>
      <c r="S35" s="10">
        <f>TBLPRODUKKELUARJULI[[#This Row],[MODAL DITAMBAH BUDGET KOMISI]]*TBLPRODUKKELUARJULI[[#This Row],[JUMLAH TERJUAL]]</f>
        <v>20203.23684210526</v>
      </c>
      <c r="T35" s="10">
        <f>TBLPRODUKKELUARJULI[[#This Row],[HARGA JUAL]]*TBLPRODUKKELUARJULI[[#This Row],[JUMLAH TERJUAL]]</f>
        <v>27000</v>
      </c>
      <c r="U35" s="10">
        <f>TBLPRODUKKELUARJULI[[#This Row],[SELISIH]]*TBLPRODUKKELUARJULI[[#This Row],[JUMLAH TERJUAL]]</f>
        <v>6796.7631578947385</v>
      </c>
      <c r="V35" s="10">
        <f>TBLPRODUKKELUARJULI[[#This Row],[LABA MITRA 8 %]]*TBLPRODUKKELUARJULI[[#This Row],[JUMLAH TERJUAL]]</f>
        <v>918.32894736842104</v>
      </c>
      <c r="W35" s="10">
        <f>TBLPRODUKKELUARJULI[[#This Row],[LABA KIRIM 8 %]]*TBLPRODUKKELUARJULI[[#This Row],[JUMLAH TERKIRIM]]</f>
        <v>918.32894736842104</v>
      </c>
      <c r="X35" s="10">
        <f>TBLPRODUKKELUARJULI[[#This Row],[TOTAL LABA MITRA 5%]]+TBLPRODUKKELUARJULI[[#This Row],[TOTAL LABA KIRIM 5%]]</f>
        <v>1836.6578947368421</v>
      </c>
      <c r="Y35" s="10">
        <f>TBLPRODUKKELUARJULI[[#This Row],[LABA BERSIH TOKO]]*TBLPRODUKKELUARJULI[[#This Row],[JUMLAH TERJUAL]]</f>
        <v>6796.7631578947385</v>
      </c>
    </row>
    <row r="36" spans="1:25" x14ac:dyDescent="0.3">
      <c r="A36" s="4">
        <v>2026</v>
      </c>
      <c r="B36" s="15" t="s">
        <v>590</v>
      </c>
      <c r="C36" s="15">
        <v>46211</v>
      </c>
      <c r="D36" s="3" t="s">
        <v>469</v>
      </c>
      <c r="E36" s="3" t="s">
        <v>316</v>
      </c>
      <c r="F36" s="3" t="str">
        <f>VLOOKUP(TBLPRODUKKELUARJULI[[#This Row],[NAMA CUSTOMER]],TBLDATACUSTOMER[],4,FALSE)</f>
        <v>CAHYA GALLERY</v>
      </c>
      <c r="G36" s="5">
        <f>VLOOKUP(TBLPRODUKKELUARJULI[[#This Row],[NAMA PRODUK]],TBLKATALOG[],2,FALSE)</f>
        <v>47571.639553429028</v>
      </c>
      <c r="H36" s="5">
        <f>VLOOKUP(TBLPRODUKKELUARJULI[[#This Row],[NAMA PRODUK]],TBLKATALOG[],3,FALSE)</f>
        <v>4757.1639553429031</v>
      </c>
      <c r="I36" s="5">
        <f>VLOOKUP(TBLPRODUKKELUARJULI[[#This Row],[NAMA PRODUK]],TBLKATALOG[],4,FALSE)</f>
        <v>52328.803508771933</v>
      </c>
      <c r="J36" s="5">
        <f>VLOOKUP(TBLPRODUKKELUARJULI[[#This Row],[NAMA PRODUK]],TBLKATALOG[],5,FALSE)</f>
        <v>60000</v>
      </c>
      <c r="K36" s="10">
        <f>VLOOKUP(TBLPRODUKKELUARJULI[[#This Row],[NAMA PRODUK]],TBLKATALOG[],6,FALSE)</f>
        <v>7671.1964912280673</v>
      </c>
      <c r="L36" s="10">
        <f>VLOOKUP(TBLPRODUKKELUARJULI[[#This Row],[NAMA PRODUK]],TBLKATALOG[],7,FALSE)</f>
        <v>2378.5819776714516</v>
      </c>
      <c r="M36" s="10">
        <f>VLOOKUP(TBLPRODUKKELUARJULI[[#This Row],[NAMA PRODUK]],TBLKATALOG[],8,FALSE)</f>
        <v>2378.5819776714516</v>
      </c>
      <c r="N36" s="10">
        <f>VLOOKUP(TBLPRODUKKELUARJULI[[#This Row],[NAMA PRODUK]],TBLKATALOG[],9,FALSE)</f>
        <v>7671.1964912280673</v>
      </c>
      <c r="O36" s="10">
        <v>1</v>
      </c>
      <c r="P36" s="10">
        <v>1</v>
      </c>
      <c r="Q36" s="10">
        <f>TBLPRODUKKELUARJULI[[#This Row],[MODAL]]*TBLPRODUKKELUARJULI[[#This Row],[JUMLAH TERJUAL]]</f>
        <v>47571.639553429028</v>
      </c>
      <c r="R36" s="10">
        <f>TBLPRODUKKELUARJULI[[#This Row],[BUDGET KOMISI]]*TBLPRODUKKELUARJULI[[#This Row],[JUMLAH TERJUAL]]</f>
        <v>4757.1639553429031</v>
      </c>
      <c r="S36" s="10">
        <f>TBLPRODUKKELUARJULI[[#This Row],[MODAL DITAMBAH BUDGET KOMISI]]*TBLPRODUKKELUARJULI[[#This Row],[JUMLAH TERJUAL]]</f>
        <v>52328.803508771933</v>
      </c>
      <c r="T36" s="10">
        <f>TBLPRODUKKELUARJULI[[#This Row],[HARGA JUAL]]*TBLPRODUKKELUARJULI[[#This Row],[JUMLAH TERJUAL]]</f>
        <v>60000</v>
      </c>
      <c r="U36" s="10">
        <f>TBLPRODUKKELUARJULI[[#This Row],[SELISIH]]*TBLPRODUKKELUARJULI[[#This Row],[JUMLAH TERJUAL]]</f>
        <v>7671.1964912280673</v>
      </c>
      <c r="V36" s="10">
        <f>TBLPRODUKKELUARJULI[[#This Row],[LABA MITRA 8 %]]*TBLPRODUKKELUARJULI[[#This Row],[JUMLAH TERJUAL]]</f>
        <v>2378.5819776714516</v>
      </c>
      <c r="W36" s="10">
        <f>TBLPRODUKKELUARJULI[[#This Row],[LABA KIRIM 8 %]]*TBLPRODUKKELUARJULI[[#This Row],[JUMLAH TERKIRIM]]</f>
        <v>2378.5819776714516</v>
      </c>
      <c r="X36" s="10">
        <f>TBLPRODUKKELUARJULI[[#This Row],[TOTAL LABA MITRA 5%]]+TBLPRODUKKELUARJULI[[#This Row],[TOTAL LABA KIRIM 5%]]</f>
        <v>4757.1639553429031</v>
      </c>
      <c r="Y36" s="10">
        <f>TBLPRODUKKELUARJULI[[#This Row],[LABA BERSIH TOKO]]*TBLPRODUKKELUARJULI[[#This Row],[JUMLAH TERJUAL]]</f>
        <v>7671.1964912280673</v>
      </c>
    </row>
    <row r="37" spans="1:25" x14ac:dyDescent="0.3">
      <c r="A37" s="4">
        <v>2026</v>
      </c>
      <c r="B37" s="15" t="s">
        <v>590</v>
      </c>
      <c r="C37" s="15">
        <v>46212</v>
      </c>
      <c r="D37" s="3" t="s">
        <v>374</v>
      </c>
      <c r="E37" s="3" t="s">
        <v>446</v>
      </c>
      <c r="F37" s="3" t="str">
        <f>VLOOKUP(TBLPRODUKKELUARJULI[[#This Row],[NAMA CUSTOMER]],TBLDATACUSTOMER[],4,FALSE)</f>
        <v>RIA</v>
      </c>
      <c r="G37" s="5">
        <f>VLOOKUP(TBLPRODUKKELUARJULI[[#This Row],[NAMA PRODUK]],TBLKATALOG[],2,FALSE)</f>
        <v>6192.1929824561403</v>
      </c>
      <c r="H37" s="5">
        <f>VLOOKUP(TBLPRODUKKELUARJULI[[#This Row],[NAMA PRODUK]],TBLKATALOG[],3,FALSE)</f>
        <v>619.21929824561403</v>
      </c>
      <c r="I37" s="5">
        <f>VLOOKUP(TBLPRODUKKELUARJULI[[#This Row],[NAMA PRODUK]],TBLKATALOG[],4,FALSE)</f>
        <v>6811.4122807017538</v>
      </c>
      <c r="J37" s="5">
        <f>VLOOKUP(TBLPRODUKKELUARJULI[[#This Row],[NAMA PRODUK]],TBLKATALOG[],5,FALSE)</f>
        <v>9000</v>
      </c>
      <c r="K37" s="10">
        <f>VLOOKUP(TBLPRODUKKELUARJULI[[#This Row],[NAMA PRODUK]],TBLKATALOG[],6,FALSE)</f>
        <v>2188.5877192982462</v>
      </c>
      <c r="L37" s="10">
        <f>VLOOKUP(TBLPRODUKKELUARJULI[[#This Row],[NAMA PRODUK]],TBLKATALOG[],7,FALSE)</f>
        <v>309.60964912280701</v>
      </c>
      <c r="M37" s="10">
        <f>VLOOKUP(TBLPRODUKKELUARJULI[[#This Row],[NAMA PRODUK]],TBLKATALOG[],8,FALSE)</f>
        <v>309.60964912280701</v>
      </c>
      <c r="N37" s="10">
        <f>VLOOKUP(TBLPRODUKKELUARJULI[[#This Row],[NAMA PRODUK]],TBLKATALOG[],9,FALSE)</f>
        <v>2188.5877192982462</v>
      </c>
      <c r="O37" s="10">
        <v>3</v>
      </c>
      <c r="P37" s="10">
        <v>3</v>
      </c>
      <c r="Q37" s="10">
        <f>TBLPRODUKKELUARJULI[[#This Row],[MODAL]]*TBLPRODUKKELUARJULI[[#This Row],[JUMLAH TERJUAL]]</f>
        <v>18576.57894736842</v>
      </c>
      <c r="R37" s="10">
        <f>TBLPRODUKKELUARJULI[[#This Row],[BUDGET KOMISI]]*TBLPRODUKKELUARJULI[[#This Row],[JUMLAH TERJUAL]]</f>
        <v>1857.6578947368421</v>
      </c>
      <c r="S37" s="10">
        <f>TBLPRODUKKELUARJULI[[#This Row],[MODAL DITAMBAH BUDGET KOMISI]]*TBLPRODUKKELUARJULI[[#This Row],[JUMLAH TERJUAL]]</f>
        <v>20434.23684210526</v>
      </c>
      <c r="T37" s="10">
        <f>TBLPRODUKKELUARJULI[[#This Row],[HARGA JUAL]]*TBLPRODUKKELUARJULI[[#This Row],[JUMLAH TERJUAL]]</f>
        <v>27000</v>
      </c>
      <c r="U37" s="10">
        <f>TBLPRODUKKELUARJULI[[#This Row],[SELISIH]]*TBLPRODUKKELUARJULI[[#This Row],[JUMLAH TERJUAL]]</f>
        <v>6565.7631578947385</v>
      </c>
      <c r="V37" s="10">
        <f>TBLPRODUKKELUARJULI[[#This Row],[LABA MITRA 8 %]]*TBLPRODUKKELUARJULI[[#This Row],[JUMLAH TERJUAL]]</f>
        <v>928.82894736842104</v>
      </c>
      <c r="W37" s="10">
        <f>TBLPRODUKKELUARJULI[[#This Row],[LABA KIRIM 8 %]]*TBLPRODUKKELUARJULI[[#This Row],[JUMLAH TERKIRIM]]</f>
        <v>928.82894736842104</v>
      </c>
      <c r="X37" s="10">
        <f>TBLPRODUKKELUARJULI[[#This Row],[TOTAL LABA MITRA 5%]]+TBLPRODUKKELUARJULI[[#This Row],[TOTAL LABA KIRIM 5%]]</f>
        <v>1857.6578947368421</v>
      </c>
      <c r="Y37" s="10">
        <f>TBLPRODUKKELUARJULI[[#This Row],[LABA BERSIH TOKO]]*TBLPRODUKKELUARJULI[[#This Row],[JUMLAH TERJUAL]]</f>
        <v>6565.7631578947385</v>
      </c>
    </row>
    <row r="38" spans="1:25" x14ac:dyDescent="0.3">
      <c r="A38" s="4">
        <v>2026</v>
      </c>
      <c r="B38" s="15" t="s">
        <v>590</v>
      </c>
      <c r="C38" s="15">
        <v>46212</v>
      </c>
      <c r="D38" s="3" t="s">
        <v>373</v>
      </c>
      <c r="E38" s="3" t="s">
        <v>446</v>
      </c>
      <c r="F38" s="3" t="str">
        <f>VLOOKUP(TBLPRODUKKELUARJULI[[#This Row],[NAMA CUSTOMER]],TBLDATACUSTOMER[],4,FALSE)</f>
        <v>RIA</v>
      </c>
      <c r="G38" s="5">
        <f>VLOOKUP(TBLPRODUKKELUARJULI[[#This Row],[NAMA PRODUK]],TBLKATALOG[],2,FALSE)</f>
        <v>6122.1929824561403</v>
      </c>
      <c r="H38" s="5">
        <f>VLOOKUP(TBLPRODUKKELUARJULI[[#This Row],[NAMA PRODUK]],TBLKATALOG[],3,FALSE)</f>
        <v>612.21929824561403</v>
      </c>
      <c r="I38" s="5">
        <f>VLOOKUP(TBLPRODUKKELUARJULI[[#This Row],[NAMA PRODUK]],TBLKATALOG[],4,FALSE)</f>
        <v>6734.4122807017538</v>
      </c>
      <c r="J38" s="5">
        <f>VLOOKUP(TBLPRODUKKELUARJULI[[#This Row],[NAMA PRODUK]],TBLKATALOG[],5,FALSE)</f>
        <v>9000</v>
      </c>
      <c r="K38" s="10">
        <f>VLOOKUP(TBLPRODUKKELUARJULI[[#This Row],[NAMA PRODUK]],TBLKATALOG[],6,FALSE)</f>
        <v>2265.5877192982462</v>
      </c>
      <c r="L38" s="10">
        <f>VLOOKUP(TBLPRODUKKELUARJULI[[#This Row],[NAMA PRODUK]],TBLKATALOG[],7,FALSE)</f>
        <v>306.10964912280701</v>
      </c>
      <c r="M38" s="10">
        <f>VLOOKUP(TBLPRODUKKELUARJULI[[#This Row],[NAMA PRODUK]],TBLKATALOG[],8,FALSE)</f>
        <v>306.10964912280701</v>
      </c>
      <c r="N38" s="10">
        <f>VLOOKUP(TBLPRODUKKELUARJULI[[#This Row],[NAMA PRODUK]],TBLKATALOG[],9,FALSE)</f>
        <v>2265.5877192982462</v>
      </c>
      <c r="O38" s="10">
        <v>3</v>
      </c>
      <c r="P38" s="10">
        <v>3</v>
      </c>
      <c r="Q38" s="10">
        <f>TBLPRODUKKELUARJULI[[#This Row],[MODAL]]*TBLPRODUKKELUARJULI[[#This Row],[JUMLAH TERJUAL]]</f>
        <v>18366.57894736842</v>
      </c>
      <c r="R38" s="10">
        <f>TBLPRODUKKELUARJULI[[#This Row],[BUDGET KOMISI]]*TBLPRODUKKELUARJULI[[#This Row],[JUMLAH TERJUAL]]</f>
        <v>1836.6578947368421</v>
      </c>
      <c r="S38" s="10">
        <f>TBLPRODUKKELUARJULI[[#This Row],[MODAL DITAMBAH BUDGET KOMISI]]*TBLPRODUKKELUARJULI[[#This Row],[JUMLAH TERJUAL]]</f>
        <v>20203.23684210526</v>
      </c>
      <c r="T38" s="10">
        <f>TBLPRODUKKELUARJULI[[#This Row],[HARGA JUAL]]*TBLPRODUKKELUARJULI[[#This Row],[JUMLAH TERJUAL]]</f>
        <v>27000</v>
      </c>
      <c r="U38" s="10">
        <f>TBLPRODUKKELUARJULI[[#This Row],[SELISIH]]*TBLPRODUKKELUARJULI[[#This Row],[JUMLAH TERJUAL]]</f>
        <v>6796.7631578947385</v>
      </c>
      <c r="V38" s="10">
        <f>TBLPRODUKKELUARJULI[[#This Row],[LABA MITRA 8 %]]*TBLPRODUKKELUARJULI[[#This Row],[JUMLAH TERJUAL]]</f>
        <v>918.32894736842104</v>
      </c>
      <c r="W38" s="10">
        <f>TBLPRODUKKELUARJULI[[#This Row],[LABA KIRIM 8 %]]*TBLPRODUKKELUARJULI[[#This Row],[JUMLAH TERKIRIM]]</f>
        <v>918.32894736842104</v>
      </c>
      <c r="X38" s="10">
        <f>TBLPRODUKKELUARJULI[[#This Row],[TOTAL LABA MITRA 5%]]+TBLPRODUKKELUARJULI[[#This Row],[TOTAL LABA KIRIM 5%]]</f>
        <v>1836.6578947368421</v>
      </c>
      <c r="Y38" s="10">
        <f>TBLPRODUKKELUARJULI[[#This Row],[LABA BERSIH TOKO]]*TBLPRODUKKELUARJULI[[#This Row],[JUMLAH TERJUAL]]</f>
        <v>6796.7631578947385</v>
      </c>
    </row>
    <row r="39" spans="1:25" x14ac:dyDescent="0.3">
      <c r="A39" s="4">
        <v>2026</v>
      </c>
      <c r="B39" s="15" t="s">
        <v>590</v>
      </c>
      <c r="C39" s="15">
        <v>46212</v>
      </c>
      <c r="D39" s="3" t="s">
        <v>374</v>
      </c>
      <c r="E39" s="3" t="s">
        <v>34</v>
      </c>
      <c r="F39" s="3" t="str">
        <f>VLOOKUP(TBLPRODUKKELUARJULI[[#This Row],[NAMA CUSTOMER]],TBLDATACUSTOMER[],4,FALSE)</f>
        <v>NURUL HIDAYATU SAMSIAH</v>
      </c>
      <c r="G39" s="5">
        <f>VLOOKUP(TBLPRODUKKELUARJULI[[#This Row],[NAMA PRODUK]],TBLKATALOG[],2,FALSE)</f>
        <v>6192.1929824561403</v>
      </c>
      <c r="H39" s="5">
        <f>VLOOKUP(TBLPRODUKKELUARJULI[[#This Row],[NAMA PRODUK]],TBLKATALOG[],3,FALSE)</f>
        <v>619.21929824561403</v>
      </c>
      <c r="I39" s="5">
        <f>VLOOKUP(TBLPRODUKKELUARJULI[[#This Row],[NAMA PRODUK]],TBLKATALOG[],4,FALSE)</f>
        <v>6811.4122807017538</v>
      </c>
      <c r="J39" s="5">
        <f>VLOOKUP(TBLPRODUKKELUARJULI[[#This Row],[NAMA PRODUK]],TBLKATALOG[],5,FALSE)</f>
        <v>9000</v>
      </c>
      <c r="K39" s="10">
        <f>VLOOKUP(TBLPRODUKKELUARJULI[[#This Row],[NAMA PRODUK]],TBLKATALOG[],6,FALSE)</f>
        <v>2188.5877192982462</v>
      </c>
      <c r="L39" s="10">
        <f>VLOOKUP(TBLPRODUKKELUARJULI[[#This Row],[NAMA PRODUK]],TBLKATALOG[],7,FALSE)</f>
        <v>309.60964912280701</v>
      </c>
      <c r="M39" s="10">
        <f>VLOOKUP(TBLPRODUKKELUARJULI[[#This Row],[NAMA PRODUK]],TBLKATALOG[],8,FALSE)</f>
        <v>309.60964912280701</v>
      </c>
      <c r="N39" s="10">
        <f>VLOOKUP(TBLPRODUKKELUARJULI[[#This Row],[NAMA PRODUK]],TBLKATALOG[],9,FALSE)</f>
        <v>2188.5877192982462</v>
      </c>
      <c r="O39" s="10">
        <v>3</v>
      </c>
      <c r="P39" s="10">
        <v>3</v>
      </c>
      <c r="Q39" s="10">
        <f>TBLPRODUKKELUARJULI[[#This Row],[MODAL]]*TBLPRODUKKELUARJULI[[#This Row],[JUMLAH TERJUAL]]</f>
        <v>18576.57894736842</v>
      </c>
      <c r="R39" s="10">
        <f>TBLPRODUKKELUARJULI[[#This Row],[BUDGET KOMISI]]*TBLPRODUKKELUARJULI[[#This Row],[JUMLAH TERJUAL]]</f>
        <v>1857.6578947368421</v>
      </c>
      <c r="S39" s="10">
        <f>TBLPRODUKKELUARJULI[[#This Row],[MODAL DITAMBAH BUDGET KOMISI]]*TBLPRODUKKELUARJULI[[#This Row],[JUMLAH TERJUAL]]</f>
        <v>20434.23684210526</v>
      </c>
      <c r="T39" s="10">
        <f>TBLPRODUKKELUARJULI[[#This Row],[HARGA JUAL]]*TBLPRODUKKELUARJULI[[#This Row],[JUMLAH TERJUAL]]</f>
        <v>27000</v>
      </c>
      <c r="U39" s="10">
        <f>TBLPRODUKKELUARJULI[[#This Row],[SELISIH]]*TBLPRODUKKELUARJULI[[#This Row],[JUMLAH TERJUAL]]</f>
        <v>6565.7631578947385</v>
      </c>
      <c r="V39" s="10">
        <f>TBLPRODUKKELUARJULI[[#This Row],[LABA MITRA 8 %]]*TBLPRODUKKELUARJULI[[#This Row],[JUMLAH TERJUAL]]</f>
        <v>928.82894736842104</v>
      </c>
      <c r="W39" s="10">
        <f>TBLPRODUKKELUARJULI[[#This Row],[LABA KIRIM 8 %]]*TBLPRODUKKELUARJULI[[#This Row],[JUMLAH TERKIRIM]]</f>
        <v>928.82894736842104</v>
      </c>
      <c r="X39" s="10">
        <f>TBLPRODUKKELUARJULI[[#This Row],[TOTAL LABA MITRA 5%]]+TBLPRODUKKELUARJULI[[#This Row],[TOTAL LABA KIRIM 5%]]</f>
        <v>1857.6578947368421</v>
      </c>
      <c r="Y39" s="10">
        <f>TBLPRODUKKELUARJULI[[#This Row],[LABA BERSIH TOKO]]*TBLPRODUKKELUARJULI[[#This Row],[JUMLAH TERJUAL]]</f>
        <v>6565.7631578947385</v>
      </c>
    </row>
    <row r="40" spans="1:25" x14ac:dyDescent="0.3">
      <c r="A40" s="4">
        <v>2026</v>
      </c>
      <c r="B40" s="15" t="s">
        <v>590</v>
      </c>
      <c r="C40" s="15">
        <v>46212</v>
      </c>
      <c r="D40" s="3" t="s">
        <v>373</v>
      </c>
      <c r="E40" s="3" t="s">
        <v>34</v>
      </c>
      <c r="F40" s="3" t="str">
        <f>VLOOKUP(TBLPRODUKKELUARJULI[[#This Row],[NAMA CUSTOMER]],TBLDATACUSTOMER[],4,FALSE)</f>
        <v>NURUL HIDAYATU SAMSIAH</v>
      </c>
      <c r="G40" s="5">
        <f>VLOOKUP(TBLPRODUKKELUARJULI[[#This Row],[NAMA PRODUK]],TBLKATALOG[],2,FALSE)</f>
        <v>6122.1929824561403</v>
      </c>
      <c r="H40" s="5">
        <f>VLOOKUP(TBLPRODUKKELUARJULI[[#This Row],[NAMA PRODUK]],TBLKATALOG[],3,FALSE)</f>
        <v>612.21929824561403</v>
      </c>
      <c r="I40" s="5">
        <f>VLOOKUP(TBLPRODUKKELUARJULI[[#This Row],[NAMA PRODUK]],TBLKATALOG[],4,FALSE)</f>
        <v>6734.4122807017538</v>
      </c>
      <c r="J40" s="5">
        <f>VLOOKUP(TBLPRODUKKELUARJULI[[#This Row],[NAMA PRODUK]],TBLKATALOG[],5,FALSE)</f>
        <v>9000</v>
      </c>
      <c r="K40" s="10">
        <f>VLOOKUP(TBLPRODUKKELUARJULI[[#This Row],[NAMA PRODUK]],TBLKATALOG[],6,FALSE)</f>
        <v>2265.5877192982462</v>
      </c>
      <c r="L40" s="10">
        <f>VLOOKUP(TBLPRODUKKELUARJULI[[#This Row],[NAMA PRODUK]],TBLKATALOG[],7,FALSE)</f>
        <v>306.10964912280701</v>
      </c>
      <c r="M40" s="10">
        <f>VLOOKUP(TBLPRODUKKELUARJULI[[#This Row],[NAMA PRODUK]],TBLKATALOG[],8,FALSE)</f>
        <v>306.10964912280701</v>
      </c>
      <c r="N40" s="10">
        <f>VLOOKUP(TBLPRODUKKELUARJULI[[#This Row],[NAMA PRODUK]],TBLKATALOG[],9,FALSE)</f>
        <v>2265.5877192982462</v>
      </c>
      <c r="O40" s="10">
        <v>6</v>
      </c>
      <c r="P40" s="10">
        <v>6</v>
      </c>
      <c r="Q40" s="10">
        <f>TBLPRODUKKELUARJULI[[#This Row],[MODAL]]*TBLPRODUKKELUARJULI[[#This Row],[JUMLAH TERJUAL]]</f>
        <v>36733.15789473684</v>
      </c>
      <c r="R40" s="10">
        <f>TBLPRODUKKELUARJULI[[#This Row],[BUDGET KOMISI]]*TBLPRODUKKELUARJULI[[#This Row],[JUMLAH TERJUAL]]</f>
        <v>3673.3157894736842</v>
      </c>
      <c r="S40" s="10">
        <f>TBLPRODUKKELUARJULI[[#This Row],[MODAL DITAMBAH BUDGET KOMISI]]*TBLPRODUKKELUARJULI[[#This Row],[JUMLAH TERJUAL]]</f>
        <v>40406.473684210519</v>
      </c>
      <c r="T40" s="10">
        <f>TBLPRODUKKELUARJULI[[#This Row],[HARGA JUAL]]*TBLPRODUKKELUARJULI[[#This Row],[JUMLAH TERJUAL]]</f>
        <v>54000</v>
      </c>
      <c r="U40" s="10">
        <f>TBLPRODUKKELUARJULI[[#This Row],[SELISIH]]*TBLPRODUKKELUARJULI[[#This Row],[JUMLAH TERJUAL]]</f>
        <v>13593.526315789477</v>
      </c>
      <c r="V40" s="10">
        <f>TBLPRODUKKELUARJULI[[#This Row],[LABA MITRA 8 %]]*TBLPRODUKKELUARJULI[[#This Row],[JUMLAH TERJUAL]]</f>
        <v>1836.6578947368421</v>
      </c>
      <c r="W40" s="10">
        <f>TBLPRODUKKELUARJULI[[#This Row],[LABA KIRIM 8 %]]*TBLPRODUKKELUARJULI[[#This Row],[JUMLAH TERKIRIM]]</f>
        <v>1836.6578947368421</v>
      </c>
      <c r="X40" s="10">
        <f>TBLPRODUKKELUARJULI[[#This Row],[TOTAL LABA MITRA 5%]]+TBLPRODUKKELUARJULI[[#This Row],[TOTAL LABA KIRIM 5%]]</f>
        <v>3673.3157894736842</v>
      </c>
      <c r="Y40" s="10">
        <f>TBLPRODUKKELUARJULI[[#This Row],[LABA BERSIH TOKO]]*TBLPRODUKKELUARJULI[[#This Row],[JUMLAH TERJUAL]]</f>
        <v>13593.526315789477</v>
      </c>
    </row>
    <row r="41" spans="1:25" x14ac:dyDescent="0.3">
      <c r="A41" s="4">
        <v>2026</v>
      </c>
      <c r="B41" s="15" t="s">
        <v>590</v>
      </c>
      <c r="C41" s="15">
        <v>46212</v>
      </c>
      <c r="D41" s="3" t="s">
        <v>384</v>
      </c>
      <c r="E41" s="3" t="s">
        <v>253</v>
      </c>
      <c r="F41" s="3" t="str">
        <f>VLOOKUP(TBLPRODUKKELUARJULI[[#This Row],[NAMA CUSTOMER]],TBLDATACUSTOMER[],4,FALSE)</f>
        <v>NURUL HIDAYATU SAMSIAH</v>
      </c>
      <c r="G41" s="5">
        <f>VLOOKUP(TBLPRODUKKELUARJULI[[#This Row],[NAMA PRODUK]],TBLKATALOG[],2,FALSE)</f>
        <v>6451.4912280701747</v>
      </c>
      <c r="H41" s="5">
        <f>VLOOKUP(TBLPRODUKKELUARJULI[[#This Row],[NAMA PRODUK]],TBLKATALOG[],3,FALSE)</f>
        <v>645.14912280701753</v>
      </c>
      <c r="I41" s="5">
        <f>VLOOKUP(TBLPRODUKKELUARJULI[[#This Row],[NAMA PRODUK]],TBLKATALOG[],4,FALSE)</f>
        <v>7096.6403508771918</v>
      </c>
      <c r="J41" s="5">
        <f>VLOOKUP(TBLPRODUKKELUARJULI[[#This Row],[NAMA PRODUK]],TBLKATALOG[],5,FALSE)</f>
        <v>9000</v>
      </c>
      <c r="K41" s="10">
        <f>VLOOKUP(TBLPRODUKKELUARJULI[[#This Row],[NAMA PRODUK]],TBLKATALOG[],6,FALSE)</f>
        <v>1903.3596491228082</v>
      </c>
      <c r="L41" s="10">
        <f>VLOOKUP(TBLPRODUKKELUARJULI[[#This Row],[NAMA PRODUK]],TBLKATALOG[],7,FALSE)</f>
        <v>322.57456140350877</v>
      </c>
      <c r="M41" s="10">
        <f>VLOOKUP(TBLPRODUKKELUARJULI[[#This Row],[NAMA PRODUK]],TBLKATALOG[],8,FALSE)</f>
        <v>322.57456140350877</v>
      </c>
      <c r="N41" s="10">
        <f>VLOOKUP(TBLPRODUKKELUARJULI[[#This Row],[NAMA PRODUK]],TBLKATALOG[],9,FALSE)</f>
        <v>1903.3596491228082</v>
      </c>
      <c r="O41" s="10">
        <v>1</v>
      </c>
      <c r="P41" s="10">
        <v>1</v>
      </c>
      <c r="Q41" s="10">
        <f>TBLPRODUKKELUARJULI[[#This Row],[MODAL]]*TBLPRODUKKELUARJULI[[#This Row],[JUMLAH TERJUAL]]</f>
        <v>6451.4912280701747</v>
      </c>
      <c r="R41" s="10">
        <f>TBLPRODUKKELUARJULI[[#This Row],[BUDGET KOMISI]]*TBLPRODUKKELUARJULI[[#This Row],[JUMLAH TERJUAL]]</f>
        <v>645.14912280701753</v>
      </c>
      <c r="S41" s="10">
        <f>TBLPRODUKKELUARJULI[[#This Row],[MODAL DITAMBAH BUDGET KOMISI]]*TBLPRODUKKELUARJULI[[#This Row],[JUMLAH TERJUAL]]</f>
        <v>7096.6403508771918</v>
      </c>
      <c r="T41" s="10">
        <f>TBLPRODUKKELUARJULI[[#This Row],[HARGA JUAL]]*TBLPRODUKKELUARJULI[[#This Row],[JUMLAH TERJUAL]]</f>
        <v>9000</v>
      </c>
      <c r="U41" s="10">
        <f>TBLPRODUKKELUARJULI[[#This Row],[SELISIH]]*TBLPRODUKKELUARJULI[[#This Row],[JUMLAH TERJUAL]]</f>
        <v>1903.3596491228082</v>
      </c>
      <c r="V41" s="10">
        <f>TBLPRODUKKELUARJULI[[#This Row],[LABA MITRA 8 %]]*TBLPRODUKKELUARJULI[[#This Row],[JUMLAH TERJUAL]]</f>
        <v>322.57456140350877</v>
      </c>
      <c r="W41" s="10">
        <f>TBLPRODUKKELUARJULI[[#This Row],[LABA KIRIM 8 %]]*TBLPRODUKKELUARJULI[[#This Row],[JUMLAH TERKIRIM]]</f>
        <v>322.57456140350877</v>
      </c>
      <c r="X41" s="10">
        <f>TBLPRODUKKELUARJULI[[#This Row],[TOTAL LABA MITRA 5%]]+TBLPRODUKKELUARJULI[[#This Row],[TOTAL LABA KIRIM 5%]]</f>
        <v>645.14912280701753</v>
      </c>
      <c r="Y41" s="10">
        <f>TBLPRODUKKELUARJULI[[#This Row],[LABA BERSIH TOKO]]*TBLPRODUKKELUARJULI[[#This Row],[JUMLAH TERJUAL]]</f>
        <v>1903.3596491228082</v>
      </c>
    </row>
    <row r="42" spans="1:25" x14ac:dyDescent="0.3">
      <c r="A42" s="4">
        <v>2026</v>
      </c>
      <c r="B42" s="15" t="s">
        <v>590</v>
      </c>
      <c r="C42" s="15">
        <v>46212</v>
      </c>
      <c r="D42" s="3" t="s">
        <v>382</v>
      </c>
      <c r="E42" s="3" t="s">
        <v>253</v>
      </c>
      <c r="F42" s="3" t="str">
        <f>VLOOKUP(TBLPRODUKKELUARJULI[[#This Row],[NAMA CUSTOMER]],TBLDATACUSTOMER[],4,FALSE)</f>
        <v>NURUL HIDAYATU SAMSIAH</v>
      </c>
      <c r="G42" s="5">
        <f>VLOOKUP(TBLPRODUKKELUARJULI[[#This Row],[NAMA PRODUK]],TBLKATALOG[],2,FALSE)</f>
        <v>6740.4385964912281</v>
      </c>
      <c r="H42" s="5">
        <f>VLOOKUP(TBLPRODUKKELUARJULI[[#This Row],[NAMA PRODUK]],TBLKATALOG[],3,FALSE)</f>
        <v>674.04385964912285</v>
      </c>
      <c r="I42" s="5">
        <f>VLOOKUP(TBLPRODUKKELUARJULI[[#This Row],[NAMA PRODUK]],TBLKATALOG[],4,FALSE)</f>
        <v>7414.4824561403511</v>
      </c>
      <c r="J42" s="5">
        <f>VLOOKUP(TBLPRODUKKELUARJULI[[#This Row],[NAMA PRODUK]],TBLKATALOG[],5,FALSE)</f>
        <v>9000</v>
      </c>
      <c r="K42" s="10">
        <f>VLOOKUP(TBLPRODUKKELUARJULI[[#This Row],[NAMA PRODUK]],TBLKATALOG[],6,FALSE)</f>
        <v>1585.5175438596489</v>
      </c>
      <c r="L42" s="10">
        <f>VLOOKUP(TBLPRODUKKELUARJULI[[#This Row],[NAMA PRODUK]],TBLKATALOG[],7,FALSE)</f>
        <v>337.02192982456143</v>
      </c>
      <c r="M42" s="10">
        <f>VLOOKUP(TBLPRODUKKELUARJULI[[#This Row],[NAMA PRODUK]],TBLKATALOG[],8,FALSE)</f>
        <v>337.02192982456143</v>
      </c>
      <c r="N42" s="10">
        <f>VLOOKUP(TBLPRODUKKELUARJULI[[#This Row],[NAMA PRODUK]],TBLKATALOG[],9,FALSE)</f>
        <v>1585.5175438596489</v>
      </c>
      <c r="O42" s="10">
        <v>1</v>
      </c>
      <c r="P42" s="10">
        <v>1</v>
      </c>
      <c r="Q42" s="10">
        <f>TBLPRODUKKELUARJULI[[#This Row],[MODAL]]*TBLPRODUKKELUARJULI[[#This Row],[JUMLAH TERJUAL]]</f>
        <v>6740.4385964912281</v>
      </c>
      <c r="R42" s="10">
        <f>TBLPRODUKKELUARJULI[[#This Row],[BUDGET KOMISI]]*TBLPRODUKKELUARJULI[[#This Row],[JUMLAH TERJUAL]]</f>
        <v>674.04385964912285</v>
      </c>
      <c r="S42" s="10">
        <f>TBLPRODUKKELUARJULI[[#This Row],[MODAL DITAMBAH BUDGET KOMISI]]*TBLPRODUKKELUARJULI[[#This Row],[JUMLAH TERJUAL]]</f>
        <v>7414.4824561403511</v>
      </c>
      <c r="T42" s="10">
        <f>TBLPRODUKKELUARJULI[[#This Row],[HARGA JUAL]]*TBLPRODUKKELUARJULI[[#This Row],[JUMLAH TERJUAL]]</f>
        <v>9000</v>
      </c>
      <c r="U42" s="10">
        <f>TBLPRODUKKELUARJULI[[#This Row],[SELISIH]]*TBLPRODUKKELUARJULI[[#This Row],[JUMLAH TERJUAL]]</f>
        <v>1585.5175438596489</v>
      </c>
      <c r="V42" s="10">
        <f>TBLPRODUKKELUARJULI[[#This Row],[LABA MITRA 8 %]]*TBLPRODUKKELUARJULI[[#This Row],[JUMLAH TERJUAL]]</f>
        <v>337.02192982456143</v>
      </c>
      <c r="W42" s="10">
        <f>TBLPRODUKKELUARJULI[[#This Row],[LABA KIRIM 8 %]]*TBLPRODUKKELUARJULI[[#This Row],[JUMLAH TERKIRIM]]</f>
        <v>337.02192982456143</v>
      </c>
      <c r="X42" s="10">
        <f>TBLPRODUKKELUARJULI[[#This Row],[TOTAL LABA MITRA 5%]]+TBLPRODUKKELUARJULI[[#This Row],[TOTAL LABA KIRIM 5%]]</f>
        <v>674.04385964912285</v>
      </c>
      <c r="Y42" s="10">
        <f>TBLPRODUKKELUARJULI[[#This Row],[LABA BERSIH TOKO]]*TBLPRODUKKELUARJULI[[#This Row],[JUMLAH TERJUAL]]</f>
        <v>1585.5175438596489</v>
      </c>
    </row>
    <row r="43" spans="1:25" x14ac:dyDescent="0.3">
      <c r="A43" s="4">
        <v>2026</v>
      </c>
      <c r="B43" s="15" t="s">
        <v>590</v>
      </c>
      <c r="C43" s="15">
        <v>46212</v>
      </c>
      <c r="D43" s="3" t="s">
        <v>378</v>
      </c>
      <c r="E43" s="3" t="s">
        <v>253</v>
      </c>
      <c r="F43" s="3" t="str">
        <f>VLOOKUP(TBLPRODUKKELUARJULI[[#This Row],[NAMA CUSTOMER]],TBLDATACUSTOMER[],4,FALSE)</f>
        <v>NURUL HIDAYATU SAMSIAH</v>
      </c>
      <c r="G43" s="5">
        <f>VLOOKUP(TBLPRODUKKELUARJULI[[#This Row],[NAMA PRODUK]],TBLKATALOG[],2,FALSE)</f>
        <v>8174.7192982456145</v>
      </c>
      <c r="H43" s="5">
        <f>VLOOKUP(TBLPRODUKKELUARJULI[[#This Row],[NAMA PRODUK]],TBLKATALOG[],3,FALSE)</f>
        <v>817.47192982456147</v>
      </c>
      <c r="I43" s="5">
        <f>VLOOKUP(TBLPRODUKKELUARJULI[[#This Row],[NAMA PRODUK]],TBLKATALOG[],4,FALSE)</f>
        <v>8992.1912280701763</v>
      </c>
      <c r="J43" s="5">
        <f>VLOOKUP(TBLPRODUKKELUARJULI[[#This Row],[NAMA PRODUK]],TBLKATALOG[],5,FALSE)</f>
        <v>12000</v>
      </c>
      <c r="K43" s="10">
        <f>VLOOKUP(TBLPRODUKKELUARJULI[[#This Row],[NAMA PRODUK]],TBLKATALOG[],6,FALSE)</f>
        <v>3007.8087719298237</v>
      </c>
      <c r="L43" s="10">
        <f>VLOOKUP(TBLPRODUKKELUARJULI[[#This Row],[NAMA PRODUK]],TBLKATALOG[],7,FALSE)</f>
        <v>408.73596491228074</v>
      </c>
      <c r="M43" s="10">
        <f>VLOOKUP(TBLPRODUKKELUARJULI[[#This Row],[NAMA PRODUK]],TBLKATALOG[],8,FALSE)</f>
        <v>408.73596491228074</v>
      </c>
      <c r="N43" s="10">
        <f>VLOOKUP(TBLPRODUKKELUARJULI[[#This Row],[NAMA PRODUK]],TBLKATALOG[],9,FALSE)</f>
        <v>3007.8087719298237</v>
      </c>
      <c r="O43" s="10">
        <v>1</v>
      </c>
      <c r="P43" s="10">
        <v>1</v>
      </c>
      <c r="Q43" s="10">
        <f>TBLPRODUKKELUARJULI[[#This Row],[MODAL]]*TBLPRODUKKELUARJULI[[#This Row],[JUMLAH TERJUAL]]</f>
        <v>8174.7192982456145</v>
      </c>
      <c r="R43" s="10">
        <f>TBLPRODUKKELUARJULI[[#This Row],[BUDGET KOMISI]]*TBLPRODUKKELUARJULI[[#This Row],[JUMLAH TERJUAL]]</f>
        <v>817.47192982456147</v>
      </c>
      <c r="S43" s="10">
        <f>TBLPRODUKKELUARJULI[[#This Row],[MODAL DITAMBAH BUDGET KOMISI]]*TBLPRODUKKELUARJULI[[#This Row],[JUMLAH TERJUAL]]</f>
        <v>8992.1912280701763</v>
      </c>
      <c r="T43" s="10">
        <f>TBLPRODUKKELUARJULI[[#This Row],[HARGA JUAL]]*TBLPRODUKKELUARJULI[[#This Row],[JUMLAH TERJUAL]]</f>
        <v>12000</v>
      </c>
      <c r="U43" s="10">
        <f>TBLPRODUKKELUARJULI[[#This Row],[SELISIH]]*TBLPRODUKKELUARJULI[[#This Row],[JUMLAH TERJUAL]]</f>
        <v>3007.8087719298237</v>
      </c>
      <c r="V43" s="10">
        <f>TBLPRODUKKELUARJULI[[#This Row],[LABA MITRA 8 %]]*TBLPRODUKKELUARJULI[[#This Row],[JUMLAH TERJUAL]]</f>
        <v>408.73596491228074</v>
      </c>
      <c r="W43" s="10">
        <f>TBLPRODUKKELUARJULI[[#This Row],[LABA KIRIM 8 %]]*TBLPRODUKKELUARJULI[[#This Row],[JUMLAH TERKIRIM]]</f>
        <v>408.73596491228074</v>
      </c>
      <c r="X43" s="10">
        <f>TBLPRODUKKELUARJULI[[#This Row],[TOTAL LABA MITRA 5%]]+TBLPRODUKKELUARJULI[[#This Row],[TOTAL LABA KIRIM 5%]]</f>
        <v>817.47192982456147</v>
      </c>
      <c r="Y43" s="10">
        <f>TBLPRODUKKELUARJULI[[#This Row],[LABA BERSIH TOKO]]*TBLPRODUKKELUARJULI[[#This Row],[JUMLAH TERJUAL]]</f>
        <v>3007.8087719298237</v>
      </c>
    </row>
    <row r="44" spans="1:25" x14ac:dyDescent="0.3">
      <c r="A44" s="4">
        <v>2026</v>
      </c>
      <c r="B44" s="15" t="s">
        <v>590</v>
      </c>
      <c r="C44" s="15">
        <v>46212</v>
      </c>
      <c r="D44" s="3" t="s">
        <v>374</v>
      </c>
      <c r="E44" s="253" t="s">
        <v>14</v>
      </c>
      <c r="F44" s="3" t="str">
        <f>VLOOKUP(TBLPRODUKKELUARJULI[[#This Row],[NAMA CUSTOMER]],TBLDATACUSTOMER[],4,FALSE)</f>
        <v>DENI</v>
      </c>
      <c r="G44" s="5">
        <f>VLOOKUP(TBLPRODUKKELUARJULI[[#This Row],[NAMA PRODUK]],TBLKATALOG[],2,FALSE)</f>
        <v>6192.1929824561403</v>
      </c>
      <c r="H44" s="5">
        <f>VLOOKUP(TBLPRODUKKELUARJULI[[#This Row],[NAMA PRODUK]],TBLKATALOG[],3,FALSE)</f>
        <v>619.21929824561403</v>
      </c>
      <c r="I44" s="5">
        <f>VLOOKUP(TBLPRODUKKELUARJULI[[#This Row],[NAMA PRODUK]],TBLKATALOG[],4,FALSE)</f>
        <v>6811.4122807017538</v>
      </c>
      <c r="J44" s="5">
        <f>VLOOKUP(TBLPRODUKKELUARJULI[[#This Row],[NAMA PRODUK]],TBLKATALOG[],5,FALSE)</f>
        <v>9000</v>
      </c>
      <c r="K44" s="10">
        <f>VLOOKUP(TBLPRODUKKELUARJULI[[#This Row],[NAMA PRODUK]],TBLKATALOG[],6,FALSE)</f>
        <v>2188.5877192982462</v>
      </c>
      <c r="L44" s="10">
        <f>VLOOKUP(TBLPRODUKKELUARJULI[[#This Row],[NAMA PRODUK]],TBLKATALOG[],7,FALSE)</f>
        <v>309.60964912280701</v>
      </c>
      <c r="M44" s="10">
        <f>VLOOKUP(TBLPRODUKKELUARJULI[[#This Row],[NAMA PRODUK]],TBLKATALOG[],8,FALSE)</f>
        <v>309.60964912280701</v>
      </c>
      <c r="N44" s="10">
        <f>VLOOKUP(TBLPRODUKKELUARJULI[[#This Row],[NAMA PRODUK]],TBLKATALOG[],9,FALSE)</f>
        <v>2188.5877192982462</v>
      </c>
      <c r="O44" s="10">
        <v>1</v>
      </c>
      <c r="P44" s="10">
        <v>1</v>
      </c>
      <c r="Q44" s="10">
        <f>TBLPRODUKKELUARJULI[[#This Row],[MODAL]]*TBLPRODUKKELUARJULI[[#This Row],[JUMLAH TERJUAL]]</f>
        <v>6192.1929824561403</v>
      </c>
      <c r="R44" s="10">
        <f>TBLPRODUKKELUARJULI[[#This Row],[BUDGET KOMISI]]*TBLPRODUKKELUARJULI[[#This Row],[JUMLAH TERJUAL]]</f>
        <v>619.21929824561403</v>
      </c>
      <c r="S44" s="10">
        <f>TBLPRODUKKELUARJULI[[#This Row],[MODAL DITAMBAH BUDGET KOMISI]]*TBLPRODUKKELUARJULI[[#This Row],[JUMLAH TERJUAL]]</f>
        <v>6811.4122807017538</v>
      </c>
      <c r="T44" s="10">
        <f>TBLPRODUKKELUARJULI[[#This Row],[HARGA JUAL]]*TBLPRODUKKELUARJULI[[#This Row],[JUMLAH TERJUAL]]</f>
        <v>9000</v>
      </c>
      <c r="U44" s="10">
        <f>TBLPRODUKKELUARJULI[[#This Row],[SELISIH]]*TBLPRODUKKELUARJULI[[#This Row],[JUMLAH TERJUAL]]</f>
        <v>2188.5877192982462</v>
      </c>
      <c r="V44" s="10">
        <f>TBLPRODUKKELUARJULI[[#This Row],[LABA MITRA 8 %]]*TBLPRODUKKELUARJULI[[#This Row],[JUMLAH TERJUAL]]</f>
        <v>309.60964912280701</v>
      </c>
      <c r="W44" s="10">
        <f>TBLPRODUKKELUARJULI[[#This Row],[LABA KIRIM 8 %]]*TBLPRODUKKELUARJULI[[#This Row],[JUMLAH TERKIRIM]]</f>
        <v>309.60964912280701</v>
      </c>
      <c r="X44" s="10">
        <f>TBLPRODUKKELUARJULI[[#This Row],[TOTAL LABA MITRA 5%]]+TBLPRODUKKELUARJULI[[#This Row],[TOTAL LABA KIRIM 5%]]</f>
        <v>619.21929824561403</v>
      </c>
      <c r="Y44" s="10">
        <f>TBLPRODUKKELUARJULI[[#This Row],[LABA BERSIH TOKO]]*TBLPRODUKKELUARJULI[[#This Row],[JUMLAH TERJUAL]]</f>
        <v>2188.5877192982462</v>
      </c>
    </row>
    <row r="45" spans="1:25" x14ac:dyDescent="0.3">
      <c r="A45" s="4">
        <v>2026</v>
      </c>
      <c r="B45" s="15" t="s">
        <v>590</v>
      </c>
      <c r="C45" s="15">
        <v>46212</v>
      </c>
      <c r="D45" s="3" t="s">
        <v>373</v>
      </c>
      <c r="E45" s="253" t="s">
        <v>14</v>
      </c>
      <c r="F45" s="3" t="str">
        <f>VLOOKUP(TBLPRODUKKELUARJULI[[#This Row],[NAMA CUSTOMER]],TBLDATACUSTOMER[],4,FALSE)</f>
        <v>DENI</v>
      </c>
      <c r="G45" s="5">
        <f>VLOOKUP(TBLPRODUKKELUARJULI[[#This Row],[NAMA PRODUK]],TBLKATALOG[],2,FALSE)</f>
        <v>6122.1929824561403</v>
      </c>
      <c r="H45" s="5">
        <f>VLOOKUP(TBLPRODUKKELUARJULI[[#This Row],[NAMA PRODUK]],TBLKATALOG[],3,FALSE)</f>
        <v>612.21929824561403</v>
      </c>
      <c r="I45" s="5">
        <f>VLOOKUP(TBLPRODUKKELUARJULI[[#This Row],[NAMA PRODUK]],TBLKATALOG[],4,FALSE)</f>
        <v>6734.4122807017538</v>
      </c>
      <c r="J45" s="5">
        <f>VLOOKUP(TBLPRODUKKELUARJULI[[#This Row],[NAMA PRODUK]],TBLKATALOG[],5,FALSE)</f>
        <v>9000</v>
      </c>
      <c r="K45" s="10">
        <f>VLOOKUP(TBLPRODUKKELUARJULI[[#This Row],[NAMA PRODUK]],TBLKATALOG[],6,FALSE)</f>
        <v>2265.5877192982462</v>
      </c>
      <c r="L45" s="10">
        <f>VLOOKUP(TBLPRODUKKELUARJULI[[#This Row],[NAMA PRODUK]],TBLKATALOG[],7,FALSE)</f>
        <v>306.10964912280701</v>
      </c>
      <c r="M45" s="10">
        <f>VLOOKUP(TBLPRODUKKELUARJULI[[#This Row],[NAMA PRODUK]],TBLKATALOG[],8,FALSE)</f>
        <v>306.10964912280701</v>
      </c>
      <c r="N45" s="10">
        <f>VLOOKUP(TBLPRODUKKELUARJULI[[#This Row],[NAMA PRODUK]],TBLKATALOG[],9,FALSE)</f>
        <v>2265.5877192982462</v>
      </c>
      <c r="O45" s="10">
        <v>1</v>
      </c>
      <c r="P45" s="10">
        <v>1</v>
      </c>
      <c r="Q45" s="10">
        <f>TBLPRODUKKELUARJULI[[#This Row],[MODAL]]*TBLPRODUKKELUARJULI[[#This Row],[JUMLAH TERJUAL]]</f>
        <v>6122.1929824561403</v>
      </c>
      <c r="R45" s="10">
        <f>TBLPRODUKKELUARJULI[[#This Row],[BUDGET KOMISI]]*TBLPRODUKKELUARJULI[[#This Row],[JUMLAH TERJUAL]]</f>
        <v>612.21929824561403</v>
      </c>
      <c r="S45" s="10">
        <f>TBLPRODUKKELUARJULI[[#This Row],[MODAL DITAMBAH BUDGET KOMISI]]*TBLPRODUKKELUARJULI[[#This Row],[JUMLAH TERJUAL]]</f>
        <v>6734.4122807017538</v>
      </c>
      <c r="T45" s="10">
        <f>TBLPRODUKKELUARJULI[[#This Row],[HARGA JUAL]]*TBLPRODUKKELUARJULI[[#This Row],[JUMLAH TERJUAL]]</f>
        <v>9000</v>
      </c>
      <c r="U45" s="10">
        <f>TBLPRODUKKELUARJULI[[#This Row],[SELISIH]]*TBLPRODUKKELUARJULI[[#This Row],[JUMLAH TERJUAL]]</f>
        <v>2265.5877192982462</v>
      </c>
      <c r="V45" s="10">
        <f>TBLPRODUKKELUARJULI[[#This Row],[LABA MITRA 8 %]]*TBLPRODUKKELUARJULI[[#This Row],[JUMLAH TERJUAL]]</f>
        <v>306.10964912280701</v>
      </c>
      <c r="W45" s="10">
        <f>TBLPRODUKKELUARJULI[[#This Row],[LABA KIRIM 8 %]]*TBLPRODUKKELUARJULI[[#This Row],[JUMLAH TERKIRIM]]</f>
        <v>306.10964912280701</v>
      </c>
      <c r="X45" s="10">
        <f>TBLPRODUKKELUARJULI[[#This Row],[TOTAL LABA MITRA 5%]]+TBLPRODUKKELUARJULI[[#This Row],[TOTAL LABA KIRIM 5%]]</f>
        <v>612.21929824561403</v>
      </c>
      <c r="Y45" s="10">
        <f>TBLPRODUKKELUARJULI[[#This Row],[LABA BERSIH TOKO]]*TBLPRODUKKELUARJULI[[#This Row],[JUMLAH TERJUAL]]</f>
        <v>2265.5877192982462</v>
      </c>
    </row>
    <row r="46" spans="1:25" x14ac:dyDescent="0.3">
      <c r="A46" s="4">
        <v>2026</v>
      </c>
      <c r="B46" s="15" t="s">
        <v>590</v>
      </c>
      <c r="C46" s="15">
        <v>46213</v>
      </c>
      <c r="D46" s="3" t="s">
        <v>373</v>
      </c>
      <c r="E46" s="253" t="s">
        <v>446</v>
      </c>
      <c r="F46" s="3" t="str">
        <f>VLOOKUP(TBLPRODUKKELUARJULI[[#This Row],[NAMA CUSTOMER]],TBLDATACUSTOMER[],4,FALSE)</f>
        <v>RIA</v>
      </c>
      <c r="G46" s="5">
        <f>VLOOKUP(TBLPRODUKKELUARJULI[[#This Row],[NAMA PRODUK]],TBLKATALOG[],2,FALSE)</f>
        <v>6122.1929824561403</v>
      </c>
      <c r="H46" s="5">
        <f>VLOOKUP(TBLPRODUKKELUARJULI[[#This Row],[NAMA PRODUK]],TBLKATALOG[],3,FALSE)</f>
        <v>612.21929824561403</v>
      </c>
      <c r="I46" s="5">
        <f>VLOOKUP(TBLPRODUKKELUARJULI[[#This Row],[NAMA PRODUK]],TBLKATALOG[],4,FALSE)</f>
        <v>6734.4122807017538</v>
      </c>
      <c r="J46" s="5">
        <f>VLOOKUP(TBLPRODUKKELUARJULI[[#This Row],[NAMA PRODUK]],TBLKATALOG[],5,FALSE)</f>
        <v>9000</v>
      </c>
      <c r="K46" s="10">
        <f>VLOOKUP(TBLPRODUKKELUARJULI[[#This Row],[NAMA PRODUK]],TBLKATALOG[],6,FALSE)</f>
        <v>2265.5877192982462</v>
      </c>
      <c r="L46" s="10">
        <f>VLOOKUP(TBLPRODUKKELUARJULI[[#This Row],[NAMA PRODUK]],TBLKATALOG[],7,FALSE)</f>
        <v>306.10964912280701</v>
      </c>
      <c r="M46" s="10">
        <f>VLOOKUP(TBLPRODUKKELUARJULI[[#This Row],[NAMA PRODUK]],TBLKATALOG[],8,FALSE)</f>
        <v>306.10964912280701</v>
      </c>
      <c r="N46" s="10">
        <f>VLOOKUP(TBLPRODUKKELUARJULI[[#This Row],[NAMA PRODUK]],TBLKATALOG[],9,FALSE)</f>
        <v>2265.5877192982462</v>
      </c>
      <c r="O46" s="10">
        <v>3</v>
      </c>
      <c r="P46" s="10">
        <v>3</v>
      </c>
      <c r="Q46" s="10">
        <f>TBLPRODUKKELUARJULI[[#This Row],[MODAL]]*TBLPRODUKKELUARJULI[[#This Row],[JUMLAH TERJUAL]]</f>
        <v>18366.57894736842</v>
      </c>
      <c r="R46" s="10">
        <f>TBLPRODUKKELUARJULI[[#This Row],[BUDGET KOMISI]]*TBLPRODUKKELUARJULI[[#This Row],[JUMLAH TERJUAL]]</f>
        <v>1836.6578947368421</v>
      </c>
      <c r="S46" s="10">
        <f>TBLPRODUKKELUARJULI[[#This Row],[MODAL DITAMBAH BUDGET KOMISI]]*TBLPRODUKKELUARJULI[[#This Row],[JUMLAH TERJUAL]]</f>
        <v>20203.23684210526</v>
      </c>
      <c r="T46" s="10">
        <f>TBLPRODUKKELUARJULI[[#This Row],[HARGA JUAL]]*TBLPRODUKKELUARJULI[[#This Row],[JUMLAH TERJUAL]]</f>
        <v>27000</v>
      </c>
      <c r="U46" s="10">
        <f>TBLPRODUKKELUARJULI[[#This Row],[SELISIH]]*TBLPRODUKKELUARJULI[[#This Row],[JUMLAH TERJUAL]]</f>
        <v>6796.7631578947385</v>
      </c>
      <c r="V46" s="10">
        <f>TBLPRODUKKELUARJULI[[#This Row],[LABA MITRA 8 %]]*TBLPRODUKKELUARJULI[[#This Row],[JUMLAH TERJUAL]]</f>
        <v>918.32894736842104</v>
      </c>
      <c r="W46" s="10">
        <f>TBLPRODUKKELUARJULI[[#This Row],[LABA KIRIM 8 %]]*TBLPRODUKKELUARJULI[[#This Row],[JUMLAH TERKIRIM]]</f>
        <v>918.32894736842104</v>
      </c>
      <c r="X46" s="10">
        <f>TBLPRODUKKELUARJULI[[#This Row],[TOTAL LABA MITRA 5%]]+TBLPRODUKKELUARJULI[[#This Row],[TOTAL LABA KIRIM 5%]]</f>
        <v>1836.6578947368421</v>
      </c>
      <c r="Y46" s="10">
        <f>TBLPRODUKKELUARJULI[[#This Row],[LABA BERSIH TOKO]]*TBLPRODUKKELUARJULI[[#This Row],[JUMLAH TERJUAL]]</f>
        <v>6796.7631578947385</v>
      </c>
    </row>
    <row r="47" spans="1:25" x14ac:dyDescent="0.3">
      <c r="A47" s="4">
        <v>2026</v>
      </c>
      <c r="B47" s="15" t="s">
        <v>590</v>
      </c>
      <c r="C47" s="15">
        <v>46213</v>
      </c>
      <c r="D47" s="3" t="s">
        <v>374</v>
      </c>
      <c r="E47" s="253" t="s">
        <v>446</v>
      </c>
      <c r="F47" s="3" t="str">
        <f>VLOOKUP(TBLPRODUKKELUARJULI[[#This Row],[NAMA CUSTOMER]],TBLDATACUSTOMER[],4,FALSE)</f>
        <v>RIA</v>
      </c>
      <c r="G47" s="5">
        <f>VLOOKUP(TBLPRODUKKELUARJULI[[#This Row],[NAMA PRODUK]],TBLKATALOG[],2,FALSE)</f>
        <v>6192.1929824561403</v>
      </c>
      <c r="H47" s="5">
        <f>VLOOKUP(TBLPRODUKKELUARJULI[[#This Row],[NAMA PRODUK]],TBLKATALOG[],3,FALSE)</f>
        <v>619.21929824561403</v>
      </c>
      <c r="I47" s="5">
        <f>VLOOKUP(TBLPRODUKKELUARJULI[[#This Row],[NAMA PRODUK]],TBLKATALOG[],4,FALSE)</f>
        <v>6811.4122807017538</v>
      </c>
      <c r="J47" s="5">
        <f>VLOOKUP(TBLPRODUKKELUARJULI[[#This Row],[NAMA PRODUK]],TBLKATALOG[],5,FALSE)</f>
        <v>9000</v>
      </c>
      <c r="K47" s="10">
        <f>VLOOKUP(TBLPRODUKKELUARJULI[[#This Row],[NAMA PRODUK]],TBLKATALOG[],6,FALSE)</f>
        <v>2188.5877192982462</v>
      </c>
      <c r="L47" s="10">
        <f>VLOOKUP(TBLPRODUKKELUARJULI[[#This Row],[NAMA PRODUK]],TBLKATALOG[],7,FALSE)</f>
        <v>309.60964912280701</v>
      </c>
      <c r="M47" s="10">
        <f>VLOOKUP(TBLPRODUKKELUARJULI[[#This Row],[NAMA PRODUK]],TBLKATALOG[],8,FALSE)</f>
        <v>309.60964912280701</v>
      </c>
      <c r="N47" s="10">
        <f>VLOOKUP(TBLPRODUKKELUARJULI[[#This Row],[NAMA PRODUK]],TBLKATALOG[],9,FALSE)</f>
        <v>2188.5877192982462</v>
      </c>
      <c r="O47" s="10">
        <v>3</v>
      </c>
      <c r="P47" s="10">
        <v>3</v>
      </c>
      <c r="Q47" s="10">
        <f>TBLPRODUKKELUARJULI[[#This Row],[MODAL]]*TBLPRODUKKELUARJULI[[#This Row],[JUMLAH TERJUAL]]</f>
        <v>18576.57894736842</v>
      </c>
      <c r="R47" s="10">
        <f>TBLPRODUKKELUARJULI[[#This Row],[BUDGET KOMISI]]*TBLPRODUKKELUARJULI[[#This Row],[JUMLAH TERJUAL]]</f>
        <v>1857.6578947368421</v>
      </c>
      <c r="S47" s="10">
        <f>TBLPRODUKKELUARJULI[[#This Row],[MODAL DITAMBAH BUDGET KOMISI]]*TBLPRODUKKELUARJULI[[#This Row],[JUMLAH TERJUAL]]</f>
        <v>20434.23684210526</v>
      </c>
      <c r="T47" s="10">
        <f>TBLPRODUKKELUARJULI[[#This Row],[HARGA JUAL]]*TBLPRODUKKELUARJULI[[#This Row],[JUMLAH TERJUAL]]</f>
        <v>27000</v>
      </c>
      <c r="U47" s="10">
        <f>TBLPRODUKKELUARJULI[[#This Row],[SELISIH]]*TBLPRODUKKELUARJULI[[#This Row],[JUMLAH TERJUAL]]</f>
        <v>6565.7631578947385</v>
      </c>
      <c r="V47" s="10">
        <f>TBLPRODUKKELUARJULI[[#This Row],[LABA MITRA 8 %]]*TBLPRODUKKELUARJULI[[#This Row],[JUMLAH TERJUAL]]</f>
        <v>928.82894736842104</v>
      </c>
      <c r="W47" s="10">
        <f>TBLPRODUKKELUARJULI[[#This Row],[LABA KIRIM 8 %]]*TBLPRODUKKELUARJULI[[#This Row],[JUMLAH TERKIRIM]]</f>
        <v>928.82894736842104</v>
      </c>
      <c r="X47" s="10">
        <f>TBLPRODUKKELUARJULI[[#This Row],[TOTAL LABA MITRA 5%]]+TBLPRODUKKELUARJULI[[#This Row],[TOTAL LABA KIRIM 5%]]</f>
        <v>1857.6578947368421</v>
      </c>
      <c r="Y47" s="10">
        <f>TBLPRODUKKELUARJULI[[#This Row],[LABA BERSIH TOKO]]*TBLPRODUKKELUARJULI[[#This Row],[JUMLAH TERJUAL]]</f>
        <v>6565.7631578947385</v>
      </c>
    </row>
    <row r="48" spans="1:25" x14ac:dyDescent="0.3">
      <c r="A48" s="4">
        <v>2026</v>
      </c>
      <c r="B48" s="15" t="s">
        <v>590</v>
      </c>
      <c r="C48" s="15">
        <v>46213</v>
      </c>
      <c r="D48" s="3" t="s">
        <v>374</v>
      </c>
      <c r="E48" s="253" t="s">
        <v>34</v>
      </c>
      <c r="F48" s="3" t="str">
        <f>VLOOKUP(TBLPRODUKKELUARJULI[[#This Row],[NAMA CUSTOMER]],TBLDATACUSTOMER[],4,FALSE)</f>
        <v>NURUL HIDAYATU SAMSIAH</v>
      </c>
      <c r="G48" s="5">
        <f>VLOOKUP(TBLPRODUKKELUARJULI[[#This Row],[NAMA PRODUK]],TBLKATALOG[],2,FALSE)</f>
        <v>6192.1929824561403</v>
      </c>
      <c r="H48" s="5">
        <f>VLOOKUP(TBLPRODUKKELUARJULI[[#This Row],[NAMA PRODUK]],TBLKATALOG[],3,FALSE)</f>
        <v>619.21929824561403</v>
      </c>
      <c r="I48" s="5">
        <f>VLOOKUP(TBLPRODUKKELUARJULI[[#This Row],[NAMA PRODUK]],TBLKATALOG[],4,FALSE)</f>
        <v>6811.4122807017538</v>
      </c>
      <c r="J48" s="5">
        <f>VLOOKUP(TBLPRODUKKELUARJULI[[#This Row],[NAMA PRODUK]],TBLKATALOG[],5,FALSE)</f>
        <v>9000</v>
      </c>
      <c r="K48" s="10">
        <f>VLOOKUP(TBLPRODUKKELUARJULI[[#This Row],[NAMA PRODUK]],TBLKATALOG[],6,FALSE)</f>
        <v>2188.5877192982462</v>
      </c>
      <c r="L48" s="10">
        <f>VLOOKUP(TBLPRODUKKELUARJULI[[#This Row],[NAMA PRODUK]],TBLKATALOG[],7,FALSE)</f>
        <v>309.60964912280701</v>
      </c>
      <c r="M48" s="10">
        <f>VLOOKUP(TBLPRODUKKELUARJULI[[#This Row],[NAMA PRODUK]],TBLKATALOG[],8,FALSE)</f>
        <v>309.60964912280701</v>
      </c>
      <c r="N48" s="10">
        <f>VLOOKUP(TBLPRODUKKELUARJULI[[#This Row],[NAMA PRODUK]],TBLKATALOG[],9,FALSE)</f>
        <v>2188.5877192982462</v>
      </c>
      <c r="O48" s="10">
        <v>1</v>
      </c>
      <c r="P48" s="10">
        <v>1</v>
      </c>
      <c r="Q48" s="10">
        <f>TBLPRODUKKELUARJULI[[#This Row],[MODAL]]*TBLPRODUKKELUARJULI[[#This Row],[JUMLAH TERJUAL]]</f>
        <v>6192.1929824561403</v>
      </c>
      <c r="R48" s="10">
        <f>TBLPRODUKKELUARJULI[[#This Row],[BUDGET KOMISI]]*TBLPRODUKKELUARJULI[[#This Row],[JUMLAH TERJUAL]]</f>
        <v>619.21929824561403</v>
      </c>
      <c r="S48" s="10">
        <f>TBLPRODUKKELUARJULI[[#This Row],[MODAL DITAMBAH BUDGET KOMISI]]*TBLPRODUKKELUARJULI[[#This Row],[JUMLAH TERJUAL]]</f>
        <v>6811.4122807017538</v>
      </c>
      <c r="T48" s="10">
        <f>TBLPRODUKKELUARJULI[[#This Row],[HARGA JUAL]]*TBLPRODUKKELUARJULI[[#This Row],[JUMLAH TERJUAL]]</f>
        <v>9000</v>
      </c>
      <c r="U48" s="10">
        <f>TBLPRODUKKELUARJULI[[#This Row],[SELISIH]]*TBLPRODUKKELUARJULI[[#This Row],[JUMLAH TERJUAL]]</f>
        <v>2188.5877192982462</v>
      </c>
      <c r="V48" s="10">
        <f>TBLPRODUKKELUARJULI[[#This Row],[LABA MITRA 8 %]]*TBLPRODUKKELUARJULI[[#This Row],[JUMLAH TERJUAL]]</f>
        <v>309.60964912280701</v>
      </c>
      <c r="W48" s="10">
        <f>TBLPRODUKKELUARJULI[[#This Row],[LABA KIRIM 8 %]]*TBLPRODUKKELUARJULI[[#This Row],[JUMLAH TERKIRIM]]</f>
        <v>309.60964912280701</v>
      </c>
      <c r="X48" s="10">
        <f>TBLPRODUKKELUARJULI[[#This Row],[TOTAL LABA MITRA 5%]]+TBLPRODUKKELUARJULI[[#This Row],[TOTAL LABA KIRIM 5%]]</f>
        <v>619.21929824561403</v>
      </c>
      <c r="Y48" s="10">
        <f>TBLPRODUKKELUARJULI[[#This Row],[LABA BERSIH TOKO]]*TBLPRODUKKELUARJULI[[#This Row],[JUMLAH TERJUAL]]</f>
        <v>2188.5877192982462</v>
      </c>
    </row>
    <row r="49" spans="1:25" x14ac:dyDescent="0.3">
      <c r="A49" s="4">
        <v>2026</v>
      </c>
      <c r="B49" s="15" t="s">
        <v>590</v>
      </c>
      <c r="C49" s="15">
        <v>46214</v>
      </c>
      <c r="D49" s="3" t="s">
        <v>373</v>
      </c>
      <c r="E49" s="253" t="s">
        <v>162</v>
      </c>
      <c r="F49" s="3" t="str">
        <f>VLOOKUP(TBLPRODUKKELUARJULI[[#This Row],[NAMA CUSTOMER]],TBLDATACUSTOMER[],4,FALSE)</f>
        <v>NURUL HIDAYATU SAMSIAH</v>
      </c>
      <c r="G49" s="5">
        <f>VLOOKUP(TBLPRODUKKELUARJULI[[#This Row],[NAMA PRODUK]],TBLKATALOG[],2,FALSE)</f>
        <v>6122.1929824561403</v>
      </c>
      <c r="H49" s="5">
        <f>VLOOKUP(TBLPRODUKKELUARJULI[[#This Row],[NAMA PRODUK]],TBLKATALOG[],3,FALSE)</f>
        <v>612.21929824561403</v>
      </c>
      <c r="I49" s="5">
        <f>VLOOKUP(TBLPRODUKKELUARJULI[[#This Row],[NAMA PRODUK]],TBLKATALOG[],4,FALSE)</f>
        <v>6734.4122807017538</v>
      </c>
      <c r="J49" s="5">
        <f>VLOOKUP(TBLPRODUKKELUARJULI[[#This Row],[NAMA PRODUK]],TBLKATALOG[],5,FALSE)</f>
        <v>9000</v>
      </c>
      <c r="K49" s="10">
        <f>VLOOKUP(TBLPRODUKKELUARJULI[[#This Row],[NAMA PRODUK]],TBLKATALOG[],6,FALSE)</f>
        <v>2265.5877192982462</v>
      </c>
      <c r="L49" s="10">
        <f>VLOOKUP(TBLPRODUKKELUARJULI[[#This Row],[NAMA PRODUK]],TBLKATALOG[],7,FALSE)</f>
        <v>306.10964912280701</v>
      </c>
      <c r="M49" s="10">
        <f>VLOOKUP(TBLPRODUKKELUARJULI[[#This Row],[NAMA PRODUK]],TBLKATALOG[],8,FALSE)</f>
        <v>306.10964912280701</v>
      </c>
      <c r="N49" s="10">
        <f>VLOOKUP(TBLPRODUKKELUARJULI[[#This Row],[NAMA PRODUK]],TBLKATALOG[],9,FALSE)</f>
        <v>2265.5877192982462</v>
      </c>
      <c r="O49" s="10">
        <v>1</v>
      </c>
      <c r="P49" s="10">
        <v>1</v>
      </c>
      <c r="Q49" s="10">
        <f>TBLPRODUKKELUARJULI[[#This Row],[MODAL]]*TBLPRODUKKELUARJULI[[#This Row],[JUMLAH TERJUAL]]</f>
        <v>6122.1929824561403</v>
      </c>
      <c r="R49" s="10">
        <f>TBLPRODUKKELUARJULI[[#This Row],[BUDGET KOMISI]]*TBLPRODUKKELUARJULI[[#This Row],[JUMLAH TERJUAL]]</f>
        <v>612.21929824561403</v>
      </c>
      <c r="S49" s="10">
        <f>TBLPRODUKKELUARJULI[[#This Row],[MODAL DITAMBAH BUDGET KOMISI]]*TBLPRODUKKELUARJULI[[#This Row],[JUMLAH TERJUAL]]</f>
        <v>6734.4122807017538</v>
      </c>
      <c r="T49" s="10">
        <f>TBLPRODUKKELUARJULI[[#This Row],[HARGA JUAL]]*TBLPRODUKKELUARJULI[[#This Row],[JUMLAH TERJUAL]]</f>
        <v>9000</v>
      </c>
      <c r="U49" s="10">
        <f>TBLPRODUKKELUARJULI[[#This Row],[SELISIH]]*TBLPRODUKKELUARJULI[[#This Row],[JUMLAH TERJUAL]]</f>
        <v>2265.5877192982462</v>
      </c>
      <c r="V49" s="10">
        <f>TBLPRODUKKELUARJULI[[#This Row],[LABA MITRA 8 %]]*TBLPRODUKKELUARJULI[[#This Row],[JUMLAH TERJUAL]]</f>
        <v>306.10964912280701</v>
      </c>
      <c r="W49" s="10">
        <f>TBLPRODUKKELUARJULI[[#This Row],[LABA KIRIM 8 %]]*TBLPRODUKKELUARJULI[[#This Row],[JUMLAH TERKIRIM]]</f>
        <v>306.10964912280701</v>
      </c>
      <c r="X49" s="10">
        <f>TBLPRODUKKELUARJULI[[#This Row],[TOTAL LABA MITRA 5%]]+TBLPRODUKKELUARJULI[[#This Row],[TOTAL LABA KIRIM 5%]]</f>
        <v>612.21929824561403</v>
      </c>
      <c r="Y49" s="10">
        <f>TBLPRODUKKELUARJULI[[#This Row],[LABA BERSIH TOKO]]*TBLPRODUKKELUARJULI[[#This Row],[JUMLAH TERJUAL]]</f>
        <v>2265.5877192982462</v>
      </c>
    </row>
    <row r="50" spans="1:25" x14ac:dyDescent="0.3">
      <c r="A50" s="4">
        <v>2026</v>
      </c>
      <c r="B50" s="15" t="s">
        <v>590</v>
      </c>
      <c r="C50" s="254">
        <v>46214</v>
      </c>
      <c r="D50" s="3" t="s">
        <v>374</v>
      </c>
      <c r="E50" s="253" t="s">
        <v>162</v>
      </c>
      <c r="F50" s="3" t="str">
        <f>VLOOKUP(TBLPRODUKKELUARJULI[[#This Row],[NAMA CUSTOMER]],TBLDATACUSTOMER[],4,FALSE)</f>
        <v>NURUL HIDAYATU SAMSIAH</v>
      </c>
      <c r="G50" s="5">
        <f>VLOOKUP(TBLPRODUKKELUARJULI[[#This Row],[NAMA PRODUK]],TBLKATALOG[],2,FALSE)</f>
        <v>6192.1929824561403</v>
      </c>
      <c r="H50" s="5">
        <f>VLOOKUP(TBLPRODUKKELUARJULI[[#This Row],[NAMA PRODUK]],TBLKATALOG[],3,FALSE)</f>
        <v>619.21929824561403</v>
      </c>
      <c r="I50" s="5">
        <f>VLOOKUP(TBLPRODUKKELUARJULI[[#This Row],[NAMA PRODUK]],TBLKATALOG[],4,FALSE)</f>
        <v>6811.4122807017538</v>
      </c>
      <c r="J50" s="5">
        <f>VLOOKUP(TBLPRODUKKELUARJULI[[#This Row],[NAMA PRODUK]],TBLKATALOG[],5,FALSE)</f>
        <v>9000</v>
      </c>
      <c r="K50" s="10">
        <f>VLOOKUP(TBLPRODUKKELUARJULI[[#This Row],[NAMA PRODUK]],TBLKATALOG[],6,FALSE)</f>
        <v>2188.5877192982462</v>
      </c>
      <c r="L50" s="10">
        <f>VLOOKUP(TBLPRODUKKELUARJULI[[#This Row],[NAMA PRODUK]],TBLKATALOG[],7,FALSE)</f>
        <v>309.60964912280701</v>
      </c>
      <c r="M50" s="10">
        <f>VLOOKUP(TBLPRODUKKELUARJULI[[#This Row],[NAMA PRODUK]],TBLKATALOG[],8,FALSE)</f>
        <v>309.60964912280701</v>
      </c>
      <c r="N50" s="10">
        <f>VLOOKUP(TBLPRODUKKELUARJULI[[#This Row],[NAMA PRODUK]],TBLKATALOG[],9,FALSE)</f>
        <v>2188.5877192982462</v>
      </c>
      <c r="O50" s="10">
        <v>3</v>
      </c>
      <c r="P50" s="10">
        <v>3</v>
      </c>
      <c r="Q50" s="10">
        <f>TBLPRODUKKELUARJULI[[#This Row],[MODAL]]*TBLPRODUKKELUARJULI[[#This Row],[JUMLAH TERJUAL]]</f>
        <v>18576.57894736842</v>
      </c>
      <c r="R50" s="10">
        <f>TBLPRODUKKELUARJULI[[#This Row],[BUDGET KOMISI]]*TBLPRODUKKELUARJULI[[#This Row],[JUMLAH TERJUAL]]</f>
        <v>1857.6578947368421</v>
      </c>
      <c r="S50" s="10">
        <f>TBLPRODUKKELUARJULI[[#This Row],[MODAL DITAMBAH BUDGET KOMISI]]*TBLPRODUKKELUARJULI[[#This Row],[JUMLAH TERJUAL]]</f>
        <v>20434.23684210526</v>
      </c>
      <c r="T50" s="10">
        <f>TBLPRODUKKELUARJULI[[#This Row],[HARGA JUAL]]*TBLPRODUKKELUARJULI[[#This Row],[JUMLAH TERJUAL]]</f>
        <v>27000</v>
      </c>
      <c r="U50" s="10">
        <f>TBLPRODUKKELUARJULI[[#This Row],[SELISIH]]*TBLPRODUKKELUARJULI[[#This Row],[JUMLAH TERJUAL]]</f>
        <v>6565.7631578947385</v>
      </c>
      <c r="V50" s="10">
        <f>TBLPRODUKKELUARJULI[[#This Row],[LABA MITRA 8 %]]*TBLPRODUKKELUARJULI[[#This Row],[JUMLAH TERJUAL]]</f>
        <v>928.82894736842104</v>
      </c>
      <c r="W50" s="10">
        <f>TBLPRODUKKELUARJULI[[#This Row],[LABA KIRIM 8 %]]*TBLPRODUKKELUARJULI[[#This Row],[JUMLAH TERKIRIM]]</f>
        <v>928.82894736842104</v>
      </c>
      <c r="X50" s="10">
        <f>TBLPRODUKKELUARJULI[[#This Row],[TOTAL LABA MITRA 5%]]+TBLPRODUKKELUARJULI[[#This Row],[TOTAL LABA KIRIM 5%]]</f>
        <v>1857.6578947368421</v>
      </c>
      <c r="Y50" s="10">
        <f>TBLPRODUKKELUARJULI[[#This Row],[LABA BERSIH TOKO]]*TBLPRODUKKELUARJULI[[#This Row],[JUMLAH TERJUAL]]</f>
        <v>6565.7631578947385</v>
      </c>
    </row>
    <row r="51" spans="1:25" x14ac:dyDescent="0.3">
      <c r="A51" s="4">
        <v>2026</v>
      </c>
      <c r="B51" s="15" t="s">
        <v>590</v>
      </c>
      <c r="C51" s="254">
        <v>46214</v>
      </c>
      <c r="D51" s="3" t="s">
        <v>473</v>
      </c>
      <c r="E51" s="253" t="s">
        <v>432</v>
      </c>
      <c r="F51" s="3" t="str">
        <f>VLOOKUP(TBLPRODUKKELUARJULI[[#This Row],[NAMA CUSTOMER]],TBLDATACUSTOMER[],4,FALSE)</f>
        <v>NURUL HIDAYATU SAMSIAH</v>
      </c>
      <c r="G51" s="5">
        <f>VLOOKUP(TBLPRODUKKELUARJULI[[#This Row],[NAMA PRODUK]],TBLKATALOG[],2,FALSE)</f>
        <v>32707.850079744814</v>
      </c>
      <c r="H51" s="5">
        <f>VLOOKUP(TBLPRODUKKELUARJULI[[#This Row],[NAMA PRODUK]],TBLKATALOG[],3,FALSE)</f>
        <v>3270.7850079744817</v>
      </c>
      <c r="I51" s="5">
        <f>VLOOKUP(TBLPRODUKKELUARJULI[[#This Row],[NAMA PRODUK]],TBLKATALOG[],4,FALSE)</f>
        <v>35978.635087719296</v>
      </c>
      <c r="J51" s="5">
        <f>VLOOKUP(TBLPRODUKKELUARJULI[[#This Row],[NAMA PRODUK]],TBLKATALOG[],5,FALSE)</f>
        <v>40000</v>
      </c>
      <c r="K51" s="10">
        <f>VLOOKUP(TBLPRODUKKELUARJULI[[#This Row],[NAMA PRODUK]],TBLKATALOG[],6,FALSE)</f>
        <v>4021.3649122807037</v>
      </c>
      <c r="L51" s="10">
        <f>VLOOKUP(TBLPRODUKKELUARJULI[[#This Row],[NAMA PRODUK]],TBLKATALOG[],7,FALSE)</f>
        <v>1635.3925039872408</v>
      </c>
      <c r="M51" s="10">
        <f>VLOOKUP(TBLPRODUKKELUARJULI[[#This Row],[NAMA PRODUK]],TBLKATALOG[],8,FALSE)</f>
        <v>1635.3925039872408</v>
      </c>
      <c r="N51" s="10">
        <f>VLOOKUP(TBLPRODUKKELUARJULI[[#This Row],[NAMA PRODUK]],TBLKATALOG[],9,FALSE)</f>
        <v>4021.3649122807037</v>
      </c>
      <c r="O51" s="10">
        <v>1</v>
      </c>
      <c r="P51" s="10">
        <v>1</v>
      </c>
      <c r="Q51" s="10">
        <f>TBLPRODUKKELUARJULI[[#This Row],[MODAL]]*TBLPRODUKKELUARJULI[[#This Row],[JUMLAH TERJUAL]]</f>
        <v>32707.850079744814</v>
      </c>
      <c r="R51" s="10">
        <f>TBLPRODUKKELUARJULI[[#This Row],[BUDGET KOMISI]]*TBLPRODUKKELUARJULI[[#This Row],[JUMLAH TERJUAL]]</f>
        <v>3270.7850079744817</v>
      </c>
      <c r="S51" s="10">
        <f>TBLPRODUKKELUARJULI[[#This Row],[MODAL DITAMBAH BUDGET KOMISI]]*TBLPRODUKKELUARJULI[[#This Row],[JUMLAH TERJUAL]]</f>
        <v>35978.635087719296</v>
      </c>
      <c r="T51" s="10">
        <f>TBLPRODUKKELUARJULI[[#This Row],[HARGA JUAL]]*TBLPRODUKKELUARJULI[[#This Row],[JUMLAH TERJUAL]]</f>
        <v>40000</v>
      </c>
      <c r="U51" s="10">
        <f>TBLPRODUKKELUARJULI[[#This Row],[SELISIH]]*TBLPRODUKKELUARJULI[[#This Row],[JUMLAH TERJUAL]]</f>
        <v>4021.3649122807037</v>
      </c>
      <c r="V51" s="10">
        <f>TBLPRODUKKELUARJULI[[#This Row],[LABA MITRA 8 %]]*TBLPRODUKKELUARJULI[[#This Row],[JUMLAH TERJUAL]]</f>
        <v>1635.3925039872408</v>
      </c>
      <c r="W51" s="10">
        <f>TBLPRODUKKELUARJULI[[#This Row],[LABA KIRIM 8 %]]*TBLPRODUKKELUARJULI[[#This Row],[JUMLAH TERKIRIM]]</f>
        <v>1635.3925039872408</v>
      </c>
      <c r="X51" s="10">
        <f>TBLPRODUKKELUARJULI[[#This Row],[TOTAL LABA MITRA 5%]]+TBLPRODUKKELUARJULI[[#This Row],[TOTAL LABA KIRIM 5%]]</f>
        <v>3270.7850079744817</v>
      </c>
      <c r="Y51" s="10">
        <f>TBLPRODUKKELUARJULI[[#This Row],[LABA BERSIH TOKO]]*TBLPRODUKKELUARJULI[[#This Row],[JUMLAH TERJUAL]]</f>
        <v>4021.3649122807037</v>
      </c>
    </row>
    <row r="52" spans="1:25" x14ac:dyDescent="0.3">
      <c r="A52" s="4">
        <v>2026</v>
      </c>
      <c r="B52" s="15" t="s">
        <v>590</v>
      </c>
      <c r="C52" s="254">
        <v>46214</v>
      </c>
      <c r="D52" s="3" t="s">
        <v>393</v>
      </c>
      <c r="E52" s="253" t="s">
        <v>432</v>
      </c>
      <c r="F52" s="3" t="str">
        <f>VLOOKUP(TBLPRODUKKELUARJULI[[#This Row],[NAMA CUSTOMER]],TBLDATACUSTOMER[],4,FALSE)</f>
        <v>NURUL HIDAYATU SAMSIAH</v>
      </c>
      <c r="G52" s="5">
        <f>VLOOKUP(TBLPRODUKKELUARJULI[[#This Row],[NAMA PRODUK]],TBLKATALOG[],2,FALSE)</f>
        <v>29661.797448165868</v>
      </c>
      <c r="H52" s="5">
        <f>VLOOKUP(TBLPRODUKKELUARJULI[[#This Row],[NAMA PRODUK]],TBLKATALOG[],3,FALSE)</f>
        <v>2966.1797448165871</v>
      </c>
      <c r="I52" s="5">
        <f>VLOOKUP(TBLPRODUKKELUARJULI[[#This Row],[NAMA PRODUK]],TBLKATALOG[],4,FALSE)</f>
        <v>32627.977192982456</v>
      </c>
      <c r="J52" s="5">
        <f>VLOOKUP(TBLPRODUKKELUARJULI[[#This Row],[NAMA PRODUK]],TBLKATALOG[],5,FALSE)</f>
        <v>40000</v>
      </c>
      <c r="K52" s="10">
        <f>VLOOKUP(TBLPRODUKKELUARJULI[[#This Row],[NAMA PRODUK]],TBLKATALOG[],6,FALSE)</f>
        <v>7372.0228070175435</v>
      </c>
      <c r="L52" s="10">
        <f>VLOOKUP(TBLPRODUKKELUARJULI[[#This Row],[NAMA PRODUK]],TBLKATALOG[],7,FALSE)</f>
        <v>1483.0898724082936</v>
      </c>
      <c r="M52" s="10">
        <f>VLOOKUP(TBLPRODUKKELUARJULI[[#This Row],[NAMA PRODUK]],TBLKATALOG[],8,FALSE)</f>
        <v>1483.0898724082936</v>
      </c>
      <c r="N52" s="10">
        <f>VLOOKUP(TBLPRODUKKELUARJULI[[#This Row],[NAMA PRODUK]],TBLKATALOG[],9,FALSE)</f>
        <v>7372.0228070175435</v>
      </c>
      <c r="O52" s="10">
        <v>1</v>
      </c>
      <c r="P52" s="10">
        <v>1</v>
      </c>
      <c r="Q52" s="10">
        <f>TBLPRODUKKELUARJULI[[#This Row],[MODAL]]*TBLPRODUKKELUARJULI[[#This Row],[JUMLAH TERJUAL]]</f>
        <v>29661.797448165868</v>
      </c>
      <c r="R52" s="10">
        <f>TBLPRODUKKELUARJULI[[#This Row],[BUDGET KOMISI]]*TBLPRODUKKELUARJULI[[#This Row],[JUMLAH TERJUAL]]</f>
        <v>2966.1797448165871</v>
      </c>
      <c r="S52" s="10">
        <f>TBLPRODUKKELUARJULI[[#This Row],[MODAL DITAMBAH BUDGET KOMISI]]*TBLPRODUKKELUARJULI[[#This Row],[JUMLAH TERJUAL]]</f>
        <v>32627.977192982456</v>
      </c>
      <c r="T52" s="10">
        <f>TBLPRODUKKELUARJULI[[#This Row],[HARGA JUAL]]*TBLPRODUKKELUARJULI[[#This Row],[JUMLAH TERJUAL]]</f>
        <v>40000</v>
      </c>
      <c r="U52" s="10">
        <f>TBLPRODUKKELUARJULI[[#This Row],[SELISIH]]*TBLPRODUKKELUARJULI[[#This Row],[JUMLAH TERJUAL]]</f>
        <v>7372.0228070175435</v>
      </c>
      <c r="V52" s="10">
        <f>TBLPRODUKKELUARJULI[[#This Row],[LABA MITRA 8 %]]*TBLPRODUKKELUARJULI[[#This Row],[JUMLAH TERJUAL]]</f>
        <v>1483.0898724082936</v>
      </c>
      <c r="W52" s="10">
        <f>TBLPRODUKKELUARJULI[[#This Row],[LABA KIRIM 8 %]]*TBLPRODUKKELUARJULI[[#This Row],[JUMLAH TERKIRIM]]</f>
        <v>1483.0898724082936</v>
      </c>
      <c r="X52" s="10">
        <f>TBLPRODUKKELUARJULI[[#This Row],[TOTAL LABA MITRA 5%]]+TBLPRODUKKELUARJULI[[#This Row],[TOTAL LABA KIRIM 5%]]</f>
        <v>2966.1797448165871</v>
      </c>
      <c r="Y52" s="10">
        <f>TBLPRODUKKELUARJULI[[#This Row],[LABA BERSIH TOKO]]*TBLPRODUKKELUARJULI[[#This Row],[JUMLAH TERJUAL]]</f>
        <v>7372.0228070175435</v>
      </c>
    </row>
    <row r="53" spans="1:25" x14ac:dyDescent="0.3">
      <c r="A53" s="4">
        <v>2026</v>
      </c>
      <c r="B53" s="15" t="s">
        <v>590</v>
      </c>
      <c r="C53" s="254">
        <v>46214</v>
      </c>
      <c r="D53" s="3" t="s">
        <v>475</v>
      </c>
      <c r="E53" s="253" t="s">
        <v>253</v>
      </c>
      <c r="F53" s="3" t="str">
        <f>VLOOKUP(TBLPRODUKKELUARJULI[[#This Row],[NAMA CUSTOMER]],TBLDATACUSTOMER[],4,FALSE)</f>
        <v>NURUL HIDAYATU SAMSIAH</v>
      </c>
      <c r="G53" s="5">
        <f>VLOOKUP(TBLPRODUKKELUARJULI[[#This Row],[NAMA PRODUK]],TBLKATALOG[],2,FALSE)</f>
        <v>8378.6666666666679</v>
      </c>
      <c r="H53" s="5">
        <f>VLOOKUP(TBLPRODUKKELUARJULI[[#This Row],[NAMA PRODUK]],TBLKATALOG[],3,FALSE)</f>
        <v>837.86666666666679</v>
      </c>
      <c r="I53" s="5">
        <f>VLOOKUP(TBLPRODUKKELUARJULI[[#This Row],[NAMA PRODUK]],TBLKATALOG[],4,FALSE)</f>
        <v>9216.5333333333347</v>
      </c>
      <c r="J53" s="5">
        <f>VLOOKUP(TBLPRODUKKELUARJULI[[#This Row],[NAMA PRODUK]],TBLKATALOG[],5,FALSE)</f>
        <v>12000</v>
      </c>
      <c r="K53" s="10">
        <f>VLOOKUP(TBLPRODUKKELUARJULI[[#This Row],[NAMA PRODUK]],TBLKATALOG[],6,FALSE)</f>
        <v>2783.4666666666653</v>
      </c>
      <c r="L53" s="10">
        <f>VLOOKUP(TBLPRODUKKELUARJULI[[#This Row],[NAMA PRODUK]],TBLKATALOG[],7,FALSE)</f>
        <v>418.93333333333339</v>
      </c>
      <c r="M53" s="10">
        <f>VLOOKUP(TBLPRODUKKELUARJULI[[#This Row],[NAMA PRODUK]],TBLKATALOG[],8,FALSE)</f>
        <v>418.93333333333339</v>
      </c>
      <c r="N53" s="10">
        <f>VLOOKUP(TBLPRODUKKELUARJULI[[#This Row],[NAMA PRODUK]],TBLKATALOG[],9,FALSE)</f>
        <v>2783.4666666666653</v>
      </c>
      <c r="O53" s="10">
        <v>1</v>
      </c>
      <c r="P53" s="10">
        <v>1</v>
      </c>
      <c r="Q53" s="10">
        <f>TBLPRODUKKELUARJULI[[#This Row],[MODAL]]*TBLPRODUKKELUARJULI[[#This Row],[JUMLAH TERJUAL]]</f>
        <v>8378.6666666666679</v>
      </c>
      <c r="R53" s="10">
        <f>TBLPRODUKKELUARJULI[[#This Row],[BUDGET KOMISI]]*TBLPRODUKKELUARJULI[[#This Row],[JUMLAH TERJUAL]]</f>
        <v>837.86666666666679</v>
      </c>
      <c r="S53" s="10">
        <f>TBLPRODUKKELUARJULI[[#This Row],[MODAL DITAMBAH BUDGET KOMISI]]*TBLPRODUKKELUARJULI[[#This Row],[JUMLAH TERJUAL]]</f>
        <v>9216.5333333333347</v>
      </c>
      <c r="T53" s="10">
        <f>TBLPRODUKKELUARJULI[[#This Row],[HARGA JUAL]]*TBLPRODUKKELUARJULI[[#This Row],[JUMLAH TERJUAL]]</f>
        <v>12000</v>
      </c>
      <c r="U53" s="10">
        <f>TBLPRODUKKELUARJULI[[#This Row],[SELISIH]]*TBLPRODUKKELUARJULI[[#This Row],[JUMLAH TERJUAL]]</f>
        <v>2783.4666666666653</v>
      </c>
      <c r="V53" s="10">
        <f>TBLPRODUKKELUARJULI[[#This Row],[LABA MITRA 8 %]]*TBLPRODUKKELUARJULI[[#This Row],[JUMLAH TERJUAL]]</f>
        <v>418.93333333333339</v>
      </c>
      <c r="W53" s="10">
        <f>TBLPRODUKKELUARJULI[[#This Row],[LABA KIRIM 8 %]]*TBLPRODUKKELUARJULI[[#This Row],[JUMLAH TERKIRIM]]</f>
        <v>418.93333333333339</v>
      </c>
      <c r="X53" s="10">
        <f>TBLPRODUKKELUARJULI[[#This Row],[TOTAL LABA MITRA 5%]]+TBLPRODUKKELUARJULI[[#This Row],[TOTAL LABA KIRIM 5%]]</f>
        <v>837.86666666666679</v>
      </c>
      <c r="Y53" s="10">
        <f>TBLPRODUKKELUARJULI[[#This Row],[LABA BERSIH TOKO]]*TBLPRODUKKELUARJULI[[#This Row],[JUMLAH TERJUAL]]</f>
        <v>2783.4666666666653</v>
      </c>
    </row>
    <row r="54" spans="1:25" x14ac:dyDescent="0.3">
      <c r="A54" s="4">
        <v>2026</v>
      </c>
      <c r="B54" s="15" t="s">
        <v>590</v>
      </c>
      <c r="C54" s="254">
        <v>46214</v>
      </c>
      <c r="D54" s="3" t="s">
        <v>379</v>
      </c>
      <c r="E54" s="253" t="s">
        <v>253</v>
      </c>
      <c r="F54" s="3" t="str">
        <f>VLOOKUP(TBLPRODUKKELUARJULI[[#This Row],[NAMA CUSTOMER]],TBLDATACUSTOMER[],4,FALSE)</f>
        <v>NURUL HIDAYATU SAMSIAH</v>
      </c>
      <c r="G54" s="5">
        <f>VLOOKUP(TBLPRODUKKELUARJULI[[#This Row],[NAMA PRODUK]],TBLKATALOG[],2,FALSE)</f>
        <v>8762.2192982456127</v>
      </c>
      <c r="H54" s="5">
        <f>VLOOKUP(TBLPRODUKKELUARJULI[[#This Row],[NAMA PRODUK]],TBLKATALOG[],3,FALSE)</f>
        <v>876.22192982456136</v>
      </c>
      <c r="I54" s="5">
        <f>VLOOKUP(TBLPRODUKKELUARJULI[[#This Row],[NAMA PRODUK]],TBLKATALOG[],4,FALSE)</f>
        <v>9638.4412280701745</v>
      </c>
      <c r="J54" s="5">
        <f>VLOOKUP(TBLPRODUKKELUARJULI[[#This Row],[NAMA PRODUK]],TBLKATALOG[],5,FALSE)</f>
        <v>12000</v>
      </c>
      <c r="K54" s="10">
        <f>VLOOKUP(TBLPRODUKKELUARJULI[[#This Row],[NAMA PRODUK]],TBLKATALOG[],6,FALSE)</f>
        <v>2361.5587719298255</v>
      </c>
      <c r="L54" s="10">
        <f>VLOOKUP(TBLPRODUKKELUARJULI[[#This Row],[NAMA PRODUK]],TBLKATALOG[],7,FALSE)</f>
        <v>438.11096491228068</v>
      </c>
      <c r="M54" s="10">
        <f>VLOOKUP(TBLPRODUKKELUARJULI[[#This Row],[NAMA PRODUK]],TBLKATALOG[],8,FALSE)</f>
        <v>438.11096491228068</v>
      </c>
      <c r="N54" s="10">
        <f>VLOOKUP(TBLPRODUKKELUARJULI[[#This Row],[NAMA PRODUK]],TBLKATALOG[],9,FALSE)</f>
        <v>2361.5587719298255</v>
      </c>
      <c r="O54" s="10">
        <v>3</v>
      </c>
      <c r="P54" s="10">
        <v>3</v>
      </c>
      <c r="Q54" s="10">
        <f>TBLPRODUKKELUARJULI[[#This Row],[MODAL]]*TBLPRODUKKELUARJULI[[#This Row],[JUMLAH TERJUAL]]</f>
        <v>26286.65789473684</v>
      </c>
      <c r="R54" s="10">
        <f>TBLPRODUKKELUARJULI[[#This Row],[BUDGET KOMISI]]*TBLPRODUKKELUARJULI[[#This Row],[JUMLAH TERJUAL]]</f>
        <v>2628.6657894736841</v>
      </c>
      <c r="S54" s="10">
        <f>TBLPRODUKKELUARJULI[[#This Row],[MODAL DITAMBAH BUDGET KOMISI]]*TBLPRODUKKELUARJULI[[#This Row],[JUMLAH TERJUAL]]</f>
        <v>28915.323684210525</v>
      </c>
      <c r="T54" s="10">
        <f>TBLPRODUKKELUARJULI[[#This Row],[HARGA JUAL]]*TBLPRODUKKELUARJULI[[#This Row],[JUMLAH TERJUAL]]</f>
        <v>36000</v>
      </c>
      <c r="U54" s="10">
        <f>TBLPRODUKKELUARJULI[[#This Row],[SELISIH]]*TBLPRODUKKELUARJULI[[#This Row],[JUMLAH TERJUAL]]</f>
        <v>7084.6763157894766</v>
      </c>
      <c r="V54" s="10">
        <f>TBLPRODUKKELUARJULI[[#This Row],[LABA MITRA 8 %]]*TBLPRODUKKELUARJULI[[#This Row],[JUMLAH TERJUAL]]</f>
        <v>1314.332894736842</v>
      </c>
      <c r="W54" s="10">
        <f>TBLPRODUKKELUARJULI[[#This Row],[LABA KIRIM 8 %]]*TBLPRODUKKELUARJULI[[#This Row],[JUMLAH TERKIRIM]]</f>
        <v>1314.332894736842</v>
      </c>
      <c r="X54" s="10">
        <f>TBLPRODUKKELUARJULI[[#This Row],[TOTAL LABA MITRA 5%]]+TBLPRODUKKELUARJULI[[#This Row],[TOTAL LABA KIRIM 5%]]</f>
        <v>2628.6657894736841</v>
      </c>
      <c r="Y54" s="10">
        <f>TBLPRODUKKELUARJULI[[#This Row],[LABA BERSIH TOKO]]*TBLPRODUKKELUARJULI[[#This Row],[JUMLAH TERJUAL]]</f>
        <v>7084.6763157894766</v>
      </c>
    </row>
    <row r="55" spans="1:25" x14ac:dyDescent="0.3">
      <c r="A55" s="4">
        <v>2026</v>
      </c>
      <c r="B55" s="15" t="s">
        <v>590</v>
      </c>
      <c r="C55" s="254">
        <v>46214</v>
      </c>
      <c r="D55" s="3" t="s">
        <v>473</v>
      </c>
      <c r="E55" s="253" t="s">
        <v>34</v>
      </c>
      <c r="F55" s="3" t="str">
        <f>VLOOKUP(TBLPRODUKKELUARJULI[[#This Row],[NAMA CUSTOMER]],TBLDATACUSTOMER[],4,FALSE)</f>
        <v>NURUL HIDAYATU SAMSIAH</v>
      </c>
      <c r="G55" s="5">
        <f>VLOOKUP(TBLPRODUKKELUARJULI[[#This Row],[NAMA PRODUK]],TBLKATALOG[],2,FALSE)</f>
        <v>32707.850079744814</v>
      </c>
      <c r="H55" s="5">
        <f>VLOOKUP(TBLPRODUKKELUARJULI[[#This Row],[NAMA PRODUK]],TBLKATALOG[],3,FALSE)</f>
        <v>3270.7850079744817</v>
      </c>
      <c r="I55" s="5">
        <f>VLOOKUP(TBLPRODUKKELUARJULI[[#This Row],[NAMA PRODUK]],TBLKATALOG[],4,FALSE)</f>
        <v>35978.635087719296</v>
      </c>
      <c r="J55" s="5">
        <f>VLOOKUP(TBLPRODUKKELUARJULI[[#This Row],[NAMA PRODUK]],TBLKATALOG[],5,FALSE)</f>
        <v>40000</v>
      </c>
      <c r="K55" s="10">
        <f>VLOOKUP(TBLPRODUKKELUARJULI[[#This Row],[NAMA PRODUK]],TBLKATALOG[],6,FALSE)</f>
        <v>4021.3649122807037</v>
      </c>
      <c r="L55" s="10">
        <f>VLOOKUP(TBLPRODUKKELUARJULI[[#This Row],[NAMA PRODUK]],TBLKATALOG[],7,FALSE)</f>
        <v>1635.3925039872408</v>
      </c>
      <c r="M55" s="10">
        <f>VLOOKUP(TBLPRODUKKELUARJULI[[#This Row],[NAMA PRODUK]],TBLKATALOG[],8,FALSE)</f>
        <v>1635.3925039872408</v>
      </c>
      <c r="N55" s="10">
        <f>VLOOKUP(TBLPRODUKKELUARJULI[[#This Row],[NAMA PRODUK]],TBLKATALOG[],9,FALSE)</f>
        <v>4021.3649122807037</v>
      </c>
      <c r="O55" s="10">
        <v>1</v>
      </c>
      <c r="P55" s="10">
        <v>1</v>
      </c>
      <c r="Q55" s="10">
        <f>TBLPRODUKKELUARJULI[[#This Row],[MODAL]]*TBLPRODUKKELUARJULI[[#This Row],[JUMLAH TERJUAL]]</f>
        <v>32707.850079744814</v>
      </c>
      <c r="R55" s="10">
        <f>TBLPRODUKKELUARJULI[[#This Row],[BUDGET KOMISI]]*TBLPRODUKKELUARJULI[[#This Row],[JUMLAH TERJUAL]]</f>
        <v>3270.7850079744817</v>
      </c>
      <c r="S55" s="10">
        <f>TBLPRODUKKELUARJULI[[#This Row],[MODAL DITAMBAH BUDGET KOMISI]]*TBLPRODUKKELUARJULI[[#This Row],[JUMLAH TERJUAL]]</f>
        <v>35978.635087719296</v>
      </c>
      <c r="T55" s="10">
        <f>TBLPRODUKKELUARJULI[[#This Row],[HARGA JUAL]]*TBLPRODUKKELUARJULI[[#This Row],[JUMLAH TERJUAL]]</f>
        <v>40000</v>
      </c>
      <c r="U55" s="10">
        <f>TBLPRODUKKELUARJULI[[#This Row],[SELISIH]]*TBLPRODUKKELUARJULI[[#This Row],[JUMLAH TERJUAL]]</f>
        <v>4021.3649122807037</v>
      </c>
      <c r="V55" s="10">
        <f>TBLPRODUKKELUARJULI[[#This Row],[LABA MITRA 8 %]]*TBLPRODUKKELUARJULI[[#This Row],[JUMLAH TERJUAL]]</f>
        <v>1635.3925039872408</v>
      </c>
      <c r="W55" s="10">
        <f>TBLPRODUKKELUARJULI[[#This Row],[LABA KIRIM 8 %]]*TBLPRODUKKELUARJULI[[#This Row],[JUMLAH TERKIRIM]]</f>
        <v>1635.3925039872408</v>
      </c>
      <c r="X55" s="10">
        <f>TBLPRODUKKELUARJULI[[#This Row],[TOTAL LABA MITRA 5%]]+TBLPRODUKKELUARJULI[[#This Row],[TOTAL LABA KIRIM 5%]]</f>
        <v>3270.7850079744817</v>
      </c>
      <c r="Y55" s="10">
        <f>TBLPRODUKKELUARJULI[[#This Row],[LABA BERSIH TOKO]]*TBLPRODUKKELUARJULI[[#This Row],[JUMLAH TERJUAL]]</f>
        <v>4021.3649122807037</v>
      </c>
    </row>
    <row r="56" spans="1:25" x14ac:dyDescent="0.3">
      <c r="A56" s="4">
        <v>2026</v>
      </c>
      <c r="B56" s="15" t="s">
        <v>590</v>
      </c>
      <c r="C56" s="254">
        <v>46215</v>
      </c>
      <c r="D56" s="3" t="s">
        <v>374</v>
      </c>
      <c r="E56" s="253" t="s">
        <v>446</v>
      </c>
      <c r="F56" s="3" t="str">
        <f>VLOOKUP(TBLPRODUKKELUARJULI[[#This Row],[NAMA CUSTOMER]],TBLDATACUSTOMER[],4,FALSE)</f>
        <v>RIA</v>
      </c>
      <c r="G56" s="5">
        <f>VLOOKUP(TBLPRODUKKELUARJULI[[#This Row],[NAMA PRODUK]],TBLKATALOG[],2,FALSE)</f>
        <v>6192.1929824561403</v>
      </c>
      <c r="H56" s="5">
        <f>VLOOKUP(TBLPRODUKKELUARJULI[[#This Row],[NAMA PRODUK]],TBLKATALOG[],3,FALSE)</f>
        <v>619.21929824561403</v>
      </c>
      <c r="I56" s="5">
        <f>VLOOKUP(TBLPRODUKKELUARJULI[[#This Row],[NAMA PRODUK]],TBLKATALOG[],4,FALSE)</f>
        <v>6811.4122807017538</v>
      </c>
      <c r="J56" s="5">
        <f>VLOOKUP(TBLPRODUKKELUARJULI[[#This Row],[NAMA PRODUK]],TBLKATALOG[],5,FALSE)</f>
        <v>9000</v>
      </c>
      <c r="K56" s="10">
        <f>VLOOKUP(TBLPRODUKKELUARJULI[[#This Row],[NAMA PRODUK]],TBLKATALOG[],6,FALSE)</f>
        <v>2188.5877192982462</v>
      </c>
      <c r="L56" s="10">
        <f>VLOOKUP(TBLPRODUKKELUARJULI[[#This Row],[NAMA PRODUK]],TBLKATALOG[],7,FALSE)</f>
        <v>309.60964912280701</v>
      </c>
      <c r="M56" s="10">
        <f>VLOOKUP(TBLPRODUKKELUARJULI[[#This Row],[NAMA PRODUK]],TBLKATALOG[],8,FALSE)</f>
        <v>309.60964912280701</v>
      </c>
      <c r="N56" s="10">
        <f>VLOOKUP(TBLPRODUKKELUARJULI[[#This Row],[NAMA PRODUK]],TBLKATALOG[],9,FALSE)</f>
        <v>2188.5877192982462</v>
      </c>
      <c r="O56" s="10">
        <v>4</v>
      </c>
      <c r="P56" s="10">
        <v>4</v>
      </c>
      <c r="Q56" s="10">
        <f>TBLPRODUKKELUARJULI[[#This Row],[MODAL]]*TBLPRODUKKELUARJULI[[#This Row],[JUMLAH TERJUAL]]</f>
        <v>24768.771929824561</v>
      </c>
      <c r="R56" s="10">
        <f>TBLPRODUKKELUARJULI[[#This Row],[BUDGET KOMISI]]*TBLPRODUKKELUARJULI[[#This Row],[JUMLAH TERJUAL]]</f>
        <v>2476.8771929824561</v>
      </c>
      <c r="S56" s="10">
        <f>TBLPRODUKKELUARJULI[[#This Row],[MODAL DITAMBAH BUDGET KOMISI]]*TBLPRODUKKELUARJULI[[#This Row],[JUMLAH TERJUAL]]</f>
        <v>27245.649122807015</v>
      </c>
      <c r="T56" s="10">
        <f>TBLPRODUKKELUARJULI[[#This Row],[HARGA JUAL]]*TBLPRODUKKELUARJULI[[#This Row],[JUMLAH TERJUAL]]</f>
        <v>36000</v>
      </c>
      <c r="U56" s="10">
        <f>TBLPRODUKKELUARJULI[[#This Row],[SELISIH]]*TBLPRODUKKELUARJULI[[#This Row],[JUMLAH TERJUAL]]</f>
        <v>8754.3508771929846</v>
      </c>
      <c r="V56" s="10">
        <f>TBLPRODUKKELUARJULI[[#This Row],[LABA MITRA 8 %]]*TBLPRODUKKELUARJULI[[#This Row],[JUMLAH TERJUAL]]</f>
        <v>1238.4385964912281</v>
      </c>
      <c r="W56" s="10">
        <f>TBLPRODUKKELUARJULI[[#This Row],[LABA KIRIM 8 %]]*TBLPRODUKKELUARJULI[[#This Row],[JUMLAH TERKIRIM]]</f>
        <v>1238.4385964912281</v>
      </c>
      <c r="X56" s="10">
        <f>TBLPRODUKKELUARJULI[[#This Row],[TOTAL LABA MITRA 5%]]+TBLPRODUKKELUARJULI[[#This Row],[TOTAL LABA KIRIM 5%]]</f>
        <v>2476.8771929824561</v>
      </c>
      <c r="Y56" s="10">
        <f>TBLPRODUKKELUARJULI[[#This Row],[LABA BERSIH TOKO]]*TBLPRODUKKELUARJULI[[#This Row],[JUMLAH TERJUAL]]</f>
        <v>8754.3508771929846</v>
      </c>
    </row>
    <row r="57" spans="1:25" x14ac:dyDescent="0.3">
      <c r="A57" s="4">
        <v>2026</v>
      </c>
      <c r="B57" s="15" t="s">
        <v>590</v>
      </c>
      <c r="C57" s="254">
        <v>46215</v>
      </c>
      <c r="D57" s="3" t="s">
        <v>373</v>
      </c>
      <c r="E57" s="253" t="s">
        <v>446</v>
      </c>
      <c r="F57" s="3" t="str">
        <f>VLOOKUP(TBLPRODUKKELUARJULI[[#This Row],[NAMA CUSTOMER]],TBLDATACUSTOMER[],4,FALSE)</f>
        <v>RIA</v>
      </c>
      <c r="G57" s="5">
        <f>VLOOKUP(TBLPRODUKKELUARJULI[[#This Row],[NAMA PRODUK]],TBLKATALOG[],2,FALSE)</f>
        <v>6122.1929824561403</v>
      </c>
      <c r="H57" s="5">
        <f>VLOOKUP(TBLPRODUKKELUARJULI[[#This Row],[NAMA PRODUK]],TBLKATALOG[],3,FALSE)</f>
        <v>612.21929824561403</v>
      </c>
      <c r="I57" s="5">
        <f>VLOOKUP(TBLPRODUKKELUARJULI[[#This Row],[NAMA PRODUK]],TBLKATALOG[],4,FALSE)</f>
        <v>6734.4122807017538</v>
      </c>
      <c r="J57" s="5">
        <f>VLOOKUP(TBLPRODUKKELUARJULI[[#This Row],[NAMA PRODUK]],TBLKATALOG[],5,FALSE)</f>
        <v>9000</v>
      </c>
      <c r="K57" s="10">
        <f>VLOOKUP(TBLPRODUKKELUARJULI[[#This Row],[NAMA PRODUK]],TBLKATALOG[],6,FALSE)</f>
        <v>2265.5877192982462</v>
      </c>
      <c r="L57" s="10">
        <f>VLOOKUP(TBLPRODUKKELUARJULI[[#This Row],[NAMA PRODUK]],TBLKATALOG[],7,FALSE)</f>
        <v>306.10964912280701</v>
      </c>
      <c r="M57" s="10">
        <f>VLOOKUP(TBLPRODUKKELUARJULI[[#This Row],[NAMA PRODUK]],TBLKATALOG[],8,FALSE)</f>
        <v>306.10964912280701</v>
      </c>
      <c r="N57" s="10">
        <f>VLOOKUP(TBLPRODUKKELUARJULI[[#This Row],[NAMA PRODUK]],TBLKATALOG[],9,FALSE)</f>
        <v>2265.5877192982462</v>
      </c>
      <c r="O57" s="10">
        <v>4</v>
      </c>
      <c r="P57" s="10">
        <v>4</v>
      </c>
      <c r="Q57" s="10">
        <f>TBLPRODUKKELUARJULI[[#This Row],[MODAL]]*TBLPRODUKKELUARJULI[[#This Row],[JUMLAH TERJUAL]]</f>
        <v>24488.771929824561</v>
      </c>
      <c r="R57" s="10">
        <f>TBLPRODUKKELUARJULI[[#This Row],[BUDGET KOMISI]]*TBLPRODUKKELUARJULI[[#This Row],[JUMLAH TERJUAL]]</f>
        <v>2448.8771929824561</v>
      </c>
      <c r="S57" s="10">
        <f>TBLPRODUKKELUARJULI[[#This Row],[MODAL DITAMBAH BUDGET KOMISI]]*TBLPRODUKKELUARJULI[[#This Row],[JUMLAH TERJUAL]]</f>
        <v>26937.649122807015</v>
      </c>
      <c r="T57" s="10">
        <f>TBLPRODUKKELUARJULI[[#This Row],[HARGA JUAL]]*TBLPRODUKKELUARJULI[[#This Row],[JUMLAH TERJUAL]]</f>
        <v>36000</v>
      </c>
      <c r="U57" s="10">
        <f>TBLPRODUKKELUARJULI[[#This Row],[SELISIH]]*TBLPRODUKKELUARJULI[[#This Row],[JUMLAH TERJUAL]]</f>
        <v>9062.3508771929846</v>
      </c>
      <c r="V57" s="10">
        <f>TBLPRODUKKELUARJULI[[#This Row],[LABA MITRA 8 %]]*TBLPRODUKKELUARJULI[[#This Row],[JUMLAH TERJUAL]]</f>
        <v>1224.4385964912281</v>
      </c>
      <c r="W57" s="10">
        <f>TBLPRODUKKELUARJULI[[#This Row],[LABA KIRIM 8 %]]*TBLPRODUKKELUARJULI[[#This Row],[JUMLAH TERKIRIM]]</f>
        <v>1224.4385964912281</v>
      </c>
      <c r="X57" s="10">
        <f>TBLPRODUKKELUARJULI[[#This Row],[TOTAL LABA MITRA 5%]]+TBLPRODUKKELUARJULI[[#This Row],[TOTAL LABA KIRIM 5%]]</f>
        <v>2448.8771929824561</v>
      </c>
      <c r="Y57" s="10">
        <f>TBLPRODUKKELUARJULI[[#This Row],[LABA BERSIH TOKO]]*TBLPRODUKKELUARJULI[[#This Row],[JUMLAH TERJUAL]]</f>
        <v>9062.3508771929846</v>
      </c>
    </row>
    <row r="58" spans="1:25" x14ac:dyDescent="0.3">
      <c r="A58" s="4">
        <v>2026</v>
      </c>
      <c r="B58" s="15" t="s">
        <v>590</v>
      </c>
      <c r="C58" s="254">
        <v>46215</v>
      </c>
      <c r="D58" s="3" t="s">
        <v>373</v>
      </c>
      <c r="E58" s="253" t="s">
        <v>34</v>
      </c>
      <c r="F58" s="3" t="str">
        <f>VLOOKUP(TBLPRODUKKELUARJULI[[#This Row],[NAMA CUSTOMER]],TBLDATACUSTOMER[],4,FALSE)</f>
        <v>NURUL HIDAYATU SAMSIAH</v>
      </c>
      <c r="G58" s="5">
        <f>VLOOKUP(TBLPRODUKKELUARJULI[[#This Row],[NAMA PRODUK]],TBLKATALOG[],2,FALSE)</f>
        <v>6122.1929824561403</v>
      </c>
      <c r="H58" s="5">
        <f>VLOOKUP(TBLPRODUKKELUARJULI[[#This Row],[NAMA PRODUK]],TBLKATALOG[],3,FALSE)</f>
        <v>612.21929824561403</v>
      </c>
      <c r="I58" s="5">
        <f>VLOOKUP(TBLPRODUKKELUARJULI[[#This Row],[NAMA PRODUK]],TBLKATALOG[],4,FALSE)</f>
        <v>6734.4122807017538</v>
      </c>
      <c r="J58" s="5">
        <f>VLOOKUP(TBLPRODUKKELUARJULI[[#This Row],[NAMA PRODUK]],TBLKATALOG[],5,FALSE)</f>
        <v>9000</v>
      </c>
      <c r="K58" s="10">
        <f>VLOOKUP(TBLPRODUKKELUARJULI[[#This Row],[NAMA PRODUK]],TBLKATALOG[],6,FALSE)</f>
        <v>2265.5877192982462</v>
      </c>
      <c r="L58" s="10">
        <f>VLOOKUP(TBLPRODUKKELUARJULI[[#This Row],[NAMA PRODUK]],TBLKATALOG[],7,FALSE)</f>
        <v>306.10964912280701</v>
      </c>
      <c r="M58" s="10">
        <f>VLOOKUP(TBLPRODUKKELUARJULI[[#This Row],[NAMA PRODUK]],TBLKATALOG[],8,FALSE)</f>
        <v>306.10964912280701</v>
      </c>
      <c r="N58" s="10">
        <f>VLOOKUP(TBLPRODUKKELUARJULI[[#This Row],[NAMA PRODUK]],TBLKATALOG[],9,FALSE)</f>
        <v>2265.5877192982462</v>
      </c>
      <c r="O58" s="10">
        <v>2</v>
      </c>
      <c r="P58" s="10">
        <v>2</v>
      </c>
      <c r="Q58" s="10">
        <f>TBLPRODUKKELUARJULI[[#This Row],[MODAL]]*TBLPRODUKKELUARJULI[[#This Row],[JUMLAH TERJUAL]]</f>
        <v>12244.385964912281</v>
      </c>
      <c r="R58" s="10">
        <f>TBLPRODUKKELUARJULI[[#This Row],[BUDGET KOMISI]]*TBLPRODUKKELUARJULI[[#This Row],[JUMLAH TERJUAL]]</f>
        <v>1224.4385964912281</v>
      </c>
      <c r="S58" s="10">
        <f>TBLPRODUKKELUARJULI[[#This Row],[MODAL DITAMBAH BUDGET KOMISI]]*TBLPRODUKKELUARJULI[[#This Row],[JUMLAH TERJUAL]]</f>
        <v>13468.824561403508</v>
      </c>
      <c r="T58" s="10">
        <f>TBLPRODUKKELUARJULI[[#This Row],[HARGA JUAL]]*TBLPRODUKKELUARJULI[[#This Row],[JUMLAH TERJUAL]]</f>
        <v>18000</v>
      </c>
      <c r="U58" s="10">
        <f>TBLPRODUKKELUARJULI[[#This Row],[SELISIH]]*TBLPRODUKKELUARJULI[[#This Row],[JUMLAH TERJUAL]]</f>
        <v>4531.1754385964923</v>
      </c>
      <c r="V58" s="10">
        <f>TBLPRODUKKELUARJULI[[#This Row],[LABA MITRA 8 %]]*TBLPRODUKKELUARJULI[[#This Row],[JUMLAH TERJUAL]]</f>
        <v>612.21929824561403</v>
      </c>
      <c r="W58" s="10">
        <f>TBLPRODUKKELUARJULI[[#This Row],[LABA KIRIM 8 %]]*TBLPRODUKKELUARJULI[[#This Row],[JUMLAH TERKIRIM]]</f>
        <v>612.21929824561403</v>
      </c>
      <c r="X58" s="10">
        <f>TBLPRODUKKELUARJULI[[#This Row],[TOTAL LABA MITRA 5%]]+TBLPRODUKKELUARJULI[[#This Row],[TOTAL LABA KIRIM 5%]]</f>
        <v>1224.4385964912281</v>
      </c>
      <c r="Y58" s="10">
        <f>TBLPRODUKKELUARJULI[[#This Row],[LABA BERSIH TOKO]]*TBLPRODUKKELUARJULI[[#This Row],[JUMLAH TERJUAL]]</f>
        <v>4531.1754385964923</v>
      </c>
    </row>
    <row r="59" spans="1:25" x14ac:dyDescent="0.3">
      <c r="A59" s="4">
        <v>2026</v>
      </c>
      <c r="B59" s="15" t="s">
        <v>590</v>
      </c>
      <c r="C59" s="254">
        <v>46216</v>
      </c>
      <c r="D59" s="3" t="s">
        <v>374</v>
      </c>
      <c r="E59" s="253" t="s">
        <v>446</v>
      </c>
      <c r="F59" s="3" t="str">
        <f>VLOOKUP(TBLPRODUKKELUARJULI[[#This Row],[NAMA CUSTOMER]],TBLDATACUSTOMER[],4,FALSE)</f>
        <v>RIA</v>
      </c>
      <c r="G59" s="5">
        <f>VLOOKUP(TBLPRODUKKELUARJULI[[#This Row],[NAMA PRODUK]],TBLKATALOG[],2,FALSE)</f>
        <v>6192.1929824561403</v>
      </c>
      <c r="H59" s="5">
        <f>VLOOKUP(TBLPRODUKKELUARJULI[[#This Row],[NAMA PRODUK]],TBLKATALOG[],3,FALSE)</f>
        <v>619.21929824561403</v>
      </c>
      <c r="I59" s="5">
        <f>VLOOKUP(TBLPRODUKKELUARJULI[[#This Row],[NAMA PRODUK]],TBLKATALOG[],4,FALSE)</f>
        <v>6811.4122807017538</v>
      </c>
      <c r="J59" s="5">
        <f>VLOOKUP(TBLPRODUKKELUARJULI[[#This Row],[NAMA PRODUK]],TBLKATALOG[],5,FALSE)</f>
        <v>9000</v>
      </c>
      <c r="K59" s="10">
        <f>VLOOKUP(TBLPRODUKKELUARJULI[[#This Row],[NAMA PRODUK]],TBLKATALOG[],6,FALSE)</f>
        <v>2188.5877192982462</v>
      </c>
      <c r="L59" s="10">
        <f>VLOOKUP(TBLPRODUKKELUARJULI[[#This Row],[NAMA PRODUK]],TBLKATALOG[],7,FALSE)</f>
        <v>309.60964912280701</v>
      </c>
      <c r="M59" s="10">
        <f>VLOOKUP(TBLPRODUKKELUARJULI[[#This Row],[NAMA PRODUK]],TBLKATALOG[],8,FALSE)</f>
        <v>309.60964912280701</v>
      </c>
      <c r="N59" s="10">
        <f>VLOOKUP(TBLPRODUKKELUARJULI[[#This Row],[NAMA PRODUK]],TBLKATALOG[],9,FALSE)</f>
        <v>2188.5877192982462</v>
      </c>
      <c r="O59" s="10">
        <v>2</v>
      </c>
      <c r="P59" s="10">
        <v>2</v>
      </c>
      <c r="Q59" s="10">
        <f>TBLPRODUKKELUARJULI[[#This Row],[MODAL]]*TBLPRODUKKELUARJULI[[#This Row],[JUMLAH TERJUAL]]</f>
        <v>12384.385964912281</v>
      </c>
      <c r="R59" s="10">
        <f>TBLPRODUKKELUARJULI[[#This Row],[BUDGET KOMISI]]*TBLPRODUKKELUARJULI[[#This Row],[JUMLAH TERJUAL]]</f>
        <v>1238.4385964912281</v>
      </c>
      <c r="S59" s="10">
        <f>TBLPRODUKKELUARJULI[[#This Row],[MODAL DITAMBAH BUDGET KOMISI]]*TBLPRODUKKELUARJULI[[#This Row],[JUMLAH TERJUAL]]</f>
        <v>13622.824561403508</v>
      </c>
      <c r="T59" s="10">
        <f>TBLPRODUKKELUARJULI[[#This Row],[HARGA JUAL]]*TBLPRODUKKELUARJULI[[#This Row],[JUMLAH TERJUAL]]</f>
        <v>18000</v>
      </c>
      <c r="U59" s="10">
        <f>TBLPRODUKKELUARJULI[[#This Row],[SELISIH]]*TBLPRODUKKELUARJULI[[#This Row],[JUMLAH TERJUAL]]</f>
        <v>4377.1754385964923</v>
      </c>
      <c r="V59" s="10">
        <f>TBLPRODUKKELUARJULI[[#This Row],[LABA MITRA 8 %]]*TBLPRODUKKELUARJULI[[#This Row],[JUMLAH TERJUAL]]</f>
        <v>619.21929824561403</v>
      </c>
      <c r="W59" s="10">
        <f>TBLPRODUKKELUARJULI[[#This Row],[LABA KIRIM 8 %]]*TBLPRODUKKELUARJULI[[#This Row],[JUMLAH TERKIRIM]]</f>
        <v>619.21929824561403</v>
      </c>
      <c r="X59" s="10">
        <f>TBLPRODUKKELUARJULI[[#This Row],[TOTAL LABA MITRA 5%]]+TBLPRODUKKELUARJULI[[#This Row],[TOTAL LABA KIRIM 5%]]</f>
        <v>1238.4385964912281</v>
      </c>
      <c r="Y59" s="10">
        <f>TBLPRODUKKELUARJULI[[#This Row],[LABA BERSIH TOKO]]*TBLPRODUKKELUARJULI[[#This Row],[JUMLAH TERJUAL]]</f>
        <v>4377.1754385964923</v>
      </c>
    </row>
    <row r="60" spans="1:25" x14ac:dyDescent="0.3">
      <c r="A60" s="4">
        <v>2026</v>
      </c>
      <c r="B60" s="15" t="s">
        <v>590</v>
      </c>
      <c r="C60" s="254">
        <v>46216</v>
      </c>
      <c r="D60" s="3" t="s">
        <v>373</v>
      </c>
      <c r="E60" s="253" t="s">
        <v>446</v>
      </c>
      <c r="F60" s="3" t="str">
        <f>VLOOKUP(TBLPRODUKKELUARJULI[[#This Row],[NAMA CUSTOMER]],TBLDATACUSTOMER[],4,FALSE)</f>
        <v>RIA</v>
      </c>
      <c r="G60" s="5">
        <f>VLOOKUP(TBLPRODUKKELUARJULI[[#This Row],[NAMA PRODUK]],TBLKATALOG[],2,FALSE)</f>
        <v>6122.1929824561403</v>
      </c>
      <c r="H60" s="5">
        <f>VLOOKUP(TBLPRODUKKELUARJULI[[#This Row],[NAMA PRODUK]],TBLKATALOG[],3,FALSE)</f>
        <v>612.21929824561403</v>
      </c>
      <c r="I60" s="5">
        <f>VLOOKUP(TBLPRODUKKELUARJULI[[#This Row],[NAMA PRODUK]],TBLKATALOG[],4,FALSE)</f>
        <v>6734.4122807017538</v>
      </c>
      <c r="J60" s="5">
        <f>VLOOKUP(TBLPRODUKKELUARJULI[[#This Row],[NAMA PRODUK]],TBLKATALOG[],5,FALSE)</f>
        <v>9000</v>
      </c>
      <c r="K60" s="10">
        <f>VLOOKUP(TBLPRODUKKELUARJULI[[#This Row],[NAMA PRODUK]],TBLKATALOG[],6,FALSE)</f>
        <v>2265.5877192982462</v>
      </c>
      <c r="L60" s="10">
        <f>VLOOKUP(TBLPRODUKKELUARJULI[[#This Row],[NAMA PRODUK]],TBLKATALOG[],7,FALSE)</f>
        <v>306.10964912280701</v>
      </c>
      <c r="M60" s="10">
        <f>VLOOKUP(TBLPRODUKKELUARJULI[[#This Row],[NAMA PRODUK]],TBLKATALOG[],8,FALSE)</f>
        <v>306.10964912280701</v>
      </c>
      <c r="N60" s="10">
        <f>VLOOKUP(TBLPRODUKKELUARJULI[[#This Row],[NAMA PRODUK]],TBLKATALOG[],9,FALSE)</f>
        <v>2265.5877192982462</v>
      </c>
      <c r="O60" s="10">
        <v>2</v>
      </c>
      <c r="P60" s="10">
        <v>2</v>
      </c>
      <c r="Q60" s="10">
        <f>TBLPRODUKKELUARJULI[[#This Row],[MODAL]]*TBLPRODUKKELUARJULI[[#This Row],[JUMLAH TERJUAL]]</f>
        <v>12244.385964912281</v>
      </c>
      <c r="R60" s="10">
        <f>TBLPRODUKKELUARJULI[[#This Row],[BUDGET KOMISI]]*TBLPRODUKKELUARJULI[[#This Row],[JUMLAH TERJUAL]]</f>
        <v>1224.4385964912281</v>
      </c>
      <c r="S60" s="10">
        <f>TBLPRODUKKELUARJULI[[#This Row],[MODAL DITAMBAH BUDGET KOMISI]]*TBLPRODUKKELUARJULI[[#This Row],[JUMLAH TERJUAL]]</f>
        <v>13468.824561403508</v>
      </c>
      <c r="T60" s="10">
        <f>TBLPRODUKKELUARJULI[[#This Row],[HARGA JUAL]]*TBLPRODUKKELUARJULI[[#This Row],[JUMLAH TERJUAL]]</f>
        <v>18000</v>
      </c>
      <c r="U60" s="10">
        <f>TBLPRODUKKELUARJULI[[#This Row],[SELISIH]]*TBLPRODUKKELUARJULI[[#This Row],[JUMLAH TERJUAL]]</f>
        <v>4531.1754385964923</v>
      </c>
      <c r="V60" s="10">
        <f>TBLPRODUKKELUARJULI[[#This Row],[LABA MITRA 8 %]]*TBLPRODUKKELUARJULI[[#This Row],[JUMLAH TERJUAL]]</f>
        <v>612.21929824561403</v>
      </c>
      <c r="W60" s="10">
        <f>TBLPRODUKKELUARJULI[[#This Row],[LABA KIRIM 8 %]]*TBLPRODUKKELUARJULI[[#This Row],[JUMLAH TERKIRIM]]</f>
        <v>612.21929824561403</v>
      </c>
      <c r="X60" s="10">
        <f>TBLPRODUKKELUARJULI[[#This Row],[TOTAL LABA MITRA 5%]]+TBLPRODUKKELUARJULI[[#This Row],[TOTAL LABA KIRIM 5%]]</f>
        <v>1224.4385964912281</v>
      </c>
      <c r="Y60" s="10">
        <f>TBLPRODUKKELUARJULI[[#This Row],[LABA BERSIH TOKO]]*TBLPRODUKKELUARJULI[[#This Row],[JUMLAH TERJUAL]]</f>
        <v>4531.1754385964923</v>
      </c>
    </row>
    <row r="61" spans="1:25" x14ac:dyDescent="0.3">
      <c r="A61" s="4">
        <v>2026</v>
      </c>
      <c r="B61" s="15" t="s">
        <v>590</v>
      </c>
      <c r="C61" s="254">
        <v>46216</v>
      </c>
      <c r="D61" s="3" t="s">
        <v>373</v>
      </c>
      <c r="E61" s="253" t="s">
        <v>34</v>
      </c>
      <c r="F61" s="3" t="str">
        <f>VLOOKUP(TBLPRODUKKELUARJULI[[#This Row],[NAMA CUSTOMER]],TBLDATACUSTOMER[],4,FALSE)</f>
        <v>NURUL HIDAYATU SAMSIAH</v>
      </c>
      <c r="G61" s="5">
        <f>VLOOKUP(TBLPRODUKKELUARJULI[[#This Row],[NAMA PRODUK]],TBLKATALOG[],2,FALSE)</f>
        <v>6122.1929824561403</v>
      </c>
      <c r="H61" s="5">
        <f>VLOOKUP(TBLPRODUKKELUARJULI[[#This Row],[NAMA PRODUK]],TBLKATALOG[],3,FALSE)</f>
        <v>612.21929824561403</v>
      </c>
      <c r="I61" s="5">
        <f>VLOOKUP(TBLPRODUKKELUARJULI[[#This Row],[NAMA PRODUK]],TBLKATALOG[],4,FALSE)</f>
        <v>6734.4122807017538</v>
      </c>
      <c r="J61" s="5">
        <f>VLOOKUP(TBLPRODUKKELUARJULI[[#This Row],[NAMA PRODUK]],TBLKATALOG[],5,FALSE)</f>
        <v>9000</v>
      </c>
      <c r="K61" s="10">
        <f>VLOOKUP(TBLPRODUKKELUARJULI[[#This Row],[NAMA PRODUK]],TBLKATALOG[],6,FALSE)</f>
        <v>2265.5877192982462</v>
      </c>
      <c r="L61" s="10">
        <f>VLOOKUP(TBLPRODUKKELUARJULI[[#This Row],[NAMA PRODUK]],TBLKATALOG[],7,FALSE)</f>
        <v>306.10964912280701</v>
      </c>
      <c r="M61" s="10">
        <f>VLOOKUP(TBLPRODUKKELUARJULI[[#This Row],[NAMA PRODUK]],TBLKATALOG[],8,FALSE)</f>
        <v>306.10964912280701</v>
      </c>
      <c r="N61" s="10">
        <f>VLOOKUP(TBLPRODUKKELUARJULI[[#This Row],[NAMA PRODUK]],TBLKATALOG[],9,FALSE)</f>
        <v>2265.5877192982462</v>
      </c>
      <c r="O61" s="10">
        <v>8</v>
      </c>
      <c r="P61" s="10">
        <v>8</v>
      </c>
      <c r="Q61" s="10">
        <f>TBLPRODUKKELUARJULI[[#This Row],[MODAL]]*TBLPRODUKKELUARJULI[[#This Row],[JUMLAH TERJUAL]]</f>
        <v>48977.543859649122</v>
      </c>
      <c r="R61" s="10">
        <f>TBLPRODUKKELUARJULI[[#This Row],[BUDGET KOMISI]]*TBLPRODUKKELUARJULI[[#This Row],[JUMLAH TERJUAL]]</f>
        <v>4897.7543859649122</v>
      </c>
      <c r="S61" s="10">
        <f>TBLPRODUKKELUARJULI[[#This Row],[MODAL DITAMBAH BUDGET KOMISI]]*TBLPRODUKKELUARJULI[[#This Row],[JUMLAH TERJUAL]]</f>
        <v>53875.298245614031</v>
      </c>
      <c r="T61" s="10">
        <f>TBLPRODUKKELUARJULI[[#This Row],[HARGA JUAL]]*TBLPRODUKKELUARJULI[[#This Row],[JUMLAH TERJUAL]]</f>
        <v>72000</v>
      </c>
      <c r="U61" s="10">
        <f>TBLPRODUKKELUARJULI[[#This Row],[SELISIH]]*TBLPRODUKKELUARJULI[[#This Row],[JUMLAH TERJUAL]]</f>
        <v>18124.701754385969</v>
      </c>
      <c r="V61" s="10">
        <f>TBLPRODUKKELUARJULI[[#This Row],[LABA MITRA 8 %]]*TBLPRODUKKELUARJULI[[#This Row],[JUMLAH TERJUAL]]</f>
        <v>2448.8771929824561</v>
      </c>
      <c r="W61" s="10">
        <f>TBLPRODUKKELUARJULI[[#This Row],[LABA KIRIM 8 %]]*TBLPRODUKKELUARJULI[[#This Row],[JUMLAH TERKIRIM]]</f>
        <v>2448.8771929824561</v>
      </c>
      <c r="X61" s="10">
        <f>TBLPRODUKKELUARJULI[[#This Row],[TOTAL LABA MITRA 5%]]+TBLPRODUKKELUARJULI[[#This Row],[TOTAL LABA KIRIM 5%]]</f>
        <v>4897.7543859649122</v>
      </c>
      <c r="Y61" s="10">
        <f>TBLPRODUKKELUARJULI[[#This Row],[LABA BERSIH TOKO]]*TBLPRODUKKELUARJULI[[#This Row],[JUMLAH TERJUAL]]</f>
        <v>18124.701754385969</v>
      </c>
    </row>
    <row r="62" spans="1:25" x14ac:dyDescent="0.3">
      <c r="A62" s="4">
        <v>2026</v>
      </c>
      <c r="B62" s="15" t="s">
        <v>590</v>
      </c>
      <c r="C62" s="254">
        <v>46217</v>
      </c>
      <c r="D62" s="3" t="s">
        <v>374</v>
      </c>
      <c r="E62" s="253" t="s">
        <v>446</v>
      </c>
      <c r="F62" s="3" t="str">
        <f>VLOOKUP(TBLPRODUKKELUARJULI[[#This Row],[NAMA CUSTOMER]],TBLDATACUSTOMER[],4,FALSE)</f>
        <v>RIA</v>
      </c>
      <c r="G62" s="5">
        <f>VLOOKUP(TBLPRODUKKELUARJULI[[#This Row],[NAMA PRODUK]],TBLKATALOG[],2,FALSE)</f>
        <v>6192.1929824561403</v>
      </c>
      <c r="H62" s="5">
        <f>VLOOKUP(TBLPRODUKKELUARJULI[[#This Row],[NAMA PRODUK]],TBLKATALOG[],3,FALSE)</f>
        <v>619.21929824561403</v>
      </c>
      <c r="I62" s="5">
        <f>VLOOKUP(TBLPRODUKKELUARJULI[[#This Row],[NAMA PRODUK]],TBLKATALOG[],4,FALSE)</f>
        <v>6811.4122807017538</v>
      </c>
      <c r="J62" s="5">
        <f>VLOOKUP(TBLPRODUKKELUARJULI[[#This Row],[NAMA PRODUK]],TBLKATALOG[],5,FALSE)</f>
        <v>9000</v>
      </c>
      <c r="K62" s="10">
        <f>VLOOKUP(TBLPRODUKKELUARJULI[[#This Row],[NAMA PRODUK]],TBLKATALOG[],6,FALSE)</f>
        <v>2188.5877192982462</v>
      </c>
      <c r="L62" s="10">
        <f>VLOOKUP(TBLPRODUKKELUARJULI[[#This Row],[NAMA PRODUK]],TBLKATALOG[],7,FALSE)</f>
        <v>309.60964912280701</v>
      </c>
      <c r="M62" s="10">
        <f>VLOOKUP(TBLPRODUKKELUARJULI[[#This Row],[NAMA PRODUK]],TBLKATALOG[],8,FALSE)</f>
        <v>309.60964912280701</v>
      </c>
      <c r="N62" s="10">
        <f>VLOOKUP(TBLPRODUKKELUARJULI[[#This Row],[NAMA PRODUK]],TBLKATALOG[],9,FALSE)</f>
        <v>2188.5877192982462</v>
      </c>
      <c r="O62" s="10">
        <v>2</v>
      </c>
      <c r="P62" s="10">
        <v>2</v>
      </c>
      <c r="Q62" s="10">
        <f>TBLPRODUKKELUARJULI[[#This Row],[MODAL]]*TBLPRODUKKELUARJULI[[#This Row],[JUMLAH TERJUAL]]</f>
        <v>12384.385964912281</v>
      </c>
      <c r="R62" s="10">
        <f>TBLPRODUKKELUARJULI[[#This Row],[BUDGET KOMISI]]*TBLPRODUKKELUARJULI[[#This Row],[JUMLAH TERJUAL]]</f>
        <v>1238.4385964912281</v>
      </c>
      <c r="S62" s="10">
        <f>TBLPRODUKKELUARJULI[[#This Row],[MODAL DITAMBAH BUDGET KOMISI]]*TBLPRODUKKELUARJULI[[#This Row],[JUMLAH TERJUAL]]</f>
        <v>13622.824561403508</v>
      </c>
      <c r="T62" s="10">
        <f>TBLPRODUKKELUARJULI[[#This Row],[HARGA JUAL]]*TBLPRODUKKELUARJULI[[#This Row],[JUMLAH TERJUAL]]</f>
        <v>18000</v>
      </c>
      <c r="U62" s="10">
        <f>TBLPRODUKKELUARJULI[[#This Row],[SELISIH]]*TBLPRODUKKELUARJULI[[#This Row],[JUMLAH TERJUAL]]</f>
        <v>4377.1754385964923</v>
      </c>
      <c r="V62" s="10">
        <f>TBLPRODUKKELUARJULI[[#This Row],[LABA MITRA 8 %]]*TBLPRODUKKELUARJULI[[#This Row],[JUMLAH TERJUAL]]</f>
        <v>619.21929824561403</v>
      </c>
      <c r="W62" s="10">
        <f>TBLPRODUKKELUARJULI[[#This Row],[LABA KIRIM 8 %]]*TBLPRODUKKELUARJULI[[#This Row],[JUMLAH TERKIRIM]]</f>
        <v>619.21929824561403</v>
      </c>
      <c r="X62" s="10">
        <f>TBLPRODUKKELUARJULI[[#This Row],[TOTAL LABA MITRA 5%]]+TBLPRODUKKELUARJULI[[#This Row],[TOTAL LABA KIRIM 5%]]</f>
        <v>1238.4385964912281</v>
      </c>
      <c r="Y62" s="10">
        <f>TBLPRODUKKELUARJULI[[#This Row],[LABA BERSIH TOKO]]*TBLPRODUKKELUARJULI[[#This Row],[JUMLAH TERJUAL]]</f>
        <v>4377.1754385964923</v>
      </c>
    </row>
    <row r="63" spans="1:25" x14ac:dyDescent="0.3">
      <c r="A63" s="4">
        <v>2026</v>
      </c>
      <c r="B63" s="15" t="s">
        <v>590</v>
      </c>
      <c r="C63" s="254">
        <v>46217</v>
      </c>
      <c r="D63" s="3" t="s">
        <v>373</v>
      </c>
      <c r="E63" s="253" t="s">
        <v>446</v>
      </c>
      <c r="F63" s="3" t="str">
        <f>VLOOKUP(TBLPRODUKKELUARJULI[[#This Row],[NAMA CUSTOMER]],TBLDATACUSTOMER[],4,FALSE)</f>
        <v>RIA</v>
      </c>
      <c r="G63" s="5">
        <f>VLOOKUP(TBLPRODUKKELUARJULI[[#This Row],[NAMA PRODUK]],TBLKATALOG[],2,FALSE)</f>
        <v>6122.1929824561403</v>
      </c>
      <c r="H63" s="5">
        <f>VLOOKUP(TBLPRODUKKELUARJULI[[#This Row],[NAMA PRODUK]],TBLKATALOG[],3,FALSE)</f>
        <v>612.21929824561403</v>
      </c>
      <c r="I63" s="5">
        <f>VLOOKUP(TBLPRODUKKELUARJULI[[#This Row],[NAMA PRODUK]],TBLKATALOG[],4,FALSE)</f>
        <v>6734.4122807017538</v>
      </c>
      <c r="J63" s="5">
        <f>VLOOKUP(TBLPRODUKKELUARJULI[[#This Row],[NAMA PRODUK]],TBLKATALOG[],5,FALSE)</f>
        <v>9000</v>
      </c>
      <c r="K63" s="10">
        <f>VLOOKUP(TBLPRODUKKELUARJULI[[#This Row],[NAMA PRODUK]],TBLKATALOG[],6,FALSE)</f>
        <v>2265.5877192982462</v>
      </c>
      <c r="L63" s="10">
        <f>VLOOKUP(TBLPRODUKKELUARJULI[[#This Row],[NAMA PRODUK]],TBLKATALOG[],7,FALSE)</f>
        <v>306.10964912280701</v>
      </c>
      <c r="M63" s="10">
        <f>VLOOKUP(TBLPRODUKKELUARJULI[[#This Row],[NAMA PRODUK]],TBLKATALOG[],8,FALSE)</f>
        <v>306.10964912280701</v>
      </c>
      <c r="N63" s="10">
        <f>VLOOKUP(TBLPRODUKKELUARJULI[[#This Row],[NAMA PRODUK]],TBLKATALOG[],9,FALSE)</f>
        <v>2265.5877192982462</v>
      </c>
      <c r="O63" s="10">
        <v>2</v>
      </c>
      <c r="P63" s="10">
        <v>2</v>
      </c>
      <c r="Q63" s="10">
        <f>TBLPRODUKKELUARJULI[[#This Row],[MODAL]]*TBLPRODUKKELUARJULI[[#This Row],[JUMLAH TERJUAL]]</f>
        <v>12244.385964912281</v>
      </c>
      <c r="R63" s="10">
        <f>TBLPRODUKKELUARJULI[[#This Row],[BUDGET KOMISI]]*TBLPRODUKKELUARJULI[[#This Row],[JUMLAH TERJUAL]]</f>
        <v>1224.4385964912281</v>
      </c>
      <c r="S63" s="10">
        <f>TBLPRODUKKELUARJULI[[#This Row],[MODAL DITAMBAH BUDGET KOMISI]]*TBLPRODUKKELUARJULI[[#This Row],[JUMLAH TERJUAL]]</f>
        <v>13468.824561403508</v>
      </c>
      <c r="T63" s="10">
        <f>TBLPRODUKKELUARJULI[[#This Row],[HARGA JUAL]]*TBLPRODUKKELUARJULI[[#This Row],[JUMLAH TERJUAL]]</f>
        <v>18000</v>
      </c>
      <c r="U63" s="10">
        <f>TBLPRODUKKELUARJULI[[#This Row],[SELISIH]]*TBLPRODUKKELUARJULI[[#This Row],[JUMLAH TERJUAL]]</f>
        <v>4531.1754385964923</v>
      </c>
      <c r="V63" s="10">
        <f>TBLPRODUKKELUARJULI[[#This Row],[LABA MITRA 8 %]]*TBLPRODUKKELUARJULI[[#This Row],[JUMLAH TERJUAL]]</f>
        <v>612.21929824561403</v>
      </c>
      <c r="W63" s="10">
        <f>TBLPRODUKKELUARJULI[[#This Row],[LABA KIRIM 8 %]]*TBLPRODUKKELUARJULI[[#This Row],[JUMLAH TERKIRIM]]</f>
        <v>612.21929824561403</v>
      </c>
      <c r="X63" s="10">
        <f>TBLPRODUKKELUARJULI[[#This Row],[TOTAL LABA MITRA 5%]]+TBLPRODUKKELUARJULI[[#This Row],[TOTAL LABA KIRIM 5%]]</f>
        <v>1224.4385964912281</v>
      </c>
      <c r="Y63" s="10">
        <f>TBLPRODUKKELUARJULI[[#This Row],[LABA BERSIH TOKO]]*TBLPRODUKKELUARJULI[[#This Row],[JUMLAH TERJUAL]]</f>
        <v>4531.1754385964923</v>
      </c>
    </row>
    <row r="64" spans="1:25" x14ac:dyDescent="0.3">
      <c r="A64" s="4">
        <v>2026</v>
      </c>
      <c r="B64" s="15" t="s">
        <v>590</v>
      </c>
      <c r="C64" s="254">
        <v>46218</v>
      </c>
      <c r="D64" s="3" t="s">
        <v>374</v>
      </c>
      <c r="E64" s="253" t="s">
        <v>446</v>
      </c>
      <c r="F64" s="3" t="str">
        <f>VLOOKUP(TBLPRODUKKELUARJULI[[#This Row],[NAMA CUSTOMER]],TBLDATACUSTOMER[],4,FALSE)</f>
        <v>RIA</v>
      </c>
      <c r="G64" s="5">
        <f>VLOOKUP(TBLPRODUKKELUARJULI[[#This Row],[NAMA PRODUK]],TBLKATALOG[],2,FALSE)</f>
        <v>6192.1929824561403</v>
      </c>
      <c r="H64" s="5">
        <f>VLOOKUP(TBLPRODUKKELUARJULI[[#This Row],[NAMA PRODUK]],TBLKATALOG[],3,FALSE)</f>
        <v>619.21929824561403</v>
      </c>
      <c r="I64" s="5">
        <f>VLOOKUP(TBLPRODUKKELUARJULI[[#This Row],[NAMA PRODUK]],TBLKATALOG[],4,FALSE)</f>
        <v>6811.4122807017538</v>
      </c>
      <c r="J64" s="5">
        <f>VLOOKUP(TBLPRODUKKELUARJULI[[#This Row],[NAMA PRODUK]],TBLKATALOG[],5,FALSE)</f>
        <v>9000</v>
      </c>
      <c r="K64" s="10">
        <f>VLOOKUP(TBLPRODUKKELUARJULI[[#This Row],[NAMA PRODUK]],TBLKATALOG[],6,FALSE)</f>
        <v>2188.5877192982462</v>
      </c>
      <c r="L64" s="10">
        <f>VLOOKUP(TBLPRODUKKELUARJULI[[#This Row],[NAMA PRODUK]],TBLKATALOG[],7,FALSE)</f>
        <v>309.60964912280701</v>
      </c>
      <c r="M64" s="10">
        <f>VLOOKUP(TBLPRODUKKELUARJULI[[#This Row],[NAMA PRODUK]],TBLKATALOG[],8,FALSE)</f>
        <v>309.60964912280701</v>
      </c>
      <c r="N64" s="10">
        <f>VLOOKUP(TBLPRODUKKELUARJULI[[#This Row],[NAMA PRODUK]],TBLKATALOG[],9,FALSE)</f>
        <v>2188.5877192982462</v>
      </c>
      <c r="O64" s="10">
        <v>2</v>
      </c>
      <c r="P64" s="10">
        <v>2</v>
      </c>
      <c r="Q64" s="10">
        <f>TBLPRODUKKELUARJULI[[#This Row],[MODAL]]*TBLPRODUKKELUARJULI[[#This Row],[JUMLAH TERJUAL]]</f>
        <v>12384.385964912281</v>
      </c>
      <c r="R64" s="10">
        <f>TBLPRODUKKELUARJULI[[#This Row],[BUDGET KOMISI]]*TBLPRODUKKELUARJULI[[#This Row],[JUMLAH TERJUAL]]</f>
        <v>1238.4385964912281</v>
      </c>
      <c r="S64" s="10">
        <f>TBLPRODUKKELUARJULI[[#This Row],[MODAL DITAMBAH BUDGET KOMISI]]*TBLPRODUKKELUARJULI[[#This Row],[JUMLAH TERJUAL]]</f>
        <v>13622.824561403508</v>
      </c>
      <c r="T64" s="10">
        <f>TBLPRODUKKELUARJULI[[#This Row],[HARGA JUAL]]*TBLPRODUKKELUARJULI[[#This Row],[JUMLAH TERJUAL]]</f>
        <v>18000</v>
      </c>
      <c r="U64" s="10">
        <f>TBLPRODUKKELUARJULI[[#This Row],[SELISIH]]*TBLPRODUKKELUARJULI[[#This Row],[JUMLAH TERJUAL]]</f>
        <v>4377.1754385964923</v>
      </c>
      <c r="V64" s="10">
        <f>TBLPRODUKKELUARJULI[[#This Row],[LABA MITRA 8 %]]*TBLPRODUKKELUARJULI[[#This Row],[JUMLAH TERJUAL]]</f>
        <v>619.21929824561403</v>
      </c>
      <c r="W64" s="10">
        <f>TBLPRODUKKELUARJULI[[#This Row],[LABA KIRIM 8 %]]*TBLPRODUKKELUARJULI[[#This Row],[JUMLAH TERKIRIM]]</f>
        <v>619.21929824561403</v>
      </c>
      <c r="X64" s="10">
        <f>TBLPRODUKKELUARJULI[[#This Row],[TOTAL LABA MITRA 5%]]+TBLPRODUKKELUARJULI[[#This Row],[TOTAL LABA KIRIM 5%]]</f>
        <v>1238.4385964912281</v>
      </c>
      <c r="Y64" s="10">
        <f>TBLPRODUKKELUARJULI[[#This Row],[LABA BERSIH TOKO]]*TBLPRODUKKELUARJULI[[#This Row],[JUMLAH TERJUAL]]</f>
        <v>4377.1754385964923</v>
      </c>
    </row>
    <row r="65" spans="1:25" x14ac:dyDescent="0.3">
      <c r="A65" s="4">
        <v>2026</v>
      </c>
      <c r="B65" s="15" t="s">
        <v>590</v>
      </c>
      <c r="C65" s="254">
        <v>46218</v>
      </c>
      <c r="D65" s="3" t="s">
        <v>373</v>
      </c>
      <c r="E65" s="253" t="s">
        <v>446</v>
      </c>
      <c r="F65" s="3" t="str">
        <f>VLOOKUP(TBLPRODUKKELUARJULI[[#This Row],[NAMA CUSTOMER]],TBLDATACUSTOMER[],4,FALSE)</f>
        <v>RIA</v>
      </c>
      <c r="G65" s="5">
        <f>VLOOKUP(TBLPRODUKKELUARJULI[[#This Row],[NAMA PRODUK]],TBLKATALOG[],2,FALSE)</f>
        <v>6122.1929824561403</v>
      </c>
      <c r="H65" s="5">
        <f>VLOOKUP(TBLPRODUKKELUARJULI[[#This Row],[NAMA PRODUK]],TBLKATALOG[],3,FALSE)</f>
        <v>612.21929824561403</v>
      </c>
      <c r="I65" s="5">
        <f>VLOOKUP(TBLPRODUKKELUARJULI[[#This Row],[NAMA PRODUK]],TBLKATALOG[],4,FALSE)</f>
        <v>6734.4122807017538</v>
      </c>
      <c r="J65" s="5">
        <f>VLOOKUP(TBLPRODUKKELUARJULI[[#This Row],[NAMA PRODUK]],TBLKATALOG[],5,FALSE)</f>
        <v>9000</v>
      </c>
      <c r="K65" s="10">
        <f>VLOOKUP(TBLPRODUKKELUARJULI[[#This Row],[NAMA PRODUK]],TBLKATALOG[],6,FALSE)</f>
        <v>2265.5877192982462</v>
      </c>
      <c r="L65" s="10">
        <f>VLOOKUP(TBLPRODUKKELUARJULI[[#This Row],[NAMA PRODUK]],TBLKATALOG[],7,FALSE)</f>
        <v>306.10964912280701</v>
      </c>
      <c r="M65" s="10">
        <f>VLOOKUP(TBLPRODUKKELUARJULI[[#This Row],[NAMA PRODUK]],TBLKATALOG[],8,FALSE)</f>
        <v>306.10964912280701</v>
      </c>
      <c r="N65" s="10">
        <f>VLOOKUP(TBLPRODUKKELUARJULI[[#This Row],[NAMA PRODUK]],TBLKATALOG[],9,FALSE)</f>
        <v>2265.5877192982462</v>
      </c>
      <c r="O65" s="10">
        <v>2</v>
      </c>
      <c r="P65" s="10">
        <v>2</v>
      </c>
      <c r="Q65" s="10">
        <f>TBLPRODUKKELUARJULI[[#This Row],[MODAL]]*TBLPRODUKKELUARJULI[[#This Row],[JUMLAH TERJUAL]]</f>
        <v>12244.385964912281</v>
      </c>
      <c r="R65" s="10">
        <f>TBLPRODUKKELUARJULI[[#This Row],[BUDGET KOMISI]]*TBLPRODUKKELUARJULI[[#This Row],[JUMLAH TERJUAL]]</f>
        <v>1224.4385964912281</v>
      </c>
      <c r="S65" s="10">
        <f>TBLPRODUKKELUARJULI[[#This Row],[MODAL DITAMBAH BUDGET KOMISI]]*TBLPRODUKKELUARJULI[[#This Row],[JUMLAH TERJUAL]]</f>
        <v>13468.824561403508</v>
      </c>
      <c r="T65" s="10">
        <f>TBLPRODUKKELUARJULI[[#This Row],[HARGA JUAL]]*TBLPRODUKKELUARJULI[[#This Row],[JUMLAH TERJUAL]]</f>
        <v>18000</v>
      </c>
      <c r="U65" s="10">
        <f>TBLPRODUKKELUARJULI[[#This Row],[SELISIH]]*TBLPRODUKKELUARJULI[[#This Row],[JUMLAH TERJUAL]]</f>
        <v>4531.1754385964923</v>
      </c>
      <c r="V65" s="10">
        <f>TBLPRODUKKELUARJULI[[#This Row],[LABA MITRA 8 %]]*TBLPRODUKKELUARJULI[[#This Row],[JUMLAH TERJUAL]]</f>
        <v>612.21929824561403</v>
      </c>
      <c r="W65" s="10">
        <f>TBLPRODUKKELUARJULI[[#This Row],[LABA KIRIM 8 %]]*TBLPRODUKKELUARJULI[[#This Row],[JUMLAH TERKIRIM]]</f>
        <v>612.21929824561403</v>
      </c>
      <c r="X65" s="10">
        <f>TBLPRODUKKELUARJULI[[#This Row],[TOTAL LABA MITRA 5%]]+TBLPRODUKKELUARJULI[[#This Row],[TOTAL LABA KIRIM 5%]]</f>
        <v>1224.4385964912281</v>
      </c>
      <c r="Y65" s="10">
        <f>TBLPRODUKKELUARJULI[[#This Row],[LABA BERSIH TOKO]]*TBLPRODUKKELUARJULI[[#This Row],[JUMLAH TERJUAL]]</f>
        <v>4531.1754385964923</v>
      </c>
    </row>
    <row r="66" spans="1:25" x14ac:dyDescent="0.3">
      <c r="A66" s="4">
        <v>2026</v>
      </c>
      <c r="B66" s="15" t="s">
        <v>590</v>
      </c>
      <c r="C66" s="254">
        <v>46218</v>
      </c>
      <c r="D66" s="3" t="s">
        <v>374</v>
      </c>
      <c r="E66" s="253" t="s">
        <v>263</v>
      </c>
      <c r="F66" s="3" t="str">
        <f>VLOOKUP(TBLPRODUKKELUARJULI[[#This Row],[NAMA CUSTOMER]],TBLDATACUSTOMER[],4,FALSE)</f>
        <v>CAHYA GALLERY</v>
      </c>
      <c r="G66" s="5">
        <f>VLOOKUP(TBLPRODUKKELUARJULI[[#This Row],[NAMA PRODUK]],TBLKATALOG[],2,FALSE)</f>
        <v>6192.1929824561403</v>
      </c>
      <c r="H66" s="5">
        <f>VLOOKUP(TBLPRODUKKELUARJULI[[#This Row],[NAMA PRODUK]],TBLKATALOG[],3,FALSE)</f>
        <v>619.21929824561403</v>
      </c>
      <c r="I66" s="5">
        <f>VLOOKUP(TBLPRODUKKELUARJULI[[#This Row],[NAMA PRODUK]],TBLKATALOG[],4,FALSE)</f>
        <v>6811.4122807017538</v>
      </c>
      <c r="J66" s="5">
        <f>VLOOKUP(TBLPRODUKKELUARJULI[[#This Row],[NAMA PRODUK]],TBLKATALOG[],5,FALSE)</f>
        <v>9000</v>
      </c>
      <c r="K66" s="10">
        <f>VLOOKUP(TBLPRODUKKELUARJULI[[#This Row],[NAMA PRODUK]],TBLKATALOG[],6,FALSE)</f>
        <v>2188.5877192982462</v>
      </c>
      <c r="L66" s="10">
        <f>VLOOKUP(TBLPRODUKKELUARJULI[[#This Row],[NAMA PRODUK]],TBLKATALOG[],7,FALSE)</f>
        <v>309.60964912280701</v>
      </c>
      <c r="M66" s="10">
        <f>VLOOKUP(TBLPRODUKKELUARJULI[[#This Row],[NAMA PRODUK]],TBLKATALOG[],8,FALSE)</f>
        <v>309.60964912280701</v>
      </c>
      <c r="N66" s="10">
        <f>VLOOKUP(TBLPRODUKKELUARJULI[[#This Row],[NAMA PRODUK]],TBLKATALOG[],9,FALSE)</f>
        <v>2188.5877192982462</v>
      </c>
      <c r="O66" s="10">
        <v>1</v>
      </c>
      <c r="P66" s="10">
        <v>1</v>
      </c>
      <c r="Q66" s="10">
        <f>TBLPRODUKKELUARJULI[[#This Row],[MODAL]]*TBLPRODUKKELUARJULI[[#This Row],[JUMLAH TERJUAL]]</f>
        <v>6192.1929824561403</v>
      </c>
      <c r="R66" s="10">
        <f>TBLPRODUKKELUARJULI[[#This Row],[BUDGET KOMISI]]*TBLPRODUKKELUARJULI[[#This Row],[JUMLAH TERJUAL]]</f>
        <v>619.21929824561403</v>
      </c>
      <c r="S66" s="10">
        <f>TBLPRODUKKELUARJULI[[#This Row],[MODAL DITAMBAH BUDGET KOMISI]]*TBLPRODUKKELUARJULI[[#This Row],[JUMLAH TERJUAL]]</f>
        <v>6811.4122807017538</v>
      </c>
      <c r="T66" s="10">
        <f>TBLPRODUKKELUARJULI[[#This Row],[HARGA JUAL]]*TBLPRODUKKELUARJULI[[#This Row],[JUMLAH TERJUAL]]</f>
        <v>9000</v>
      </c>
      <c r="U66" s="10">
        <f>TBLPRODUKKELUARJULI[[#This Row],[SELISIH]]*TBLPRODUKKELUARJULI[[#This Row],[JUMLAH TERJUAL]]</f>
        <v>2188.5877192982462</v>
      </c>
      <c r="V66" s="10">
        <f>TBLPRODUKKELUARJULI[[#This Row],[LABA MITRA 8 %]]*TBLPRODUKKELUARJULI[[#This Row],[JUMLAH TERJUAL]]</f>
        <v>309.60964912280701</v>
      </c>
      <c r="W66" s="10">
        <f>TBLPRODUKKELUARJULI[[#This Row],[LABA KIRIM 8 %]]*TBLPRODUKKELUARJULI[[#This Row],[JUMLAH TERKIRIM]]</f>
        <v>309.60964912280701</v>
      </c>
      <c r="X66" s="10">
        <f>TBLPRODUKKELUARJULI[[#This Row],[TOTAL LABA MITRA 5%]]+TBLPRODUKKELUARJULI[[#This Row],[TOTAL LABA KIRIM 5%]]</f>
        <v>619.21929824561403</v>
      </c>
      <c r="Y66" s="10">
        <f>TBLPRODUKKELUARJULI[[#This Row],[LABA BERSIH TOKO]]*TBLPRODUKKELUARJULI[[#This Row],[JUMLAH TERJUAL]]</f>
        <v>2188.5877192982462</v>
      </c>
    </row>
    <row r="67" spans="1:25" x14ac:dyDescent="0.3">
      <c r="A67" s="4">
        <v>2026</v>
      </c>
      <c r="B67" s="15" t="s">
        <v>590</v>
      </c>
      <c r="C67" s="254">
        <v>46218</v>
      </c>
      <c r="D67" s="3" t="s">
        <v>373</v>
      </c>
      <c r="E67" s="253" t="s">
        <v>263</v>
      </c>
      <c r="F67" s="3" t="str">
        <f>VLOOKUP(TBLPRODUKKELUARJULI[[#This Row],[NAMA CUSTOMER]],TBLDATACUSTOMER[],4,FALSE)</f>
        <v>CAHYA GALLERY</v>
      </c>
      <c r="G67" s="5">
        <f>VLOOKUP(TBLPRODUKKELUARJULI[[#This Row],[NAMA PRODUK]],TBLKATALOG[],2,FALSE)</f>
        <v>6122.1929824561403</v>
      </c>
      <c r="H67" s="5">
        <f>VLOOKUP(TBLPRODUKKELUARJULI[[#This Row],[NAMA PRODUK]],TBLKATALOG[],3,FALSE)</f>
        <v>612.21929824561403</v>
      </c>
      <c r="I67" s="5">
        <f>VLOOKUP(TBLPRODUKKELUARJULI[[#This Row],[NAMA PRODUK]],TBLKATALOG[],4,FALSE)</f>
        <v>6734.4122807017538</v>
      </c>
      <c r="J67" s="5">
        <f>VLOOKUP(TBLPRODUKKELUARJULI[[#This Row],[NAMA PRODUK]],TBLKATALOG[],5,FALSE)</f>
        <v>9000</v>
      </c>
      <c r="K67" s="10">
        <f>VLOOKUP(TBLPRODUKKELUARJULI[[#This Row],[NAMA PRODUK]],TBLKATALOG[],6,FALSE)</f>
        <v>2265.5877192982462</v>
      </c>
      <c r="L67" s="10">
        <f>VLOOKUP(TBLPRODUKKELUARJULI[[#This Row],[NAMA PRODUK]],TBLKATALOG[],7,FALSE)</f>
        <v>306.10964912280701</v>
      </c>
      <c r="M67" s="10">
        <f>VLOOKUP(TBLPRODUKKELUARJULI[[#This Row],[NAMA PRODUK]],TBLKATALOG[],8,FALSE)</f>
        <v>306.10964912280701</v>
      </c>
      <c r="N67" s="10">
        <f>VLOOKUP(TBLPRODUKKELUARJULI[[#This Row],[NAMA PRODUK]],TBLKATALOG[],9,FALSE)</f>
        <v>2265.5877192982462</v>
      </c>
      <c r="O67" s="10">
        <v>1</v>
      </c>
      <c r="P67" s="10">
        <v>1</v>
      </c>
      <c r="Q67" s="10">
        <f>TBLPRODUKKELUARJULI[[#This Row],[MODAL]]*TBLPRODUKKELUARJULI[[#This Row],[JUMLAH TERJUAL]]</f>
        <v>6122.1929824561403</v>
      </c>
      <c r="R67" s="10">
        <f>TBLPRODUKKELUARJULI[[#This Row],[BUDGET KOMISI]]*TBLPRODUKKELUARJULI[[#This Row],[JUMLAH TERJUAL]]</f>
        <v>612.21929824561403</v>
      </c>
      <c r="S67" s="10">
        <f>TBLPRODUKKELUARJULI[[#This Row],[MODAL DITAMBAH BUDGET KOMISI]]*TBLPRODUKKELUARJULI[[#This Row],[JUMLAH TERJUAL]]</f>
        <v>6734.4122807017538</v>
      </c>
      <c r="T67" s="10">
        <f>TBLPRODUKKELUARJULI[[#This Row],[HARGA JUAL]]*TBLPRODUKKELUARJULI[[#This Row],[JUMLAH TERJUAL]]</f>
        <v>9000</v>
      </c>
      <c r="U67" s="10">
        <f>TBLPRODUKKELUARJULI[[#This Row],[SELISIH]]*TBLPRODUKKELUARJULI[[#This Row],[JUMLAH TERJUAL]]</f>
        <v>2265.5877192982462</v>
      </c>
      <c r="V67" s="10">
        <f>TBLPRODUKKELUARJULI[[#This Row],[LABA MITRA 8 %]]*TBLPRODUKKELUARJULI[[#This Row],[JUMLAH TERJUAL]]</f>
        <v>306.10964912280701</v>
      </c>
      <c r="W67" s="10">
        <f>TBLPRODUKKELUARJULI[[#This Row],[LABA KIRIM 8 %]]*TBLPRODUKKELUARJULI[[#This Row],[JUMLAH TERKIRIM]]</f>
        <v>306.10964912280701</v>
      </c>
      <c r="X67" s="10">
        <f>TBLPRODUKKELUARJULI[[#This Row],[TOTAL LABA MITRA 5%]]+TBLPRODUKKELUARJULI[[#This Row],[TOTAL LABA KIRIM 5%]]</f>
        <v>612.21929824561403</v>
      </c>
      <c r="Y67" s="10">
        <f>TBLPRODUKKELUARJULI[[#This Row],[LABA BERSIH TOKO]]*TBLPRODUKKELUARJULI[[#This Row],[JUMLAH TERJUAL]]</f>
        <v>2265.5877192982462</v>
      </c>
    </row>
    <row r="68" spans="1:25" x14ac:dyDescent="0.3">
      <c r="A68" s="4">
        <v>2026</v>
      </c>
      <c r="B68" s="15" t="s">
        <v>590</v>
      </c>
      <c r="C68" s="254">
        <v>46220</v>
      </c>
      <c r="D68" s="3" t="s">
        <v>374</v>
      </c>
      <c r="E68" s="253" t="s">
        <v>446</v>
      </c>
      <c r="F68" s="3" t="str">
        <f>VLOOKUP(TBLPRODUKKELUARJULI[[#This Row],[NAMA CUSTOMER]],TBLDATACUSTOMER[],4,FALSE)</f>
        <v>RIA</v>
      </c>
      <c r="G68" s="5">
        <f>VLOOKUP(TBLPRODUKKELUARJULI[[#This Row],[NAMA PRODUK]],TBLKATALOG[],2,FALSE)</f>
        <v>6192.1929824561403</v>
      </c>
      <c r="H68" s="5">
        <f>VLOOKUP(TBLPRODUKKELUARJULI[[#This Row],[NAMA PRODUK]],TBLKATALOG[],3,FALSE)</f>
        <v>619.21929824561403</v>
      </c>
      <c r="I68" s="5">
        <f>VLOOKUP(TBLPRODUKKELUARJULI[[#This Row],[NAMA PRODUK]],TBLKATALOG[],4,FALSE)</f>
        <v>6811.4122807017538</v>
      </c>
      <c r="J68" s="5">
        <f>VLOOKUP(TBLPRODUKKELUARJULI[[#This Row],[NAMA PRODUK]],TBLKATALOG[],5,FALSE)</f>
        <v>9000</v>
      </c>
      <c r="K68" s="10">
        <f>VLOOKUP(TBLPRODUKKELUARJULI[[#This Row],[NAMA PRODUK]],TBLKATALOG[],6,FALSE)</f>
        <v>2188.5877192982462</v>
      </c>
      <c r="L68" s="10">
        <f>VLOOKUP(TBLPRODUKKELUARJULI[[#This Row],[NAMA PRODUK]],TBLKATALOG[],7,FALSE)</f>
        <v>309.60964912280701</v>
      </c>
      <c r="M68" s="10">
        <f>VLOOKUP(TBLPRODUKKELUARJULI[[#This Row],[NAMA PRODUK]],TBLKATALOG[],8,FALSE)</f>
        <v>309.60964912280701</v>
      </c>
      <c r="N68" s="10">
        <f>VLOOKUP(TBLPRODUKKELUARJULI[[#This Row],[NAMA PRODUK]],TBLKATALOG[],9,FALSE)</f>
        <v>2188.5877192982462</v>
      </c>
      <c r="O68" s="10">
        <v>2</v>
      </c>
      <c r="P68" s="10">
        <v>2</v>
      </c>
      <c r="Q68" s="10">
        <f>TBLPRODUKKELUARJULI[[#This Row],[MODAL]]*TBLPRODUKKELUARJULI[[#This Row],[JUMLAH TERJUAL]]</f>
        <v>12384.385964912281</v>
      </c>
      <c r="R68" s="10">
        <f>TBLPRODUKKELUARJULI[[#This Row],[BUDGET KOMISI]]*TBLPRODUKKELUARJULI[[#This Row],[JUMLAH TERJUAL]]</f>
        <v>1238.4385964912281</v>
      </c>
      <c r="S68" s="10">
        <f>TBLPRODUKKELUARJULI[[#This Row],[MODAL DITAMBAH BUDGET KOMISI]]*TBLPRODUKKELUARJULI[[#This Row],[JUMLAH TERJUAL]]</f>
        <v>13622.824561403508</v>
      </c>
      <c r="T68" s="10">
        <f>TBLPRODUKKELUARJULI[[#This Row],[HARGA JUAL]]*TBLPRODUKKELUARJULI[[#This Row],[JUMLAH TERJUAL]]</f>
        <v>18000</v>
      </c>
      <c r="U68" s="10">
        <f>TBLPRODUKKELUARJULI[[#This Row],[SELISIH]]*TBLPRODUKKELUARJULI[[#This Row],[JUMLAH TERJUAL]]</f>
        <v>4377.1754385964923</v>
      </c>
      <c r="V68" s="10">
        <f>TBLPRODUKKELUARJULI[[#This Row],[LABA MITRA 8 %]]*TBLPRODUKKELUARJULI[[#This Row],[JUMLAH TERJUAL]]</f>
        <v>619.21929824561403</v>
      </c>
      <c r="W68" s="10">
        <f>TBLPRODUKKELUARJULI[[#This Row],[LABA KIRIM 8 %]]*TBLPRODUKKELUARJULI[[#This Row],[JUMLAH TERKIRIM]]</f>
        <v>619.21929824561403</v>
      </c>
      <c r="X68" s="10">
        <f>TBLPRODUKKELUARJULI[[#This Row],[TOTAL LABA MITRA 5%]]+TBLPRODUKKELUARJULI[[#This Row],[TOTAL LABA KIRIM 5%]]</f>
        <v>1238.4385964912281</v>
      </c>
      <c r="Y68" s="10">
        <f>TBLPRODUKKELUARJULI[[#This Row],[LABA BERSIH TOKO]]*TBLPRODUKKELUARJULI[[#This Row],[JUMLAH TERJUAL]]</f>
        <v>4377.1754385964923</v>
      </c>
    </row>
    <row r="69" spans="1:25" x14ac:dyDescent="0.3">
      <c r="A69" s="4">
        <v>2026</v>
      </c>
      <c r="B69" s="15" t="s">
        <v>590</v>
      </c>
      <c r="C69" s="254">
        <v>46220</v>
      </c>
      <c r="D69" s="3" t="s">
        <v>373</v>
      </c>
      <c r="E69" s="253" t="s">
        <v>446</v>
      </c>
      <c r="F69" s="3" t="str">
        <f>VLOOKUP(TBLPRODUKKELUARJULI[[#This Row],[NAMA CUSTOMER]],TBLDATACUSTOMER[],4,FALSE)</f>
        <v>RIA</v>
      </c>
      <c r="G69" s="5">
        <f>VLOOKUP(TBLPRODUKKELUARJULI[[#This Row],[NAMA PRODUK]],TBLKATALOG[],2,FALSE)</f>
        <v>6122.1929824561403</v>
      </c>
      <c r="H69" s="5">
        <f>VLOOKUP(TBLPRODUKKELUARJULI[[#This Row],[NAMA PRODUK]],TBLKATALOG[],3,FALSE)</f>
        <v>612.21929824561403</v>
      </c>
      <c r="I69" s="5">
        <f>VLOOKUP(TBLPRODUKKELUARJULI[[#This Row],[NAMA PRODUK]],TBLKATALOG[],4,FALSE)</f>
        <v>6734.4122807017538</v>
      </c>
      <c r="J69" s="5">
        <f>VLOOKUP(TBLPRODUKKELUARJULI[[#This Row],[NAMA PRODUK]],TBLKATALOG[],5,FALSE)</f>
        <v>9000</v>
      </c>
      <c r="K69" s="10">
        <f>VLOOKUP(TBLPRODUKKELUARJULI[[#This Row],[NAMA PRODUK]],TBLKATALOG[],6,FALSE)</f>
        <v>2265.5877192982462</v>
      </c>
      <c r="L69" s="10">
        <f>VLOOKUP(TBLPRODUKKELUARJULI[[#This Row],[NAMA PRODUK]],TBLKATALOG[],7,FALSE)</f>
        <v>306.10964912280701</v>
      </c>
      <c r="M69" s="10">
        <f>VLOOKUP(TBLPRODUKKELUARJULI[[#This Row],[NAMA PRODUK]],TBLKATALOG[],8,FALSE)</f>
        <v>306.10964912280701</v>
      </c>
      <c r="N69" s="10">
        <f>VLOOKUP(TBLPRODUKKELUARJULI[[#This Row],[NAMA PRODUK]],TBLKATALOG[],9,FALSE)</f>
        <v>2265.5877192982462</v>
      </c>
      <c r="O69" s="10">
        <v>2</v>
      </c>
      <c r="P69" s="10">
        <v>2</v>
      </c>
      <c r="Q69" s="10">
        <f>TBLPRODUKKELUARJULI[[#This Row],[MODAL]]*TBLPRODUKKELUARJULI[[#This Row],[JUMLAH TERJUAL]]</f>
        <v>12244.385964912281</v>
      </c>
      <c r="R69" s="10">
        <f>TBLPRODUKKELUARJULI[[#This Row],[BUDGET KOMISI]]*TBLPRODUKKELUARJULI[[#This Row],[JUMLAH TERJUAL]]</f>
        <v>1224.4385964912281</v>
      </c>
      <c r="S69" s="10">
        <f>TBLPRODUKKELUARJULI[[#This Row],[MODAL DITAMBAH BUDGET KOMISI]]*TBLPRODUKKELUARJULI[[#This Row],[JUMLAH TERJUAL]]</f>
        <v>13468.824561403508</v>
      </c>
      <c r="T69" s="10">
        <f>TBLPRODUKKELUARJULI[[#This Row],[HARGA JUAL]]*TBLPRODUKKELUARJULI[[#This Row],[JUMLAH TERJUAL]]</f>
        <v>18000</v>
      </c>
      <c r="U69" s="10">
        <f>TBLPRODUKKELUARJULI[[#This Row],[SELISIH]]*TBLPRODUKKELUARJULI[[#This Row],[JUMLAH TERJUAL]]</f>
        <v>4531.1754385964923</v>
      </c>
      <c r="V69" s="10">
        <f>TBLPRODUKKELUARJULI[[#This Row],[LABA MITRA 8 %]]*TBLPRODUKKELUARJULI[[#This Row],[JUMLAH TERJUAL]]</f>
        <v>612.21929824561403</v>
      </c>
      <c r="W69" s="10">
        <f>TBLPRODUKKELUARJULI[[#This Row],[LABA KIRIM 8 %]]*TBLPRODUKKELUARJULI[[#This Row],[JUMLAH TERKIRIM]]</f>
        <v>612.21929824561403</v>
      </c>
      <c r="X69" s="10">
        <f>TBLPRODUKKELUARJULI[[#This Row],[TOTAL LABA MITRA 5%]]+TBLPRODUKKELUARJULI[[#This Row],[TOTAL LABA KIRIM 5%]]</f>
        <v>1224.4385964912281</v>
      </c>
      <c r="Y69" s="10">
        <f>TBLPRODUKKELUARJULI[[#This Row],[LABA BERSIH TOKO]]*TBLPRODUKKELUARJULI[[#This Row],[JUMLAH TERJUAL]]</f>
        <v>4531.1754385964923</v>
      </c>
    </row>
    <row r="70" spans="1:25" x14ac:dyDescent="0.3">
      <c r="A70" s="4">
        <v>2026</v>
      </c>
      <c r="B70" s="15" t="s">
        <v>590</v>
      </c>
      <c r="C70" s="254">
        <v>46220</v>
      </c>
      <c r="D70" s="3" t="s">
        <v>396</v>
      </c>
      <c r="E70" s="253" t="s">
        <v>450</v>
      </c>
      <c r="F70" s="3" t="str">
        <f>VLOOKUP(TBLPRODUKKELUARJULI[[#This Row],[NAMA CUSTOMER]],TBLDATACUSTOMER[],4,FALSE)</f>
        <v>QEQEL</v>
      </c>
      <c r="G70" s="5">
        <f>VLOOKUP(TBLPRODUKKELUARJULI[[#This Row],[NAMA PRODUK]],TBLKATALOG[],2,FALSE)</f>
        <v>34905.888357256779</v>
      </c>
      <c r="H70" s="5">
        <f>VLOOKUP(TBLPRODUKKELUARJULI[[#This Row],[NAMA PRODUK]],TBLKATALOG[],3,FALSE)</f>
        <v>3490.5888357256781</v>
      </c>
      <c r="I70" s="5">
        <f>VLOOKUP(TBLPRODUKKELUARJULI[[#This Row],[NAMA PRODUK]],TBLKATALOG[],4,FALSE)</f>
        <v>38396.477192982456</v>
      </c>
      <c r="J70" s="5">
        <f>VLOOKUP(TBLPRODUKKELUARJULI[[#This Row],[NAMA PRODUK]],TBLKATALOG[],5,FALSE)</f>
        <v>45000</v>
      </c>
      <c r="K70" s="10">
        <f>VLOOKUP(TBLPRODUKKELUARJULI[[#This Row],[NAMA PRODUK]],TBLKATALOG[],6,FALSE)</f>
        <v>6603.5228070175435</v>
      </c>
      <c r="L70" s="10">
        <f>VLOOKUP(TBLPRODUKKELUARJULI[[#This Row],[NAMA PRODUK]],TBLKATALOG[],7,FALSE)</f>
        <v>1745.2944178628391</v>
      </c>
      <c r="M70" s="10">
        <f>VLOOKUP(TBLPRODUKKELUARJULI[[#This Row],[NAMA PRODUK]],TBLKATALOG[],8,FALSE)</f>
        <v>1745.2944178628391</v>
      </c>
      <c r="N70" s="10">
        <f>VLOOKUP(TBLPRODUKKELUARJULI[[#This Row],[NAMA PRODUK]],TBLKATALOG[],9,FALSE)</f>
        <v>6603.5228070175435</v>
      </c>
      <c r="O70" s="10">
        <v>2</v>
      </c>
      <c r="P70" s="10">
        <v>2</v>
      </c>
      <c r="Q70" s="10">
        <f>TBLPRODUKKELUARJULI[[#This Row],[MODAL]]*TBLPRODUKKELUARJULI[[#This Row],[JUMLAH TERJUAL]]</f>
        <v>69811.776714513559</v>
      </c>
      <c r="R70" s="10">
        <f>TBLPRODUKKELUARJULI[[#This Row],[BUDGET KOMISI]]*TBLPRODUKKELUARJULI[[#This Row],[JUMLAH TERJUAL]]</f>
        <v>6981.1776714513562</v>
      </c>
      <c r="S70" s="10">
        <f>TBLPRODUKKELUARJULI[[#This Row],[MODAL DITAMBAH BUDGET KOMISI]]*TBLPRODUKKELUARJULI[[#This Row],[JUMLAH TERJUAL]]</f>
        <v>76792.954385964913</v>
      </c>
      <c r="T70" s="10">
        <f>TBLPRODUKKELUARJULI[[#This Row],[HARGA JUAL]]*TBLPRODUKKELUARJULI[[#This Row],[JUMLAH TERJUAL]]</f>
        <v>90000</v>
      </c>
      <c r="U70" s="10">
        <f>TBLPRODUKKELUARJULI[[#This Row],[SELISIH]]*TBLPRODUKKELUARJULI[[#This Row],[JUMLAH TERJUAL]]</f>
        <v>13207.045614035087</v>
      </c>
      <c r="V70" s="10">
        <f>TBLPRODUKKELUARJULI[[#This Row],[LABA MITRA 8 %]]*TBLPRODUKKELUARJULI[[#This Row],[JUMLAH TERJUAL]]</f>
        <v>3490.5888357256781</v>
      </c>
      <c r="W70" s="10">
        <f>TBLPRODUKKELUARJULI[[#This Row],[LABA KIRIM 8 %]]*TBLPRODUKKELUARJULI[[#This Row],[JUMLAH TERKIRIM]]</f>
        <v>3490.5888357256781</v>
      </c>
      <c r="X70" s="10">
        <f>TBLPRODUKKELUARJULI[[#This Row],[TOTAL LABA MITRA 5%]]+TBLPRODUKKELUARJULI[[#This Row],[TOTAL LABA KIRIM 5%]]</f>
        <v>6981.1776714513562</v>
      </c>
      <c r="Y70" s="10">
        <f>TBLPRODUKKELUARJULI[[#This Row],[LABA BERSIH TOKO]]*TBLPRODUKKELUARJULI[[#This Row],[JUMLAH TERJUAL]]</f>
        <v>13207.045614035087</v>
      </c>
    </row>
    <row r="71" spans="1:25" x14ac:dyDescent="0.3">
      <c r="A71" s="4">
        <v>2026</v>
      </c>
      <c r="B71" s="15" t="s">
        <v>590</v>
      </c>
      <c r="C71" s="254">
        <v>46221</v>
      </c>
      <c r="D71" s="3" t="s">
        <v>374</v>
      </c>
      <c r="E71" s="253" t="s">
        <v>446</v>
      </c>
      <c r="F71" s="3" t="str">
        <f>VLOOKUP(TBLPRODUKKELUARJULI[[#This Row],[NAMA CUSTOMER]],TBLDATACUSTOMER[],4,FALSE)</f>
        <v>RIA</v>
      </c>
      <c r="G71" s="5">
        <f>VLOOKUP(TBLPRODUKKELUARJULI[[#This Row],[NAMA PRODUK]],TBLKATALOG[],2,FALSE)</f>
        <v>6192.1929824561403</v>
      </c>
      <c r="H71" s="5">
        <f>VLOOKUP(TBLPRODUKKELUARJULI[[#This Row],[NAMA PRODUK]],TBLKATALOG[],3,FALSE)</f>
        <v>619.21929824561403</v>
      </c>
      <c r="I71" s="5">
        <f>VLOOKUP(TBLPRODUKKELUARJULI[[#This Row],[NAMA PRODUK]],TBLKATALOG[],4,FALSE)</f>
        <v>6811.4122807017538</v>
      </c>
      <c r="J71" s="5">
        <f>VLOOKUP(TBLPRODUKKELUARJULI[[#This Row],[NAMA PRODUK]],TBLKATALOG[],5,FALSE)</f>
        <v>9000</v>
      </c>
      <c r="K71" s="10">
        <f>VLOOKUP(TBLPRODUKKELUARJULI[[#This Row],[NAMA PRODUK]],TBLKATALOG[],6,FALSE)</f>
        <v>2188.5877192982462</v>
      </c>
      <c r="L71" s="10">
        <f>VLOOKUP(TBLPRODUKKELUARJULI[[#This Row],[NAMA PRODUK]],TBLKATALOG[],7,FALSE)</f>
        <v>309.60964912280701</v>
      </c>
      <c r="M71" s="10">
        <f>VLOOKUP(TBLPRODUKKELUARJULI[[#This Row],[NAMA PRODUK]],TBLKATALOG[],8,FALSE)</f>
        <v>309.60964912280701</v>
      </c>
      <c r="N71" s="10">
        <f>VLOOKUP(TBLPRODUKKELUARJULI[[#This Row],[NAMA PRODUK]],TBLKATALOG[],9,FALSE)</f>
        <v>2188.5877192982462</v>
      </c>
      <c r="O71" s="10">
        <v>3</v>
      </c>
      <c r="P71" s="10">
        <v>3</v>
      </c>
      <c r="Q71" s="10">
        <f>TBLPRODUKKELUARJULI[[#This Row],[MODAL]]*TBLPRODUKKELUARJULI[[#This Row],[JUMLAH TERJUAL]]</f>
        <v>18576.57894736842</v>
      </c>
      <c r="R71" s="10">
        <f>TBLPRODUKKELUARJULI[[#This Row],[BUDGET KOMISI]]*TBLPRODUKKELUARJULI[[#This Row],[JUMLAH TERJUAL]]</f>
        <v>1857.6578947368421</v>
      </c>
      <c r="S71" s="10">
        <f>TBLPRODUKKELUARJULI[[#This Row],[MODAL DITAMBAH BUDGET KOMISI]]*TBLPRODUKKELUARJULI[[#This Row],[JUMLAH TERJUAL]]</f>
        <v>20434.23684210526</v>
      </c>
      <c r="T71" s="10">
        <f>TBLPRODUKKELUARJULI[[#This Row],[HARGA JUAL]]*TBLPRODUKKELUARJULI[[#This Row],[JUMLAH TERJUAL]]</f>
        <v>27000</v>
      </c>
      <c r="U71" s="10">
        <f>TBLPRODUKKELUARJULI[[#This Row],[SELISIH]]*TBLPRODUKKELUARJULI[[#This Row],[JUMLAH TERJUAL]]</f>
        <v>6565.7631578947385</v>
      </c>
      <c r="V71" s="10">
        <f>TBLPRODUKKELUARJULI[[#This Row],[LABA MITRA 8 %]]*TBLPRODUKKELUARJULI[[#This Row],[JUMLAH TERJUAL]]</f>
        <v>928.82894736842104</v>
      </c>
      <c r="W71" s="10">
        <f>TBLPRODUKKELUARJULI[[#This Row],[LABA KIRIM 8 %]]*TBLPRODUKKELUARJULI[[#This Row],[JUMLAH TERKIRIM]]</f>
        <v>928.82894736842104</v>
      </c>
      <c r="X71" s="10">
        <f>TBLPRODUKKELUARJULI[[#This Row],[TOTAL LABA MITRA 5%]]+TBLPRODUKKELUARJULI[[#This Row],[TOTAL LABA KIRIM 5%]]</f>
        <v>1857.6578947368421</v>
      </c>
      <c r="Y71" s="10">
        <f>TBLPRODUKKELUARJULI[[#This Row],[LABA BERSIH TOKO]]*TBLPRODUKKELUARJULI[[#This Row],[JUMLAH TERJUAL]]</f>
        <v>6565.7631578947385</v>
      </c>
    </row>
    <row r="72" spans="1:25" x14ac:dyDescent="0.3">
      <c r="A72" s="4">
        <v>2026</v>
      </c>
      <c r="B72" s="15" t="s">
        <v>590</v>
      </c>
      <c r="C72" s="254">
        <v>46221</v>
      </c>
      <c r="D72" s="3" t="s">
        <v>373</v>
      </c>
      <c r="E72" s="253" t="s">
        <v>446</v>
      </c>
      <c r="F72" s="3" t="str">
        <f>VLOOKUP(TBLPRODUKKELUARJULI[[#This Row],[NAMA CUSTOMER]],TBLDATACUSTOMER[],4,FALSE)</f>
        <v>RIA</v>
      </c>
      <c r="G72" s="5">
        <f>VLOOKUP(TBLPRODUKKELUARJULI[[#This Row],[NAMA PRODUK]],TBLKATALOG[],2,FALSE)</f>
        <v>6122.1929824561403</v>
      </c>
      <c r="H72" s="5">
        <f>VLOOKUP(TBLPRODUKKELUARJULI[[#This Row],[NAMA PRODUK]],TBLKATALOG[],3,FALSE)</f>
        <v>612.21929824561403</v>
      </c>
      <c r="I72" s="5">
        <f>VLOOKUP(TBLPRODUKKELUARJULI[[#This Row],[NAMA PRODUK]],TBLKATALOG[],4,FALSE)</f>
        <v>6734.4122807017538</v>
      </c>
      <c r="J72" s="5">
        <f>VLOOKUP(TBLPRODUKKELUARJULI[[#This Row],[NAMA PRODUK]],TBLKATALOG[],5,FALSE)</f>
        <v>9000</v>
      </c>
      <c r="K72" s="10">
        <f>VLOOKUP(TBLPRODUKKELUARJULI[[#This Row],[NAMA PRODUK]],TBLKATALOG[],6,FALSE)</f>
        <v>2265.5877192982462</v>
      </c>
      <c r="L72" s="10">
        <f>VLOOKUP(TBLPRODUKKELUARJULI[[#This Row],[NAMA PRODUK]],TBLKATALOG[],7,FALSE)</f>
        <v>306.10964912280701</v>
      </c>
      <c r="M72" s="10">
        <f>VLOOKUP(TBLPRODUKKELUARJULI[[#This Row],[NAMA PRODUK]],TBLKATALOG[],8,FALSE)</f>
        <v>306.10964912280701</v>
      </c>
      <c r="N72" s="10">
        <f>VLOOKUP(TBLPRODUKKELUARJULI[[#This Row],[NAMA PRODUK]],TBLKATALOG[],9,FALSE)</f>
        <v>2265.5877192982462</v>
      </c>
      <c r="O72" s="10">
        <v>1</v>
      </c>
      <c r="P72" s="10">
        <v>1</v>
      </c>
      <c r="Q72" s="10">
        <f>TBLPRODUKKELUARJULI[[#This Row],[MODAL]]*TBLPRODUKKELUARJULI[[#This Row],[JUMLAH TERJUAL]]</f>
        <v>6122.1929824561403</v>
      </c>
      <c r="R72" s="10">
        <f>TBLPRODUKKELUARJULI[[#This Row],[BUDGET KOMISI]]*TBLPRODUKKELUARJULI[[#This Row],[JUMLAH TERJUAL]]</f>
        <v>612.21929824561403</v>
      </c>
      <c r="S72" s="10">
        <f>TBLPRODUKKELUARJULI[[#This Row],[MODAL DITAMBAH BUDGET KOMISI]]*TBLPRODUKKELUARJULI[[#This Row],[JUMLAH TERJUAL]]</f>
        <v>6734.4122807017538</v>
      </c>
      <c r="T72" s="10">
        <f>TBLPRODUKKELUARJULI[[#This Row],[HARGA JUAL]]*TBLPRODUKKELUARJULI[[#This Row],[JUMLAH TERJUAL]]</f>
        <v>9000</v>
      </c>
      <c r="U72" s="10">
        <f>TBLPRODUKKELUARJULI[[#This Row],[SELISIH]]*TBLPRODUKKELUARJULI[[#This Row],[JUMLAH TERJUAL]]</f>
        <v>2265.5877192982462</v>
      </c>
      <c r="V72" s="10">
        <f>TBLPRODUKKELUARJULI[[#This Row],[LABA MITRA 8 %]]*TBLPRODUKKELUARJULI[[#This Row],[JUMLAH TERJUAL]]</f>
        <v>306.10964912280701</v>
      </c>
      <c r="W72" s="10">
        <f>TBLPRODUKKELUARJULI[[#This Row],[LABA KIRIM 8 %]]*TBLPRODUKKELUARJULI[[#This Row],[JUMLAH TERKIRIM]]</f>
        <v>306.10964912280701</v>
      </c>
      <c r="X72" s="10">
        <f>TBLPRODUKKELUARJULI[[#This Row],[TOTAL LABA MITRA 5%]]+TBLPRODUKKELUARJULI[[#This Row],[TOTAL LABA KIRIM 5%]]</f>
        <v>612.21929824561403</v>
      </c>
      <c r="Y72" s="10">
        <f>TBLPRODUKKELUARJULI[[#This Row],[LABA BERSIH TOKO]]*TBLPRODUKKELUARJULI[[#This Row],[JUMLAH TERJUAL]]</f>
        <v>2265.5877192982462</v>
      </c>
    </row>
    <row r="73" spans="1:25" x14ac:dyDescent="0.3">
      <c r="A73" s="4">
        <v>2026</v>
      </c>
      <c r="B73" s="15" t="s">
        <v>590</v>
      </c>
      <c r="C73" s="254">
        <v>46221</v>
      </c>
      <c r="D73" s="3" t="s">
        <v>393</v>
      </c>
      <c r="E73" s="253" t="s">
        <v>450</v>
      </c>
      <c r="F73" s="3" t="str">
        <f>VLOOKUP(TBLPRODUKKELUARJULI[[#This Row],[NAMA CUSTOMER]],TBLDATACUSTOMER[],4,FALSE)</f>
        <v>QEQEL</v>
      </c>
      <c r="G73" s="5">
        <f>VLOOKUP(TBLPRODUKKELUARJULI[[#This Row],[NAMA PRODUK]],TBLKATALOG[],2,FALSE)</f>
        <v>29661.797448165868</v>
      </c>
      <c r="H73" s="5">
        <f>VLOOKUP(TBLPRODUKKELUARJULI[[#This Row],[NAMA PRODUK]],TBLKATALOG[],3,FALSE)</f>
        <v>2966.1797448165871</v>
      </c>
      <c r="I73" s="5">
        <f>VLOOKUP(TBLPRODUKKELUARJULI[[#This Row],[NAMA PRODUK]],TBLKATALOG[],4,FALSE)</f>
        <v>32627.977192982456</v>
      </c>
      <c r="J73" s="5">
        <f>VLOOKUP(TBLPRODUKKELUARJULI[[#This Row],[NAMA PRODUK]],TBLKATALOG[],5,FALSE)</f>
        <v>40000</v>
      </c>
      <c r="K73" s="10">
        <f>VLOOKUP(TBLPRODUKKELUARJULI[[#This Row],[NAMA PRODUK]],TBLKATALOG[],6,FALSE)</f>
        <v>7372.0228070175435</v>
      </c>
      <c r="L73" s="10">
        <f>VLOOKUP(TBLPRODUKKELUARJULI[[#This Row],[NAMA PRODUK]],TBLKATALOG[],7,FALSE)</f>
        <v>1483.0898724082936</v>
      </c>
      <c r="M73" s="10">
        <f>VLOOKUP(TBLPRODUKKELUARJULI[[#This Row],[NAMA PRODUK]],TBLKATALOG[],8,FALSE)</f>
        <v>1483.0898724082936</v>
      </c>
      <c r="N73" s="10">
        <f>VLOOKUP(TBLPRODUKKELUARJULI[[#This Row],[NAMA PRODUK]],TBLKATALOG[],9,FALSE)</f>
        <v>7372.0228070175435</v>
      </c>
      <c r="O73" s="10">
        <v>1</v>
      </c>
      <c r="P73" s="10">
        <v>1</v>
      </c>
      <c r="Q73" s="10">
        <f>TBLPRODUKKELUARJULI[[#This Row],[MODAL]]*TBLPRODUKKELUARJULI[[#This Row],[JUMLAH TERJUAL]]</f>
        <v>29661.797448165868</v>
      </c>
      <c r="R73" s="10">
        <f>TBLPRODUKKELUARJULI[[#This Row],[BUDGET KOMISI]]*TBLPRODUKKELUARJULI[[#This Row],[JUMLAH TERJUAL]]</f>
        <v>2966.1797448165871</v>
      </c>
      <c r="S73" s="10">
        <f>TBLPRODUKKELUARJULI[[#This Row],[MODAL DITAMBAH BUDGET KOMISI]]*TBLPRODUKKELUARJULI[[#This Row],[JUMLAH TERJUAL]]</f>
        <v>32627.977192982456</v>
      </c>
      <c r="T73" s="10">
        <f>TBLPRODUKKELUARJULI[[#This Row],[HARGA JUAL]]*TBLPRODUKKELUARJULI[[#This Row],[JUMLAH TERJUAL]]</f>
        <v>40000</v>
      </c>
      <c r="U73" s="10">
        <f>TBLPRODUKKELUARJULI[[#This Row],[SELISIH]]*TBLPRODUKKELUARJULI[[#This Row],[JUMLAH TERJUAL]]</f>
        <v>7372.0228070175435</v>
      </c>
      <c r="V73" s="10">
        <f>TBLPRODUKKELUARJULI[[#This Row],[LABA MITRA 8 %]]*TBLPRODUKKELUARJULI[[#This Row],[JUMLAH TERJUAL]]</f>
        <v>1483.0898724082936</v>
      </c>
      <c r="W73" s="10">
        <f>TBLPRODUKKELUARJULI[[#This Row],[LABA KIRIM 8 %]]*TBLPRODUKKELUARJULI[[#This Row],[JUMLAH TERKIRIM]]</f>
        <v>1483.0898724082936</v>
      </c>
      <c r="X73" s="10">
        <f>TBLPRODUKKELUARJULI[[#This Row],[TOTAL LABA MITRA 5%]]+TBLPRODUKKELUARJULI[[#This Row],[TOTAL LABA KIRIM 5%]]</f>
        <v>2966.1797448165871</v>
      </c>
      <c r="Y73" s="10">
        <f>TBLPRODUKKELUARJULI[[#This Row],[LABA BERSIH TOKO]]*TBLPRODUKKELUARJULI[[#This Row],[JUMLAH TERJUAL]]</f>
        <v>7372.0228070175435</v>
      </c>
    </row>
    <row r="74" spans="1:25" x14ac:dyDescent="0.3">
      <c r="A74" s="4">
        <v>2026</v>
      </c>
      <c r="B74" s="15" t="s">
        <v>590</v>
      </c>
      <c r="C74" s="254">
        <v>46221</v>
      </c>
      <c r="D74" s="3" t="s">
        <v>404</v>
      </c>
      <c r="E74" s="253" t="s">
        <v>450</v>
      </c>
      <c r="F74" s="3" t="str">
        <f>VLOOKUP(TBLPRODUKKELUARJULI[[#This Row],[NAMA CUSTOMER]],TBLDATACUSTOMER[],4,FALSE)</f>
        <v>QEQEL</v>
      </c>
      <c r="G74" s="5">
        <f>VLOOKUP(TBLPRODUKKELUARJULI[[#This Row],[NAMA PRODUK]],TBLKATALOG[],2,FALSE)</f>
        <v>47030.850079744814</v>
      </c>
      <c r="H74" s="5">
        <f>VLOOKUP(TBLPRODUKKELUARJULI[[#This Row],[NAMA PRODUK]],TBLKATALOG[],3,FALSE)</f>
        <v>4703.0850079744814</v>
      </c>
      <c r="I74" s="5">
        <f>VLOOKUP(TBLPRODUKKELUARJULI[[#This Row],[NAMA PRODUK]],TBLKATALOG[],4,FALSE)</f>
        <v>51733.935087719292</v>
      </c>
      <c r="J74" s="5">
        <f>VLOOKUP(TBLPRODUKKELUARJULI[[#This Row],[NAMA PRODUK]],TBLKATALOG[],5,FALSE)</f>
        <v>60000</v>
      </c>
      <c r="K74" s="10">
        <f>VLOOKUP(TBLPRODUKKELUARJULI[[#This Row],[NAMA PRODUK]],TBLKATALOG[],6,FALSE)</f>
        <v>8266.0649122807081</v>
      </c>
      <c r="L74" s="10">
        <f>VLOOKUP(TBLPRODUKKELUARJULI[[#This Row],[NAMA PRODUK]],TBLKATALOG[],7,FALSE)</f>
        <v>2351.5425039872407</v>
      </c>
      <c r="M74" s="10">
        <f>VLOOKUP(TBLPRODUKKELUARJULI[[#This Row],[NAMA PRODUK]],TBLKATALOG[],8,FALSE)</f>
        <v>2351.5425039872407</v>
      </c>
      <c r="N74" s="10">
        <f>VLOOKUP(TBLPRODUKKELUARJULI[[#This Row],[NAMA PRODUK]],TBLKATALOG[],9,FALSE)</f>
        <v>8266.0649122807081</v>
      </c>
      <c r="O74" s="10">
        <v>1</v>
      </c>
      <c r="P74" s="10">
        <v>1</v>
      </c>
      <c r="Q74" s="10">
        <f>TBLPRODUKKELUARJULI[[#This Row],[MODAL]]*TBLPRODUKKELUARJULI[[#This Row],[JUMLAH TERJUAL]]</f>
        <v>47030.850079744814</v>
      </c>
      <c r="R74" s="10">
        <f>TBLPRODUKKELUARJULI[[#This Row],[BUDGET KOMISI]]*TBLPRODUKKELUARJULI[[#This Row],[JUMLAH TERJUAL]]</f>
        <v>4703.0850079744814</v>
      </c>
      <c r="S74" s="10">
        <f>TBLPRODUKKELUARJULI[[#This Row],[MODAL DITAMBAH BUDGET KOMISI]]*TBLPRODUKKELUARJULI[[#This Row],[JUMLAH TERJUAL]]</f>
        <v>51733.935087719292</v>
      </c>
      <c r="T74" s="10">
        <f>TBLPRODUKKELUARJULI[[#This Row],[HARGA JUAL]]*TBLPRODUKKELUARJULI[[#This Row],[JUMLAH TERJUAL]]</f>
        <v>60000</v>
      </c>
      <c r="U74" s="10">
        <f>TBLPRODUKKELUARJULI[[#This Row],[SELISIH]]*TBLPRODUKKELUARJULI[[#This Row],[JUMLAH TERJUAL]]</f>
        <v>8266.0649122807081</v>
      </c>
      <c r="V74" s="10">
        <f>TBLPRODUKKELUARJULI[[#This Row],[LABA MITRA 8 %]]*TBLPRODUKKELUARJULI[[#This Row],[JUMLAH TERJUAL]]</f>
        <v>2351.5425039872407</v>
      </c>
      <c r="W74" s="10">
        <f>TBLPRODUKKELUARJULI[[#This Row],[LABA KIRIM 8 %]]*TBLPRODUKKELUARJULI[[#This Row],[JUMLAH TERKIRIM]]</f>
        <v>2351.5425039872407</v>
      </c>
      <c r="X74" s="10">
        <f>TBLPRODUKKELUARJULI[[#This Row],[TOTAL LABA MITRA 5%]]+TBLPRODUKKELUARJULI[[#This Row],[TOTAL LABA KIRIM 5%]]</f>
        <v>4703.0850079744814</v>
      </c>
      <c r="Y74" s="10">
        <f>TBLPRODUKKELUARJULI[[#This Row],[LABA BERSIH TOKO]]*TBLPRODUKKELUARJULI[[#This Row],[JUMLAH TERJUAL]]</f>
        <v>8266.0649122807081</v>
      </c>
    </row>
    <row r="75" spans="1:25" x14ac:dyDescent="0.3">
      <c r="A75" s="4">
        <v>2026</v>
      </c>
      <c r="B75" s="15" t="s">
        <v>590</v>
      </c>
      <c r="C75" s="254">
        <v>46222</v>
      </c>
      <c r="D75" s="3" t="s">
        <v>374</v>
      </c>
      <c r="E75" s="253" t="s">
        <v>446</v>
      </c>
      <c r="F75" s="3" t="str">
        <f>VLOOKUP(TBLPRODUKKELUARJULI[[#This Row],[NAMA CUSTOMER]],TBLDATACUSTOMER[],4,FALSE)</f>
        <v>RIA</v>
      </c>
      <c r="G75" s="5">
        <f>VLOOKUP(TBLPRODUKKELUARJULI[[#This Row],[NAMA PRODUK]],TBLKATALOG[],2,FALSE)</f>
        <v>6192.1929824561403</v>
      </c>
      <c r="H75" s="5">
        <f>VLOOKUP(TBLPRODUKKELUARJULI[[#This Row],[NAMA PRODUK]],TBLKATALOG[],3,FALSE)</f>
        <v>619.21929824561403</v>
      </c>
      <c r="I75" s="5">
        <f>VLOOKUP(TBLPRODUKKELUARJULI[[#This Row],[NAMA PRODUK]],TBLKATALOG[],4,FALSE)</f>
        <v>6811.4122807017538</v>
      </c>
      <c r="J75" s="5">
        <f>VLOOKUP(TBLPRODUKKELUARJULI[[#This Row],[NAMA PRODUK]],TBLKATALOG[],5,FALSE)</f>
        <v>9000</v>
      </c>
      <c r="K75" s="10">
        <f>VLOOKUP(TBLPRODUKKELUARJULI[[#This Row],[NAMA PRODUK]],TBLKATALOG[],6,FALSE)</f>
        <v>2188.5877192982462</v>
      </c>
      <c r="L75" s="10">
        <f>VLOOKUP(TBLPRODUKKELUARJULI[[#This Row],[NAMA PRODUK]],TBLKATALOG[],7,FALSE)</f>
        <v>309.60964912280701</v>
      </c>
      <c r="M75" s="10">
        <f>VLOOKUP(TBLPRODUKKELUARJULI[[#This Row],[NAMA PRODUK]],TBLKATALOG[],8,FALSE)</f>
        <v>309.60964912280701</v>
      </c>
      <c r="N75" s="10">
        <f>VLOOKUP(TBLPRODUKKELUARJULI[[#This Row],[NAMA PRODUK]],TBLKATALOG[],9,FALSE)</f>
        <v>2188.5877192982462</v>
      </c>
      <c r="O75" s="10">
        <v>3</v>
      </c>
      <c r="P75" s="10">
        <v>3</v>
      </c>
      <c r="Q75" s="10">
        <f>TBLPRODUKKELUARJULI[[#This Row],[MODAL]]*TBLPRODUKKELUARJULI[[#This Row],[JUMLAH TERJUAL]]</f>
        <v>18576.57894736842</v>
      </c>
      <c r="R75" s="10">
        <f>TBLPRODUKKELUARJULI[[#This Row],[BUDGET KOMISI]]*TBLPRODUKKELUARJULI[[#This Row],[JUMLAH TERJUAL]]</f>
        <v>1857.6578947368421</v>
      </c>
      <c r="S75" s="10">
        <f>TBLPRODUKKELUARJULI[[#This Row],[MODAL DITAMBAH BUDGET KOMISI]]*TBLPRODUKKELUARJULI[[#This Row],[JUMLAH TERJUAL]]</f>
        <v>20434.23684210526</v>
      </c>
      <c r="T75" s="10">
        <f>TBLPRODUKKELUARJULI[[#This Row],[HARGA JUAL]]*TBLPRODUKKELUARJULI[[#This Row],[JUMLAH TERJUAL]]</f>
        <v>27000</v>
      </c>
      <c r="U75" s="10">
        <f>TBLPRODUKKELUARJULI[[#This Row],[SELISIH]]*TBLPRODUKKELUARJULI[[#This Row],[JUMLAH TERJUAL]]</f>
        <v>6565.7631578947385</v>
      </c>
      <c r="V75" s="10">
        <f>TBLPRODUKKELUARJULI[[#This Row],[LABA MITRA 8 %]]*TBLPRODUKKELUARJULI[[#This Row],[JUMLAH TERJUAL]]</f>
        <v>928.82894736842104</v>
      </c>
      <c r="W75" s="10">
        <f>TBLPRODUKKELUARJULI[[#This Row],[LABA KIRIM 8 %]]*TBLPRODUKKELUARJULI[[#This Row],[JUMLAH TERKIRIM]]</f>
        <v>928.82894736842104</v>
      </c>
      <c r="X75" s="10">
        <f>TBLPRODUKKELUARJULI[[#This Row],[TOTAL LABA MITRA 5%]]+TBLPRODUKKELUARJULI[[#This Row],[TOTAL LABA KIRIM 5%]]</f>
        <v>1857.6578947368421</v>
      </c>
      <c r="Y75" s="10">
        <f>TBLPRODUKKELUARJULI[[#This Row],[LABA BERSIH TOKO]]*TBLPRODUKKELUARJULI[[#This Row],[JUMLAH TERJUAL]]</f>
        <v>6565.7631578947385</v>
      </c>
    </row>
    <row r="76" spans="1:25" x14ac:dyDescent="0.3">
      <c r="A76" s="4">
        <v>2026</v>
      </c>
      <c r="B76" s="15" t="s">
        <v>590</v>
      </c>
      <c r="C76" s="254">
        <v>46222</v>
      </c>
      <c r="D76" s="3" t="s">
        <v>373</v>
      </c>
      <c r="E76" s="253" t="s">
        <v>446</v>
      </c>
      <c r="F76" s="3" t="str">
        <f>VLOOKUP(TBLPRODUKKELUARJULI[[#This Row],[NAMA CUSTOMER]],TBLDATACUSTOMER[],4,FALSE)</f>
        <v>RIA</v>
      </c>
      <c r="G76" s="5">
        <f>VLOOKUP(TBLPRODUKKELUARJULI[[#This Row],[NAMA PRODUK]],TBLKATALOG[],2,FALSE)</f>
        <v>6122.1929824561403</v>
      </c>
      <c r="H76" s="5">
        <f>VLOOKUP(TBLPRODUKKELUARJULI[[#This Row],[NAMA PRODUK]],TBLKATALOG[],3,FALSE)</f>
        <v>612.21929824561403</v>
      </c>
      <c r="I76" s="5">
        <f>VLOOKUP(TBLPRODUKKELUARJULI[[#This Row],[NAMA PRODUK]],TBLKATALOG[],4,FALSE)</f>
        <v>6734.4122807017538</v>
      </c>
      <c r="J76" s="5">
        <f>VLOOKUP(TBLPRODUKKELUARJULI[[#This Row],[NAMA PRODUK]],TBLKATALOG[],5,FALSE)</f>
        <v>9000</v>
      </c>
      <c r="K76" s="10">
        <f>VLOOKUP(TBLPRODUKKELUARJULI[[#This Row],[NAMA PRODUK]],TBLKATALOG[],6,FALSE)</f>
        <v>2265.5877192982462</v>
      </c>
      <c r="L76" s="10">
        <f>VLOOKUP(TBLPRODUKKELUARJULI[[#This Row],[NAMA PRODUK]],TBLKATALOG[],7,FALSE)</f>
        <v>306.10964912280701</v>
      </c>
      <c r="M76" s="10">
        <f>VLOOKUP(TBLPRODUKKELUARJULI[[#This Row],[NAMA PRODUK]],TBLKATALOG[],8,FALSE)</f>
        <v>306.10964912280701</v>
      </c>
      <c r="N76" s="10">
        <f>VLOOKUP(TBLPRODUKKELUARJULI[[#This Row],[NAMA PRODUK]],TBLKATALOG[],9,FALSE)</f>
        <v>2265.5877192982462</v>
      </c>
      <c r="O76" s="10">
        <v>1</v>
      </c>
      <c r="P76" s="10">
        <v>1</v>
      </c>
      <c r="Q76" s="10">
        <f>TBLPRODUKKELUARJULI[[#This Row],[MODAL]]*TBLPRODUKKELUARJULI[[#This Row],[JUMLAH TERJUAL]]</f>
        <v>6122.1929824561403</v>
      </c>
      <c r="R76" s="10">
        <f>TBLPRODUKKELUARJULI[[#This Row],[BUDGET KOMISI]]*TBLPRODUKKELUARJULI[[#This Row],[JUMLAH TERJUAL]]</f>
        <v>612.21929824561403</v>
      </c>
      <c r="S76" s="10">
        <f>TBLPRODUKKELUARJULI[[#This Row],[MODAL DITAMBAH BUDGET KOMISI]]*TBLPRODUKKELUARJULI[[#This Row],[JUMLAH TERJUAL]]</f>
        <v>6734.4122807017538</v>
      </c>
      <c r="T76" s="10">
        <f>TBLPRODUKKELUARJULI[[#This Row],[HARGA JUAL]]*TBLPRODUKKELUARJULI[[#This Row],[JUMLAH TERJUAL]]</f>
        <v>9000</v>
      </c>
      <c r="U76" s="10">
        <f>TBLPRODUKKELUARJULI[[#This Row],[SELISIH]]*TBLPRODUKKELUARJULI[[#This Row],[JUMLAH TERJUAL]]</f>
        <v>2265.5877192982462</v>
      </c>
      <c r="V76" s="10">
        <f>TBLPRODUKKELUARJULI[[#This Row],[LABA MITRA 8 %]]*TBLPRODUKKELUARJULI[[#This Row],[JUMLAH TERJUAL]]</f>
        <v>306.10964912280701</v>
      </c>
      <c r="W76" s="10">
        <f>TBLPRODUKKELUARJULI[[#This Row],[LABA KIRIM 8 %]]*TBLPRODUKKELUARJULI[[#This Row],[JUMLAH TERKIRIM]]</f>
        <v>306.10964912280701</v>
      </c>
      <c r="X76" s="10">
        <f>TBLPRODUKKELUARJULI[[#This Row],[TOTAL LABA MITRA 5%]]+TBLPRODUKKELUARJULI[[#This Row],[TOTAL LABA KIRIM 5%]]</f>
        <v>612.21929824561403</v>
      </c>
      <c r="Y76" s="10">
        <f>TBLPRODUKKELUARJULI[[#This Row],[LABA BERSIH TOKO]]*TBLPRODUKKELUARJULI[[#This Row],[JUMLAH TERJUAL]]</f>
        <v>2265.5877192982462</v>
      </c>
    </row>
    <row r="77" spans="1:25" x14ac:dyDescent="0.3">
      <c r="A77" s="4">
        <v>2026</v>
      </c>
      <c r="B77" s="15" t="s">
        <v>590</v>
      </c>
      <c r="C77" s="254">
        <v>46223</v>
      </c>
      <c r="D77" s="3" t="s">
        <v>374</v>
      </c>
      <c r="E77" s="253" t="s">
        <v>446</v>
      </c>
      <c r="F77" s="3" t="str">
        <f>VLOOKUP(TBLPRODUKKELUARJULI[[#This Row],[NAMA CUSTOMER]],TBLDATACUSTOMER[],4,FALSE)</f>
        <v>RIA</v>
      </c>
      <c r="G77" s="5">
        <f>VLOOKUP(TBLPRODUKKELUARJULI[[#This Row],[NAMA PRODUK]],TBLKATALOG[],2,FALSE)</f>
        <v>6192.1929824561403</v>
      </c>
      <c r="H77" s="5">
        <f>VLOOKUP(TBLPRODUKKELUARJULI[[#This Row],[NAMA PRODUK]],TBLKATALOG[],3,FALSE)</f>
        <v>619.21929824561403</v>
      </c>
      <c r="I77" s="5">
        <f>VLOOKUP(TBLPRODUKKELUARJULI[[#This Row],[NAMA PRODUK]],TBLKATALOG[],4,FALSE)</f>
        <v>6811.4122807017538</v>
      </c>
      <c r="J77" s="5">
        <f>VLOOKUP(TBLPRODUKKELUARJULI[[#This Row],[NAMA PRODUK]],TBLKATALOG[],5,FALSE)</f>
        <v>9000</v>
      </c>
      <c r="K77" s="10">
        <f>VLOOKUP(TBLPRODUKKELUARJULI[[#This Row],[NAMA PRODUK]],TBLKATALOG[],6,FALSE)</f>
        <v>2188.5877192982462</v>
      </c>
      <c r="L77" s="10">
        <f>VLOOKUP(TBLPRODUKKELUARJULI[[#This Row],[NAMA PRODUK]],TBLKATALOG[],7,FALSE)</f>
        <v>309.60964912280701</v>
      </c>
      <c r="M77" s="10">
        <f>VLOOKUP(TBLPRODUKKELUARJULI[[#This Row],[NAMA PRODUK]],TBLKATALOG[],8,FALSE)</f>
        <v>309.60964912280701</v>
      </c>
      <c r="N77" s="10">
        <f>VLOOKUP(TBLPRODUKKELUARJULI[[#This Row],[NAMA PRODUK]],TBLKATALOG[],9,FALSE)</f>
        <v>2188.5877192982462</v>
      </c>
      <c r="O77" s="10">
        <v>5</v>
      </c>
      <c r="P77" s="10">
        <v>5</v>
      </c>
      <c r="Q77" s="10">
        <f>TBLPRODUKKELUARJULI[[#This Row],[MODAL]]*TBLPRODUKKELUARJULI[[#This Row],[JUMLAH TERJUAL]]</f>
        <v>30960.964912280702</v>
      </c>
      <c r="R77" s="10">
        <f>TBLPRODUKKELUARJULI[[#This Row],[BUDGET KOMISI]]*TBLPRODUKKELUARJULI[[#This Row],[JUMLAH TERJUAL]]</f>
        <v>3096.0964912280701</v>
      </c>
      <c r="S77" s="10">
        <f>TBLPRODUKKELUARJULI[[#This Row],[MODAL DITAMBAH BUDGET KOMISI]]*TBLPRODUKKELUARJULI[[#This Row],[JUMLAH TERJUAL]]</f>
        <v>34057.061403508771</v>
      </c>
      <c r="T77" s="10">
        <f>TBLPRODUKKELUARJULI[[#This Row],[HARGA JUAL]]*TBLPRODUKKELUARJULI[[#This Row],[JUMLAH TERJUAL]]</f>
        <v>45000</v>
      </c>
      <c r="U77" s="10">
        <f>TBLPRODUKKELUARJULI[[#This Row],[SELISIH]]*TBLPRODUKKELUARJULI[[#This Row],[JUMLAH TERJUAL]]</f>
        <v>10942.938596491231</v>
      </c>
      <c r="V77" s="10">
        <f>TBLPRODUKKELUARJULI[[#This Row],[LABA MITRA 8 %]]*TBLPRODUKKELUARJULI[[#This Row],[JUMLAH TERJUAL]]</f>
        <v>1548.0482456140351</v>
      </c>
      <c r="W77" s="10">
        <f>TBLPRODUKKELUARJULI[[#This Row],[LABA KIRIM 8 %]]*TBLPRODUKKELUARJULI[[#This Row],[JUMLAH TERKIRIM]]</f>
        <v>1548.0482456140351</v>
      </c>
      <c r="X77" s="10">
        <f>TBLPRODUKKELUARJULI[[#This Row],[TOTAL LABA MITRA 5%]]+TBLPRODUKKELUARJULI[[#This Row],[TOTAL LABA KIRIM 5%]]</f>
        <v>3096.0964912280701</v>
      </c>
      <c r="Y77" s="10">
        <f>TBLPRODUKKELUARJULI[[#This Row],[LABA BERSIH TOKO]]*TBLPRODUKKELUARJULI[[#This Row],[JUMLAH TERJUAL]]</f>
        <v>10942.938596491231</v>
      </c>
    </row>
    <row r="78" spans="1:25" x14ac:dyDescent="0.3">
      <c r="A78" s="4">
        <v>2026</v>
      </c>
      <c r="B78" s="15" t="s">
        <v>590</v>
      </c>
      <c r="C78" s="254">
        <v>46223</v>
      </c>
      <c r="D78" s="3" t="s">
        <v>373</v>
      </c>
      <c r="E78" s="253" t="s">
        <v>446</v>
      </c>
      <c r="F78" s="3" t="str">
        <f>VLOOKUP(TBLPRODUKKELUARJULI[[#This Row],[NAMA CUSTOMER]],TBLDATACUSTOMER[],4,FALSE)</f>
        <v>RIA</v>
      </c>
      <c r="G78" s="5">
        <f>VLOOKUP(TBLPRODUKKELUARJULI[[#This Row],[NAMA PRODUK]],TBLKATALOG[],2,FALSE)</f>
        <v>6122.1929824561403</v>
      </c>
      <c r="H78" s="5">
        <f>VLOOKUP(TBLPRODUKKELUARJULI[[#This Row],[NAMA PRODUK]],TBLKATALOG[],3,FALSE)</f>
        <v>612.21929824561403</v>
      </c>
      <c r="I78" s="5">
        <f>VLOOKUP(TBLPRODUKKELUARJULI[[#This Row],[NAMA PRODUK]],TBLKATALOG[],4,FALSE)</f>
        <v>6734.4122807017538</v>
      </c>
      <c r="J78" s="5">
        <f>VLOOKUP(TBLPRODUKKELUARJULI[[#This Row],[NAMA PRODUK]],TBLKATALOG[],5,FALSE)</f>
        <v>9000</v>
      </c>
      <c r="K78" s="10">
        <f>VLOOKUP(TBLPRODUKKELUARJULI[[#This Row],[NAMA PRODUK]],TBLKATALOG[],6,FALSE)</f>
        <v>2265.5877192982462</v>
      </c>
      <c r="L78" s="10">
        <f>VLOOKUP(TBLPRODUKKELUARJULI[[#This Row],[NAMA PRODUK]],TBLKATALOG[],7,FALSE)</f>
        <v>306.10964912280701</v>
      </c>
      <c r="M78" s="10">
        <f>VLOOKUP(TBLPRODUKKELUARJULI[[#This Row],[NAMA PRODUK]],TBLKATALOG[],8,FALSE)</f>
        <v>306.10964912280701</v>
      </c>
      <c r="N78" s="10">
        <f>VLOOKUP(TBLPRODUKKELUARJULI[[#This Row],[NAMA PRODUK]],TBLKATALOG[],9,FALSE)</f>
        <v>2265.5877192982462</v>
      </c>
      <c r="O78" s="10">
        <v>1</v>
      </c>
      <c r="P78" s="10">
        <v>1</v>
      </c>
      <c r="Q78" s="10">
        <f>TBLPRODUKKELUARJULI[[#This Row],[MODAL]]*TBLPRODUKKELUARJULI[[#This Row],[JUMLAH TERJUAL]]</f>
        <v>6122.1929824561403</v>
      </c>
      <c r="R78" s="10">
        <f>TBLPRODUKKELUARJULI[[#This Row],[BUDGET KOMISI]]*TBLPRODUKKELUARJULI[[#This Row],[JUMLAH TERJUAL]]</f>
        <v>612.21929824561403</v>
      </c>
      <c r="S78" s="10">
        <f>TBLPRODUKKELUARJULI[[#This Row],[MODAL DITAMBAH BUDGET KOMISI]]*TBLPRODUKKELUARJULI[[#This Row],[JUMLAH TERJUAL]]</f>
        <v>6734.4122807017538</v>
      </c>
      <c r="T78" s="10">
        <f>TBLPRODUKKELUARJULI[[#This Row],[HARGA JUAL]]*TBLPRODUKKELUARJULI[[#This Row],[JUMLAH TERJUAL]]</f>
        <v>9000</v>
      </c>
      <c r="U78" s="10">
        <f>TBLPRODUKKELUARJULI[[#This Row],[SELISIH]]*TBLPRODUKKELUARJULI[[#This Row],[JUMLAH TERJUAL]]</f>
        <v>2265.5877192982462</v>
      </c>
      <c r="V78" s="10">
        <f>TBLPRODUKKELUARJULI[[#This Row],[LABA MITRA 8 %]]*TBLPRODUKKELUARJULI[[#This Row],[JUMLAH TERJUAL]]</f>
        <v>306.10964912280701</v>
      </c>
      <c r="W78" s="10">
        <f>TBLPRODUKKELUARJULI[[#This Row],[LABA KIRIM 8 %]]*TBLPRODUKKELUARJULI[[#This Row],[JUMLAH TERKIRIM]]</f>
        <v>306.10964912280701</v>
      </c>
      <c r="X78" s="10">
        <f>TBLPRODUKKELUARJULI[[#This Row],[TOTAL LABA MITRA 5%]]+TBLPRODUKKELUARJULI[[#This Row],[TOTAL LABA KIRIM 5%]]</f>
        <v>612.21929824561403</v>
      </c>
      <c r="Y78" s="10">
        <f>TBLPRODUKKELUARJULI[[#This Row],[LABA BERSIH TOKO]]*TBLPRODUKKELUARJULI[[#This Row],[JUMLAH TERJUAL]]</f>
        <v>2265.5877192982462</v>
      </c>
    </row>
    <row r="79" spans="1:25" x14ac:dyDescent="0.3">
      <c r="A79" s="4">
        <v>2026</v>
      </c>
      <c r="B79" s="15" t="s">
        <v>590</v>
      </c>
      <c r="C79" s="254">
        <v>46223</v>
      </c>
      <c r="D79" s="3" t="s">
        <v>389</v>
      </c>
      <c r="E79" s="253" t="s">
        <v>450</v>
      </c>
      <c r="F79" s="3" t="str">
        <f>VLOOKUP(TBLPRODUKKELUARJULI[[#This Row],[NAMA CUSTOMER]],TBLDATACUSTOMER[],4,FALSE)</f>
        <v>QEQEL</v>
      </c>
      <c r="G79" s="5">
        <f>VLOOKUP(TBLPRODUKKELUARJULI[[#This Row],[NAMA PRODUK]],TBLKATALOG[],2,FALSE)</f>
        <v>74016.685805422647</v>
      </c>
      <c r="H79" s="5">
        <f>VLOOKUP(TBLPRODUKKELUARJULI[[#This Row],[NAMA PRODUK]],TBLKATALOG[],3,FALSE)</f>
        <v>7401.6685805422649</v>
      </c>
      <c r="I79" s="5">
        <f>VLOOKUP(TBLPRODUKKELUARJULI[[#This Row],[NAMA PRODUK]],TBLKATALOG[],4,FALSE)</f>
        <v>81418.354385964907</v>
      </c>
      <c r="J79" s="5">
        <f>VLOOKUP(TBLPRODUKKELUARJULI[[#This Row],[NAMA PRODUK]],TBLKATALOG[],5,FALSE)</f>
        <v>85000</v>
      </c>
      <c r="K79" s="10">
        <f>VLOOKUP(TBLPRODUKKELUARJULI[[#This Row],[NAMA PRODUK]],TBLKATALOG[],6,FALSE)</f>
        <v>3581.6456140350929</v>
      </c>
      <c r="L79" s="10">
        <f>VLOOKUP(TBLPRODUKKELUARJULI[[#This Row],[NAMA PRODUK]],TBLKATALOG[],7,FALSE)</f>
        <v>3700.8342902711324</v>
      </c>
      <c r="M79" s="10">
        <f>VLOOKUP(TBLPRODUKKELUARJULI[[#This Row],[NAMA PRODUK]],TBLKATALOG[],8,FALSE)</f>
        <v>3700.8342902711324</v>
      </c>
      <c r="N79" s="10">
        <f>VLOOKUP(TBLPRODUKKELUARJULI[[#This Row],[NAMA PRODUK]],TBLKATALOG[],9,FALSE)</f>
        <v>3581.6456140350929</v>
      </c>
      <c r="O79" s="10">
        <v>1</v>
      </c>
      <c r="P79" s="10">
        <v>1</v>
      </c>
      <c r="Q79" s="10">
        <f>TBLPRODUKKELUARJULI[[#This Row],[MODAL]]*TBLPRODUKKELUARJULI[[#This Row],[JUMLAH TERJUAL]]</f>
        <v>74016.685805422647</v>
      </c>
      <c r="R79" s="10">
        <f>TBLPRODUKKELUARJULI[[#This Row],[BUDGET KOMISI]]*TBLPRODUKKELUARJULI[[#This Row],[JUMLAH TERJUAL]]</f>
        <v>7401.6685805422649</v>
      </c>
      <c r="S79" s="10">
        <f>TBLPRODUKKELUARJULI[[#This Row],[MODAL DITAMBAH BUDGET KOMISI]]*TBLPRODUKKELUARJULI[[#This Row],[JUMLAH TERJUAL]]</f>
        <v>81418.354385964907</v>
      </c>
      <c r="T79" s="10">
        <f>TBLPRODUKKELUARJULI[[#This Row],[HARGA JUAL]]*TBLPRODUKKELUARJULI[[#This Row],[JUMLAH TERJUAL]]</f>
        <v>85000</v>
      </c>
      <c r="U79" s="10">
        <f>TBLPRODUKKELUARJULI[[#This Row],[SELISIH]]*TBLPRODUKKELUARJULI[[#This Row],[JUMLAH TERJUAL]]</f>
        <v>3581.6456140350929</v>
      </c>
      <c r="V79" s="10">
        <f>TBLPRODUKKELUARJULI[[#This Row],[LABA MITRA 8 %]]*TBLPRODUKKELUARJULI[[#This Row],[JUMLAH TERJUAL]]</f>
        <v>3700.8342902711324</v>
      </c>
      <c r="W79" s="10">
        <f>TBLPRODUKKELUARJULI[[#This Row],[LABA KIRIM 8 %]]*TBLPRODUKKELUARJULI[[#This Row],[JUMLAH TERKIRIM]]</f>
        <v>3700.8342902711324</v>
      </c>
      <c r="X79" s="10">
        <f>TBLPRODUKKELUARJULI[[#This Row],[TOTAL LABA MITRA 5%]]+TBLPRODUKKELUARJULI[[#This Row],[TOTAL LABA KIRIM 5%]]</f>
        <v>7401.6685805422649</v>
      </c>
      <c r="Y79" s="10">
        <f>TBLPRODUKKELUARJULI[[#This Row],[LABA BERSIH TOKO]]*TBLPRODUKKELUARJULI[[#This Row],[JUMLAH TERJUAL]]</f>
        <v>3581.6456140350929</v>
      </c>
    </row>
    <row r="80" spans="1:25" x14ac:dyDescent="0.3">
      <c r="A80" s="4">
        <v>2026</v>
      </c>
      <c r="B80" s="15" t="s">
        <v>590</v>
      </c>
      <c r="C80" s="254">
        <v>46226</v>
      </c>
      <c r="D80" s="3" t="s">
        <v>374</v>
      </c>
      <c r="E80" s="253" t="s">
        <v>446</v>
      </c>
      <c r="F80" s="3" t="str">
        <f>VLOOKUP(TBLPRODUKKELUARJULI[[#This Row],[NAMA CUSTOMER]],TBLDATACUSTOMER[],4,FALSE)</f>
        <v>RIA</v>
      </c>
      <c r="G80" s="5">
        <f>VLOOKUP(TBLPRODUKKELUARJULI[[#This Row],[NAMA PRODUK]],TBLKATALOG[],2,FALSE)</f>
        <v>6192.1929824561403</v>
      </c>
      <c r="H80" s="5">
        <f>VLOOKUP(TBLPRODUKKELUARJULI[[#This Row],[NAMA PRODUK]],TBLKATALOG[],3,FALSE)</f>
        <v>619.21929824561403</v>
      </c>
      <c r="I80" s="5">
        <f>VLOOKUP(TBLPRODUKKELUARJULI[[#This Row],[NAMA PRODUK]],TBLKATALOG[],4,FALSE)</f>
        <v>6811.4122807017538</v>
      </c>
      <c r="J80" s="5">
        <f>VLOOKUP(TBLPRODUKKELUARJULI[[#This Row],[NAMA PRODUK]],TBLKATALOG[],5,FALSE)</f>
        <v>9000</v>
      </c>
      <c r="K80" s="10">
        <f>VLOOKUP(TBLPRODUKKELUARJULI[[#This Row],[NAMA PRODUK]],TBLKATALOG[],6,FALSE)</f>
        <v>2188.5877192982462</v>
      </c>
      <c r="L80" s="10">
        <f>VLOOKUP(TBLPRODUKKELUARJULI[[#This Row],[NAMA PRODUK]],TBLKATALOG[],7,FALSE)</f>
        <v>309.60964912280701</v>
      </c>
      <c r="M80" s="10">
        <f>VLOOKUP(TBLPRODUKKELUARJULI[[#This Row],[NAMA PRODUK]],TBLKATALOG[],8,FALSE)</f>
        <v>309.60964912280701</v>
      </c>
      <c r="N80" s="10">
        <f>VLOOKUP(TBLPRODUKKELUARJULI[[#This Row],[NAMA PRODUK]],TBLKATALOG[],9,FALSE)</f>
        <v>2188.5877192982462</v>
      </c>
      <c r="O80" s="10">
        <v>2</v>
      </c>
      <c r="P80" s="10">
        <v>2</v>
      </c>
      <c r="Q80" s="10">
        <f>TBLPRODUKKELUARJULI[[#This Row],[MODAL]]*TBLPRODUKKELUARJULI[[#This Row],[JUMLAH TERJUAL]]</f>
        <v>12384.385964912281</v>
      </c>
      <c r="R80" s="10">
        <f>TBLPRODUKKELUARJULI[[#This Row],[BUDGET KOMISI]]*TBLPRODUKKELUARJULI[[#This Row],[JUMLAH TERJUAL]]</f>
        <v>1238.4385964912281</v>
      </c>
      <c r="S80" s="10">
        <f>TBLPRODUKKELUARJULI[[#This Row],[MODAL DITAMBAH BUDGET KOMISI]]*TBLPRODUKKELUARJULI[[#This Row],[JUMLAH TERJUAL]]</f>
        <v>13622.824561403508</v>
      </c>
      <c r="T80" s="10">
        <f>TBLPRODUKKELUARJULI[[#This Row],[HARGA JUAL]]*TBLPRODUKKELUARJULI[[#This Row],[JUMLAH TERJUAL]]</f>
        <v>18000</v>
      </c>
      <c r="U80" s="10">
        <f>TBLPRODUKKELUARJULI[[#This Row],[SELISIH]]*TBLPRODUKKELUARJULI[[#This Row],[JUMLAH TERJUAL]]</f>
        <v>4377.1754385964923</v>
      </c>
      <c r="V80" s="10">
        <f>TBLPRODUKKELUARJULI[[#This Row],[LABA MITRA 8 %]]*TBLPRODUKKELUARJULI[[#This Row],[JUMLAH TERJUAL]]</f>
        <v>619.21929824561403</v>
      </c>
      <c r="W80" s="10">
        <f>TBLPRODUKKELUARJULI[[#This Row],[LABA KIRIM 8 %]]*TBLPRODUKKELUARJULI[[#This Row],[JUMLAH TERKIRIM]]</f>
        <v>619.21929824561403</v>
      </c>
      <c r="X80" s="10">
        <f>TBLPRODUKKELUARJULI[[#This Row],[TOTAL LABA MITRA 5%]]+TBLPRODUKKELUARJULI[[#This Row],[TOTAL LABA KIRIM 5%]]</f>
        <v>1238.4385964912281</v>
      </c>
      <c r="Y80" s="10">
        <f>TBLPRODUKKELUARJULI[[#This Row],[LABA BERSIH TOKO]]*TBLPRODUKKELUARJULI[[#This Row],[JUMLAH TERJUAL]]</f>
        <v>4377.1754385964923</v>
      </c>
    </row>
    <row r="81" spans="1:25" x14ac:dyDescent="0.3">
      <c r="A81" s="4">
        <v>2026</v>
      </c>
      <c r="B81" s="15" t="s">
        <v>590</v>
      </c>
      <c r="C81" s="254">
        <v>46226</v>
      </c>
      <c r="D81" s="3" t="s">
        <v>373</v>
      </c>
      <c r="E81" s="253" t="s">
        <v>446</v>
      </c>
      <c r="F81" s="3" t="str">
        <f>VLOOKUP(TBLPRODUKKELUARJULI[[#This Row],[NAMA CUSTOMER]],TBLDATACUSTOMER[],4,FALSE)</f>
        <v>RIA</v>
      </c>
      <c r="G81" s="5">
        <f>VLOOKUP(TBLPRODUKKELUARJULI[[#This Row],[NAMA PRODUK]],TBLKATALOG[],2,FALSE)</f>
        <v>6122.1929824561403</v>
      </c>
      <c r="H81" s="5">
        <f>VLOOKUP(TBLPRODUKKELUARJULI[[#This Row],[NAMA PRODUK]],TBLKATALOG[],3,FALSE)</f>
        <v>612.21929824561403</v>
      </c>
      <c r="I81" s="5">
        <f>VLOOKUP(TBLPRODUKKELUARJULI[[#This Row],[NAMA PRODUK]],TBLKATALOG[],4,FALSE)</f>
        <v>6734.4122807017538</v>
      </c>
      <c r="J81" s="5">
        <f>VLOOKUP(TBLPRODUKKELUARJULI[[#This Row],[NAMA PRODUK]],TBLKATALOG[],5,FALSE)</f>
        <v>9000</v>
      </c>
      <c r="K81" s="10">
        <f>VLOOKUP(TBLPRODUKKELUARJULI[[#This Row],[NAMA PRODUK]],TBLKATALOG[],6,FALSE)</f>
        <v>2265.5877192982462</v>
      </c>
      <c r="L81" s="10">
        <f>VLOOKUP(TBLPRODUKKELUARJULI[[#This Row],[NAMA PRODUK]],TBLKATALOG[],7,FALSE)</f>
        <v>306.10964912280701</v>
      </c>
      <c r="M81" s="10">
        <f>VLOOKUP(TBLPRODUKKELUARJULI[[#This Row],[NAMA PRODUK]],TBLKATALOG[],8,FALSE)</f>
        <v>306.10964912280701</v>
      </c>
      <c r="N81" s="10">
        <f>VLOOKUP(TBLPRODUKKELUARJULI[[#This Row],[NAMA PRODUK]],TBLKATALOG[],9,FALSE)</f>
        <v>2265.5877192982462</v>
      </c>
      <c r="O81" s="10">
        <v>1</v>
      </c>
      <c r="P81" s="10">
        <v>1</v>
      </c>
      <c r="Q81" s="10">
        <f>TBLPRODUKKELUARJULI[[#This Row],[MODAL]]*TBLPRODUKKELUARJULI[[#This Row],[JUMLAH TERJUAL]]</f>
        <v>6122.1929824561403</v>
      </c>
      <c r="R81" s="10">
        <f>TBLPRODUKKELUARJULI[[#This Row],[BUDGET KOMISI]]*TBLPRODUKKELUARJULI[[#This Row],[JUMLAH TERJUAL]]</f>
        <v>612.21929824561403</v>
      </c>
      <c r="S81" s="10">
        <f>TBLPRODUKKELUARJULI[[#This Row],[MODAL DITAMBAH BUDGET KOMISI]]*TBLPRODUKKELUARJULI[[#This Row],[JUMLAH TERJUAL]]</f>
        <v>6734.4122807017538</v>
      </c>
      <c r="T81" s="10">
        <f>TBLPRODUKKELUARJULI[[#This Row],[HARGA JUAL]]*TBLPRODUKKELUARJULI[[#This Row],[JUMLAH TERJUAL]]</f>
        <v>9000</v>
      </c>
      <c r="U81" s="10">
        <f>TBLPRODUKKELUARJULI[[#This Row],[SELISIH]]*TBLPRODUKKELUARJULI[[#This Row],[JUMLAH TERJUAL]]</f>
        <v>2265.5877192982462</v>
      </c>
      <c r="V81" s="10">
        <f>TBLPRODUKKELUARJULI[[#This Row],[LABA MITRA 8 %]]*TBLPRODUKKELUARJULI[[#This Row],[JUMLAH TERJUAL]]</f>
        <v>306.10964912280701</v>
      </c>
      <c r="W81" s="10">
        <f>TBLPRODUKKELUARJULI[[#This Row],[LABA KIRIM 8 %]]*TBLPRODUKKELUARJULI[[#This Row],[JUMLAH TERKIRIM]]</f>
        <v>306.10964912280701</v>
      </c>
      <c r="X81" s="10">
        <f>TBLPRODUKKELUARJULI[[#This Row],[TOTAL LABA MITRA 5%]]+TBLPRODUKKELUARJULI[[#This Row],[TOTAL LABA KIRIM 5%]]</f>
        <v>612.21929824561403</v>
      </c>
      <c r="Y81" s="10">
        <f>TBLPRODUKKELUARJULI[[#This Row],[LABA BERSIH TOKO]]*TBLPRODUKKELUARJULI[[#This Row],[JUMLAH TERJUAL]]</f>
        <v>2265.5877192982462</v>
      </c>
    </row>
    <row r="82" spans="1:25" x14ac:dyDescent="0.3">
      <c r="A82" s="4">
        <v>2026</v>
      </c>
      <c r="B82" s="15" t="s">
        <v>590</v>
      </c>
      <c r="C82" s="254">
        <v>46227</v>
      </c>
      <c r="D82" s="3" t="s">
        <v>374</v>
      </c>
      <c r="E82" s="253" t="s">
        <v>446</v>
      </c>
      <c r="F82" s="3" t="str">
        <f>VLOOKUP(TBLPRODUKKELUARJULI[[#This Row],[NAMA CUSTOMER]],TBLDATACUSTOMER[],4,FALSE)</f>
        <v>RIA</v>
      </c>
      <c r="G82" s="5">
        <f>VLOOKUP(TBLPRODUKKELUARJULI[[#This Row],[NAMA PRODUK]],TBLKATALOG[],2,FALSE)</f>
        <v>6192.1929824561403</v>
      </c>
      <c r="H82" s="5">
        <f>VLOOKUP(TBLPRODUKKELUARJULI[[#This Row],[NAMA PRODUK]],TBLKATALOG[],3,FALSE)</f>
        <v>619.21929824561403</v>
      </c>
      <c r="I82" s="5">
        <f>VLOOKUP(TBLPRODUKKELUARJULI[[#This Row],[NAMA PRODUK]],TBLKATALOG[],4,FALSE)</f>
        <v>6811.4122807017538</v>
      </c>
      <c r="J82" s="5">
        <f>VLOOKUP(TBLPRODUKKELUARJULI[[#This Row],[NAMA PRODUK]],TBLKATALOG[],5,FALSE)</f>
        <v>9000</v>
      </c>
      <c r="K82" s="10">
        <f>VLOOKUP(TBLPRODUKKELUARJULI[[#This Row],[NAMA PRODUK]],TBLKATALOG[],6,FALSE)</f>
        <v>2188.5877192982462</v>
      </c>
      <c r="L82" s="10">
        <f>VLOOKUP(TBLPRODUKKELUARJULI[[#This Row],[NAMA PRODUK]],TBLKATALOG[],7,FALSE)</f>
        <v>309.60964912280701</v>
      </c>
      <c r="M82" s="10">
        <f>VLOOKUP(TBLPRODUKKELUARJULI[[#This Row],[NAMA PRODUK]],TBLKATALOG[],8,FALSE)</f>
        <v>309.60964912280701</v>
      </c>
      <c r="N82" s="10">
        <f>VLOOKUP(TBLPRODUKKELUARJULI[[#This Row],[NAMA PRODUK]],TBLKATALOG[],9,FALSE)</f>
        <v>2188.5877192982462</v>
      </c>
      <c r="O82" s="10">
        <v>3</v>
      </c>
      <c r="P82" s="10">
        <v>3</v>
      </c>
      <c r="Q82" s="10">
        <f>TBLPRODUKKELUARJULI[[#This Row],[MODAL]]*TBLPRODUKKELUARJULI[[#This Row],[JUMLAH TERJUAL]]</f>
        <v>18576.57894736842</v>
      </c>
      <c r="R82" s="10">
        <f>TBLPRODUKKELUARJULI[[#This Row],[BUDGET KOMISI]]*TBLPRODUKKELUARJULI[[#This Row],[JUMLAH TERJUAL]]</f>
        <v>1857.6578947368421</v>
      </c>
      <c r="S82" s="10">
        <f>TBLPRODUKKELUARJULI[[#This Row],[MODAL DITAMBAH BUDGET KOMISI]]*TBLPRODUKKELUARJULI[[#This Row],[JUMLAH TERJUAL]]</f>
        <v>20434.23684210526</v>
      </c>
      <c r="T82" s="10">
        <f>TBLPRODUKKELUARJULI[[#This Row],[HARGA JUAL]]*TBLPRODUKKELUARJULI[[#This Row],[JUMLAH TERJUAL]]</f>
        <v>27000</v>
      </c>
      <c r="U82" s="10">
        <f>TBLPRODUKKELUARJULI[[#This Row],[SELISIH]]*TBLPRODUKKELUARJULI[[#This Row],[JUMLAH TERJUAL]]</f>
        <v>6565.7631578947385</v>
      </c>
      <c r="V82" s="10">
        <f>TBLPRODUKKELUARJULI[[#This Row],[LABA MITRA 8 %]]*TBLPRODUKKELUARJULI[[#This Row],[JUMLAH TERJUAL]]</f>
        <v>928.82894736842104</v>
      </c>
      <c r="W82" s="10">
        <f>TBLPRODUKKELUARJULI[[#This Row],[LABA KIRIM 8 %]]*TBLPRODUKKELUARJULI[[#This Row],[JUMLAH TERKIRIM]]</f>
        <v>928.82894736842104</v>
      </c>
      <c r="X82" s="10">
        <f>TBLPRODUKKELUARJULI[[#This Row],[TOTAL LABA MITRA 5%]]+TBLPRODUKKELUARJULI[[#This Row],[TOTAL LABA KIRIM 5%]]</f>
        <v>1857.6578947368421</v>
      </c>
      <c r="Y82" s="10">
        <f>TBLPRODUKKELUARJULI[[#This Row],[LABA BERSIH TOKO]]*TBLPRODUKKELUARJULI[[#This Row],[JUMLAH TERJUAL]]</f>
        <v>6565.7631578947385</v>
      </c>
    </row>
    <row r="83" spans="1:25" x14ac:dyDescent="0.3">
      <c r="A83" s="4">
        <v>2026</v>
      </c>
      <c r="B83" s="15" t="s">
        <v>590</v>
      </c>
      <c r="C83" s="254">
        <v>46227</v>
      </c>
      <c r="D83" s="3" t="s">
        <v>373</v>
      </c>
      <c r="E83" s="253" t="s">
        <v>446</v>
      </c>
      <c r="F83" s="3" t="str">
        <f>VLOOKUP(TBLPRODUKKELUARJULI[[#This Row],[NAMA CUSTOMER]],TBLDATACUSTOMER[],4,FALSE)</f>
        <v>RIA</v>
      </c>
      <c r="G83" s="5">
        <f>VLOOKUP(TBLPRODUKKELUARJULI[[#This Row],[NAMA PRODUK]],TBLKATALOG[],2,FALSE)</f>
        <v>6122.1929824561403</v>
      </c>
      <c r="H83" s="5">
        <f>VLOOKUP(TBLPRODUKKELUARJULI[[#This Row],[NAMA PRODUK]],TBLKATALOG[],3,FALSE)</f>
        <v>612.21929824561403</v>
      </c>
      <c r="I83" s="5">
        <f>VLOOKUP(TBLPRODUKKELUARJULI[[#This Row],[NAMA PRODUK]],TBLKATALOG[],4,FALSE)</f>
        <v>6734.4122807017538</v>
      </c>
      <c r="J83" s="5">
        <f>VLOOKUP(TBLPRODUKKELUARJULI[[#This Row],[NAMA PRODUK]],TBLKATALOG[],5,FALSE)</f>
        <v>9000</v>
      </c>
      <c r="K83" s="10">
        <f>VLOOKUP(TBLPRODUKKELUARJULI[[#This Row],[NAMA PRODUK]],TBLKATALOG[],6,FALSE)</f>
        <v>2265.5877192982462</v>
      </c>
      <c r="L83" s="10">
        <f>VLOOKUP(TBLPRODUKKELUARJULI[[#This Row],[NAMA PRODUK]],TBLKATALOG[],7,FALSE)</f>
        <v>306.10964912280701</v>
      </c>
      <c r="M83" s="10">
        <f>VLOOKUP(TBLPRODUKKELUARJULI[[#This Row],[NAMA PRODUK]],TBLKATALOG[],8,FALSE)</f>
        <v>306.10964912280701</v>
      </c>
      <c r="N83" s="10">
        <f>VLOOKUP(TBLPRODUKKELUARJULI[[#This Row],[NAMA PRODUK]],TBLKATALOG[],9,FALSE)</f>
        <v>2265.5877192982462</v>
      </c>
      <c r="O83" s="10">
        <v>1</v>
      </c>
      <c r="P83" s="10">
        <v>1</v>
      </c>
      <c r="Q83" s="10">
        <f>TBLPRODUKKELUARJULI[[#This Row],[MODAL]]*TBLPRODUKKELUARJULI[[#This Row],[JUMLAH TERJUAL]]</f>
        <v>6122.1929824561403</v>
      </c>
      <c r="R83" s="10">
        <f>TBLPRODUKKELUARJULI[[#This Row],[BUDGET KOMISI]]*TBLPRODUKKELUARJULI[[#This Row],[JUMLAH TERJUAL]]</f>
        <v>612.21929824561403</v>
      </c>
      <c r="S83" s="10">
        <f>TBLPRODUKKELUARJULI[[#This Row],[MODAL DITAMBAH BUDGET KOMISI]]*TBLPRODUKKELUARJULI[[#This Row],[JUMLAH TERJUAL]]</f>
        <v>6734.4122807017538</v>
      </c>
      <c r="T83" s="10">
        <f>TBLPRODUKKELUARJULI[[#This Row],[HARGA JUAL]]*TBLPRODUKKELUARJULI[[#This Row],[JUMLAH TERJUAL]]</f>
        <v>9000</v>
      </c>
      <c r="U83" s="10">
        <f>TBLPRODUKKELUARJULI[[#This Row],[SELISIH]]*TBLPRODUKKELUARJULI[[#This Row],[JUMLAH TERJUAL]]</f>
        <v>2265.5877192982462</v>
      </c>
      <c r="V83" s="10">
        <f>TBLPRODUKKELUARJULI[[#This Row],[LABA MITRA 8 %]]*TBLPRODUKKELUARJULI[[#This Row],[JUMLAH TERJUAL]]</f>
        <v>306.10964912280701</v>
      </c>
      <c r="W83" s="10">
        <f>TBLPRODUKKELUARJULI[[#This Row],[LABA KIRIM 8 %]]*TBLPRODUKKELUARJULI[[#This Row],[JUMLAH TERKIRIM]]</f>
        <v>306.10964912280701</v>
      </c>
      <c r="X83" s="10">
        <f>TBLPRODUKKELUARJULI[[#This Row],[TOTAL LABA MITRA 5%]]+TBLPRODUKKELUARJULI[[#This Row],[TOTAL LABA KIRIM 5%]]</f>
        <v>612.21929824561403</v>
      </c>
      <c r="Y83" s="10">
        <f>TBLPRODUKKELUARJULI[[#This Row],[LABA BERSIH TOKO]]*TBLPRODUKKELUARJULI[[#This Row],[JUMLAH TERJUAL]]</f>
        <v>2265.5877192982462</v>
      </c>
    </row>
    <row r="84" spans="1:25" x14ac:dyDescent="0.3">
      <c r="A84" s="4">
        <v>2026</v>
      </c>
      <c r="B84" s="15" t="s">
        <v>590</v>
      </c>
      <c r="C84" s="254">
        <v>46227</v>
      </c>
      <c r="D84" s="3" t="s">
        <v>378</v>
      </c>
      <c r="E84" s="253" t="s">
        <v>311</v>
      </c>
      <c r="F84" s="3" t="str">
        <f>VLOOKUP(TBLPRODUKKELUARJULI[[#This Row],[NAMA CUSTOMER]],TBLDATACUSTOMER[],4,FALSE)</f>
        <v>LELI</v>
      </c>
      <c r="G84" s="5">
        <f>VLOOKUP(TBLPRODUKKELUARJULI[[#This Row],[NAMA PRODUK]],TBLKATALOG[],2,FALSE)</f>
        <v>8174.7192982456145</v>
      </c>
      <c r="H84" s="5">
        <f>VLOOKUP(TBLPRODUKKELUARJULI[[#This Row],[NAMA PRODUK]],TBLKATALOG[],3,FALSE)</f>
        <v>817.47192982456147</v>
      </c>
      <c r="I84" s="5">
        <f>VLOOKUP(TBLPRODUKKELUARJULI[[#This Row],[NAMA PRODUK]],TBLKATALOG[],4,FALSE)</f>
        <v>8992.1912280701763</v>
      </c>
      <c r="J84" s="5">
        <f>VLOOKUP(TBLPRODUKKELUARJULI[[#This Row],[NAMA PRODUK]],TBLKATALOG[],5,FALSE)</f>
        <v>12000</v>
      </c>
      <c r="K84" s="10">
        <f>VLOOKUP(TBLPRODUKKELUARJULI[[#This Row],[NAMA PRODUK]],TBLKATALOG[],6,FALSE)</f>
        <v>3007.8087719298237</v>
      </c>
      <c r="L84" s="10">
        <f>VLOOKUP(TBLPRODUKKELUARJULI[[#This Row],[NAMA PRODUK]],TBLKATALOG[],7,FALSE)</f>
        <v>408.73596491228074</v>
      </c>
      <c r="M84" s="10">
        <f>VLOOKUP(TBLPRODUKKELUARJULI[[#This Row],[NAMA PRODUK]],TBLKATALOG[],8,FALSE)</f>
        <v>408.73596491228074</v>
      </c>
      <c r="N84" s="10">
        <f>VLOOKUP(TBLPRODUKKELUARJULI[[#This Row],[NAMA PRODUK]],TBLKATALOG[],9,FALSE)</f>
        <v>3007.8087719298237</v>
      </c>
      <c r="O84" s="10">
        <v>2</v>
      </c>
      <c r="P84" s="10">
        <v>2</v>
      </c>
      <c r="Q84" s="10">
        <f>TBLPRODUKKELUARJULI[[#This Row],[MODAL]]*TBLPRODUKKELUARJULI[[#This Row],[JUMLAH TERJUAL]]</f>
        <v>16349.438596491229</v>
      </c>
      <c r="R84" s="10">
        <f>TBLPRODUKKELUARJULI[[#This Row],[BUDGET KOMISI]]*TBLPRODUKKELUARJULI[[#This Row],[JUMLAH TERJUAL]]</f>
        <v>1634.9438596491229</v>
      </c>
      <c r="S84" s="10">
        <f>TBLPRODUKKELUARJULI[[#This Row],[MODAL DITAMBAH BUDGET KOMISI]]*TBLPRODUKKELUARJULI[[#This Row],[JUMLAH TERJUAL]]</f>
        <v>17984.382456140353</v>
      </c>
      <c r="T84" s="10">
        <f>TBLPRODUKKELUARJULI[[#This Row],[HARGA JUAL]]*TBLPRODUKKELUARJULI[[#This Row],[JUMLAH TERJUAL]]</f>
        <v>24000</v>
      </c>
      <c r="U84" s="10">
        <f>TBLPRODUKKELUARJULI[[#This Row],[SELISIH]]*TBLPRODUKKELUARJULI[[#This Row],[JUMLAH TERJUAL]]</f>
        <v>6015.6175438596474</v>
      </c>
      <c r="V84" s="10">
        <f>TBLPRODUKKELUARJULI[[#This Row],[LABA MITRA 8 %]]*TBLPRODUKKELUARJULI[[#This Row],[JUMLAH TERJUAL]]</f>
        <v>817.47192982456147</v>
      </c>
      <c r="W84" s="10">
        <f>TBLPRODUKKELUARJULI[[#This Row],[LABA KIRIM 8 %]]*TBLPRODUKKELUARJULI[[#This Row],[JUMLAH TERKIRIM]]</f>
        <v>817.47192982456147</v>
      </c>
      <c r="X84" s="10">
        <f>TBLPRODUKKELUARJULI[[#This Row],[TOTAL LABA MITRA 5%]]+TBLPRODUKKELUARJULI[[#This Row],[TOTAL LABA KIRIM 5%]]</f>
        <v>1634.9438596491229</v>
      </c>
      <c r="Y84" s="10">
        <f>TBLPRODUKKELUARJULI[[#This Row],[LABA BERSIH TOKO]]*TBLPRODUKKELUARJULI[[#This Row],[JUMLAH TERJUAL]]</f>
        <v>6015.6175438596474</v>
      </c>
    </row>
    <row r="85" spans="1:25" x14ac:dyDescent="0.3">
      <c r="A85" s="4">
        <v>2026</v>
      </c>
      <c r="B85" s="15" t="s">
        <v>590</v>
      </c>
      <c r="C85" s="254">
        <v>46227</v>
      </c>
      <c r="D85" s="3" t="s">
        <v>379</v>
      </c>
      <c r="E85" s="253" t="s">
        <v>311</v>
      </c>
      <c r="F85" s="3" t="str">
        <f>VLOOKUP(TBLPRODUKKELUARJULI[[#This Row],[NAMA CUSTOMER]],TBLDATACUSTOMER[],4,FALSE)</f>
        <v>LELI</v>
      </c>
      <c r="G85" s="5">
        <f>VLOOKUP(TBLPRODUKKELUARJULI[[#This Row],[NAMA PRODUK]],TBLKATALOG[],2,FALSE)</f>
        <v>8762.2192982456127</v>
      </c>
      <c r="H85" s="5">
        <f>VLOOKUP(TBLPRODUKKELUARJULI[[#This Row],[NAMA PRODUK]],TBLKATALOG[],3,FALSE)</f>
        <v>876.22192982456136</v>
      </c>
      <c r="I85" s="5">
        <f>VLOOKUP(TBLPRODUKKELUARJULI[[#This Row],[NAMA PRODUK]],TBLKATALOG[],4,FALSE)</f>
        <v>9638.4412280701745</v>
      </c>
      <c r="J85" s="5">
        <f>VLOOKUP(TBLPRODUKKELUARJULI[[#This Row],[NAMA PRODUK]],TBLKATALOG[],5,FALSE)</f>
        <v>12000</v>
      </c>
      <c r="K85" s="10">
        <f>VLOOKUP(TBLPRODUKKELUARJULI[[#This Row],[NAMA PRODUK]],TBLKATALOG[],6,FALSE)</f>
        <v>2361.5587719298255</v>
      </c>
      <c r="L85" s="10">
        <f>VLOOKUP(TBLPRODUKKELUARJULI[[#This Row],[NAMA PRODUK]],TBLKATALOG[],7,FALSE)</f>
        <v>438.11096491228068</v>
      </c>
      <c r="M85" s="10">
        <f>VLOOKUP(TBLPRODUKKELUARJULI[[#This Row],[NAMA PRODUK]],TBLKATALOG[],8,FALSE)</f>
        <v>438.11096491228068</v>
      </c>
      <c r="N85" s="10">
        <f>VLOOKUP(TBLPRODUKKELUARJULI[[#This Row],[NAMA PRODUK]],TBLKATALOG[],9,FALSE)</f>
        <v>2361.5587719298255</v>
      </c>
      <c r="O85" s="10">
        <v>2</v>
      </c>
      <c r="P85" s="10">
        <v>2</v>
      </c>
      <c r="Q85" s="10">
        <f>TBLPRODUKKELUARJULI[[#This Row],[MODAL]]*TBLPRODUKKELUARJULI[[#This Row],[JUMLAH TERJUAL]]</f>
        <v>17524.438596491225</v>
      </c>
      <c r="R85" s="10">
        <f>TBLPRODUKKELUARJULI[[#This Row],[BUDGET KOMISI]]*TBLPRODUKKELUARJULI[[#This Row],[JUMLAH TERJUAL]]</f>
        <v>1752.4438596491227</v>
      </c>
      <c r="S85" s="10">
        <f>TBLPRODUKKELUARJULI[[#This Row],[MODAL DITAMBAH BUDGET KOMISI]]*TBLPRODUKKELUARJULI[[#This Row],[JUMLAH TERJUAL]]</f>
        <v>19276.882456140349</v>
      </c>
      <c r="T85" s="10">
        <f>TBLPRODUKKELUARJULI[[#This Row],[HARGA JUAL]]*TBLPRODUKKELUARJULI[[#This Row],[JUMLAH TERJUAL]]</f>
        <v>24000</v>
      </c>
      <c r="U85" s="10">
        <f>TBLPRODUKKELUARJULI[[#This Row],[SELISIH]]*TBLPRODUKKELUARJULI[[#This Row],[JUMLAH TERJUAL]]</f>
        <v>4723.1175438596511</v>
      </c>
      <c r="V85" s="10">
        <f>TBLPRODUKKELUARJULI[[#This Row],[LABA MITRA 8 %]]*TBLPRODUKKELUARJULI[[#This Row],[JUMLAH TERJUAL]]</f>
        <v>876.22192982456136</v>
      </c>
      <c r="W85" s="10">
        <f>TBLPRODUKKELUARJULI[[#This Row],[LABA KIRIM 8 %]]*TBLPRODUKKELUARJULI[[#This Row],[JUMLAH TERKIRIM]]</f>
        <v>876.22192982456136</v>
      </c>
      <c r="X85" s="10">
        <f>TBLPRODUKKELUARJULI[[#This Row],[TOTAL LABA MITRA 5%]]+TBLPRODUKKELUARJULI[[#This Row],[TOTAL LABA KIRIM 5%]]</f>
        <v>1752.4438596491227</v>
      </c>
      <c r="Y85" s="10">
        <f>TBLPRODUKKELUARJULI[[#This Row],[LABA BERSIH TOKO]]*TBLPRODUKKELUARJULI[[#This Row],[JUMLAH TERJUAL]]</f>
        <v>4723.1175438596511</v>
      </c>
    </row>
    <row r="86" spans="1:25" x14ac:dyDescent="0.3">
      <c r="A86" s="4">
        <v>2026</v>
      </c>
      <c r="B86" s="15" t="s">
        <v>590</v>
      </c>
      <c r="C86" s="254">
        <v>46228</v>
      </c>
      <c r="D86" s="3" t="s">
        <v>374</v>
      </c>
      <c r="E86" s="253" t="s">
        <v>446</v>
      </c>
      <c r="F86" s="3" t="str">
        <f>VLOOKUP(TBLPRODUKKELUARJULI[[#This Row],[NAMA CUSTOMER]],TBLDATACUSTOMER[],4,FALSE)</f>
        <v>RIA</v>
      </c>
      <c r="G86" s="5">
        <f>VLOOKUP(TBLPRODUKKELUARJULI[[#This Row],[NAMA PRODUK]],TBLKATALOG[],2,FALSE)</f>
        <v>6192.1929824561403</v>
      </c>
      <c r="H86" s="5">
        <f>VLOOKUP(TBLPRODUKKELUARJULI[[#This Row],[NAMA PRODUK]],TBLKATALOG[],3,FALSE)</f>
        <v>619.21929824561403</v>
      </c>
      <c r="I86" s="5">
        <f>VLOOKUP(TBLPRODUKKELUARJULI[[#This Row],[NAMA PRODUK]],TBLKATALOG[],4,FALSE)</f>
        <v>6811.4122807017538</v>
      </c>
      <c r="J86" s="5">
        <f>VLOOKUP(TBLPRODUKKELUARJULI[[#This Row],[NAMA PRODUK]],TBLKATALOG[],5,FALSE)</f>
        <v>9000</v>
      </c>
      <c r="K86" s="10">
        <f>VLOOKUP(TBLPRODUKKELUARJULI[[#This Row],[NAMA PRODUK]],TBLKATALOG[],6,FALSE)</f>
        <v>2188.5877192982462</v>
      </c>
      <c r="L86" s="10">
        <f>VLOOKUP(TBLPRODUKKELUARJULI[[#This Row],[NAMA PRODUK]],TBLKATALOG[],7,FALSE)</f>
        <v>309.60964912280701</v>
      </c>
      <c r="M86" s="10">
        <f>VLOOKUP(TBLPRODUKKELUARJULI[[#This Row],[NAMA PRODUK]],TBLKATALOG[],8,FALSE)</f>
        <v>309.60964912280701</v>
      </c>
      <c r="N86" s="10">
        <f>VLOOKUP(TBLPRODUKKELUARJULI[[#This Row],[NAMA PRODUK]],TBLKATALOG[],9,FALSE)</f>
        <v>2188.5877192982462</v>
      </c>
      <c r="O86" s="10">
        <v>3</v>
      </c>
      <c r="P86" s="10">
        <v>3</v>
      </c>
      <c r="Q86" s="10">
        <f>TBLPRODUKKELUARJULI[[#This Row],[MODAL]]*TBLPRODUKKELUARJULI[[#This Row],[JUMLAH TERJUAL]]</f>
        <v>18576.57894736842</v>
      </c>
      <c r="R86" s="10">
        <f>TBLPRODUKKELUARJULI[[#This Row],[BUDGET KOMISI]]*TBLPRODUKKELUARJULI[[#This Row],[JUMLAH TERJUAL]]</f>
        <v>1857.6578947368421</v>
      </c>
      <c r="S86" s="10">
        <f>TBLPRODUKKELUARJULI[[#This Row],[MODAL DITAMBAH BUDGET KOMISI]]*TBLPRODUKKELUARJULI[[#This Row],[JUMLAH TERJUAL]]</f>
        <v>20434.23684210526</v>
      </c>
      <c r="T86" s="10">
        <f>TBLPRODUKKELUARJULI[[#This Row],[HARGA JUAL]]*TBLPRODUKKELUARJULI[[#This Row],[JUMLAH TERJUAL]]</f>
        <v>27000</v>
      </c>
      <c r="U86" s="10">
        <f>TBLPRODUKKELUARJULI[[#This Row],[SELISIH]]*TBLPRODUKKELUARJULI[[#This Row],[JUMLAH TERJUAL]]</f>
        <v>6565.7631578947385</v>
      </c>
      <c r="V86" s="10">
        <f>TBLPRODUKKELUARJULI[[#This Row],[LABA MITRA 8 %]]*TBLPRODUKKELUARJULI[[#This Row],[JUMLAH TERJUAL]]</f>
        <v>928.82894736842104</v>
      </c>
      <c r="W86" s="10">
        <f>TBLPRODUKKELUARJULI[[#This Row],[LABA KIRIM 8 %]]*TBLPRODUKKELUARJULI[[#This Row],[JUMLAH TERKIRIM]]</f>
        <v>928.82894736842104</v>
      </c>
      <c r="X86" s="10">
        <f>TBLPRODUKKELUARJULI[[#This Row],[TOTAL LABA MITRA 5%]]+TBLPRODUKKELUARJULI[[#This Row],[TOTAL LABA KIRIM 5%]]</f>
        <v>1857.6578947368421</v>
      </c>
      <c r="Y86" s="10">
        <f>TBLPRODUKKELUARJULI[[#This Row],[LABA BERSIH TOKO]]*TBLPRODUKKELUARJULI[[#This Row],[JUMLAH TERJUAL]]</f>
        <v>6565.7631578947385</v>
      </c>
    </row>
    <row r="87" spans="1:25" x14ac:dyDescent="0.3">
      <c r="A87" s="4">
        <v>2026</v>
      </c>
      <c r="B87" s="15" t="s">
        <v>590</v>
      </c>
      <c r="C87" s="254">
        <v>46228</v>
      </c>
      <c r="D87" s="3" t="s">
        <v>373</v>
      </c>
      <c r="E87" s="253" t="s">
        <v>446</v>
      </c>
      <c r="F87" s="3" t="str">
        <f>VLOOKUP(TBLPRODUKKELUARJULI[[#This Row],[NAMA CUSTOMER]],TBLDATACUSTOMER[],4,FALSE)</f>
        <v>RIA</v>
      </c>
      <c r="G87" s="5">
        <f>VLOOKUP(TBLPRODUKKELUARJULI[[#This Row],[NAMA PRODUK]],TBLKATALOG[],2,FALSE)</f>
        <v>6122.1929824561403</v>
      </c>
      <c r="H87" s="5">
        <f>VLOOKUP(TBLPRODUKKELUARJULI[[#This Row],[NAMA PRODUK]],TBLKATALOG[],3,FALSE)</f>
        <v>612.21929824561403</v>
      </c>
      <c r="I87" s="5">
        <f>VLOOKUP(TBLPRODUKKELUARJULI[[#This Row],[NAMA PRODUK]],TBLKATALOG[],4,FALSE)</f>
        <v>6734.4122807017538</v>
      </c>
      <c r="J87" s="5">
        <f>VLOOKUP(TBLPRODUKKELUARJULI[[#This Row],[NAMA PRODUK]],TBLKATALOG[],5,FALSE)</f>
        <v>9000</v>
      </c>
      <c r="K87" s="10">
        <f>VLOOKUP(TBLPRODUKKELUARJULI[[#This Row],[NAMA PRODUK]],TBLKATALOG[],6,FALSE)</f>
        <v>2265.5877192982462</v>
      </c>
      <c r="L87" s="10">
        <f>VLOOKUP(TBLPRODUKKELUARJULI[[#This Row],[NAMA PRODUK]],TBLKATALOG[],7,FALSE)</f>
        <v>306.10964912280701</v>
      </c>
      <c r="M87" s="10">
        <f>VLOOKUP(TBLPRODUKKELUARJULI[[#This Row],[NAMA PRODUK]],TBLKATALOG[],8,FALSE)</f>
        <v>306.10964912280701</v>
      </c>
      <c r="N87" s="10">
        <f>VLOOKUP(TBLPRODUKKELUARJULI[[#This Row],[NAMA PRODUK]],TBLKATALOG[],9,FALSE)</f>
        <v>2265.5877192982462</v>
      </c>
      <c r="O87" s="10">
        <v>1</v>
      </c>
      <c r="P87" s="10">
        <v>1</v>
      </c>
      <c r="Q87" s="10">
        <f>TBLPRODUKKELUARJULI[[#This Row],[MODAL]]*TBLPRODUKKELUARJULI[[#This Row],[JUMLAH TERJUAL]]</f>
        <v>6122.1929824561403</v>
      </c>
      <c r="R87" s="10">
        <f>TBLPRODUKKELUARJULI[[#This Row],[BUDGET KOMISI]]*TBLPRODUKKELUARJULI[[#This Row],[JUMLAH TERJUAL]]</f>
        <v>612.21929824561403</v>
      </c>
      <c r="S87" s="10">
        <f>TBLPRODUKKELUARJULI[[#This Row],[MODAL DITAMBAH BUDGET KOMISI]]*TBLPRODUKKELUARJULI[[#This Row],[JUMLAH TERJUAL]]</f>
        <v>6734.4122807017538</v>
      </c>
      <c r="T87" s="10">
        <f>TBLPRODUKKELUARJULI[[#This Row],[HARGA JUAL]]*TBLPRODUKKELUARJULI[[#This Row],[JUMLAH TERJUAL]]</f>
        <v>9000</v>
      </c>
      <c r="U87" s="10">
        <f>TBLPRODUKKELUARJULI[[#This Row],[SELISIH]]*TBLPRODUKKELUARJULI[[#This Row],[JUMLAH TERJUAL]]</f>
        <v>2265.5877192982462</v>
      </c>
      <c r="V87" s="10">
        <f>TBLPRODUKKELUARJULI[[#This Row],[LABA MITRA 8 %]]*TBLPRODUKKELUARJULI[[#This Row],[JUMLAH TERJUAL]]</f>
        <v>306.10964912280701</v>
      </c>
      <c r="W87" s="10">
        <f>TBLPRODUKKELUARJULI[[#This Row],[LABA KIRIM 8 %]]*TBLPRODUKKELUARJULI[[#This Row],[JUMLAH TERKIRIM]]</f>
        <v>306.10964912280701</v>
      </c>
      <c r="X87" s="10">
        <f>TBLPRODUKKELUARJULI[[#This Row],[TOTAL LABA MITRA 5%]]+TBLPRODUKKELUARJULI[[#This Row],[TOTAL LABA KIRIM 5%]]</f>
        <v>612.21929824561403</v>
      </c>
      <c r="Y87" s="10">
        <f>TBLPRODUKKELUARJULI[[#This Row],[LABA BERSIH TOKO]]*TBLPRODUKKELUARJULI[[#This Row],[JUMLAH TERJUAL]]</f>
        <v>2265.5877192982462</v>
      </c>
    </row>
  </sheetData>
  <mergeCells count="1">
    <mergeCell ref="A1:M1"/>
  </mergeCells>
  <dataValidations count="1">
    <dataValidation type="list" allowBlank="1" showInputMessage="1" showErrorMessage="1" sqref="E4:E13 E16:E87" xr:uid="{00000000-0002-0000-0600-000000000000}">
      <formula1>CUSTOMER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1000000}">
          <x14:formula1>
            <xm:f>KATALOG!$B$4:$B$66</xm:f>
          </x14:formula1>
          <xm:sqref>D4:D10 D53:D54</xm:sqref>
        </x14:dataValidation>
        <x14:dataValidation type="list" allowBlank="1" showInputMessage="1" showErrorMessage="1" xr:uid="{00000000-0002-0000-0600-000002000000}">
          <x14:formula1>
            <xm:f>KATALOG!$B$4:$B$53</xm:f>
          </x14:formula1>
          <xm:sqref>D11:D13</xm:sqref>
        </x14:dataValidation>
        <x14:dataValidation type="list" allowBlank="1" showInputMessage="1" showErrorMessage="1" xr:uid="{00000000-0002-0000-0600-000003000000}">
          <x14:formula1>
            <xm:f>KATALOG!$B$4:$B$68</xm:f>
          </x14:formula1>
          <xm:sqref>D16:D52 D55:D87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"/>
  <sheetViews>
    <sheetView topLeftCell="A10" workbookViewId="0">
      <selection activeCell="E23" sqref="E23"/>
    </sheetView>
  </sheetViews>
  <sheetFormatPr defaultRowHeight="14.4" x14ac:dyDescent="0.3"/>
  <cols>
    <col min="1" max="2" width="13.44140625" customWidth="1"/>
    <col min="3" max="3" width="15" customWidth="1"/>
    <col min="4" max="4" width="18.44140625" style="2" customWidth="1"/>
    <col min="5" max="5" width="19" style="2" customWidth="1"/>
    <col min="6" max="6" width="26.5546875" style="2" customWidth="1"/>
    <col min="7" max="7" width="18.6640625" customWidth="1"/>
    <col min="8" max="8" width="9.109375" customWidth="1"/>
    <col min="9" max="9" width="18" customWidth="1"/>
    <col min="10" max="10" width="18.6640625" customWidth="1"/>
    <col min="13" max="13" width="9.109375" customWidth="1"/>
  </cols>
  <sheetData>
    <row r="1" spans="1:10" x14ac:dyDescent="0.3">
      <c r="A1" s="268" t="s">
        <v>456</v>
      </c>
      <c r="B1" s="268"/>
      <c r="C1" s="268"/>
      <c r="D1" s="268"/>
      <c r="E1" s="268"/>
      <c r="F1" s="268"/>
      <c r="G1" s="268"/>
    </row>
    <row r="3" spans="1:10" x14ac:dyDescent="0.3">
      <c r="A3" t="s">
        <v>577</v>
      </c>
    </row>
    <row r="4" spans="1:10" x14ac:dyDescent="0.3">
      <c r="A4" s="1" t="s">
        <v>109</v>
      </c>
      <c r="B4" s="1" t="s">
        <v>61</v>
      </c>
      <c r="C4" s="1" t="s">
        <v>1</v>
      </c>
      <c r="D4" s="10" t="s">
        <v>67</v>
      </c>
      <c r="E4" s="10" t="s">
        <v>114</v>
      </c>
      <c r="F4" s="10" t="s">
        <v>68</v>
      </c>
      <c r="G4" s="1" t="s">
        <v>72</v>
      </c>
      <c r="I4" s="113" t="s">
        <v>534</v>
      </c>
      <c r="J4" s="173" t="s">
        <v>72</v>
      </c>
    </row>
    <row r="5" spans="1:10" x14ac:dyDescent="0.3">
      <c r="A5" s="4">
        <v>2026</v>
      </c>
      <c r="B5" s="4" t="s">
        <v>577</v>
      </c>
      <c r="C5" s="15">
        <v>46198</v>
      </c>
      <c r="D5" s="2">
        <f>SUMIF(TBLPRODUKKELUARJUNI[TANGGAL],TBLREKAPJUNI[TANGGAL],TBLPRODUKKELUARJUNI[TOTAL HARGA JUAL])</f>
        <v>129000</v>
      </c>
      <c r="E5" s="2">
        <f>SUMIF(TBLPRODUKKELUARJUNI[TANGGAL],TBLREKAPJUNI[TANGGAL],TBLPRODUKKELUARJUNI[TOTAL MODAL])</f>
        <v>89163.736842105267</v>
      </c>
      <c r="F5" s="2">
        <f>SUMIF(TBLPRODUKKELUARJUNI[TANGGAL],TBLREKAPJUNI[TANGGAL],TBLPRODUKKELUARJUNI[TAKE HOME KOMISI UTAMA])</f>
        <v>8916.3736842105263</v>
      </c>
      <c r="G5" s="2">
        <f>SUMIF(TBLPRODUKKELUARJUNI[TANGGAL],TBLREKAPJUNI[TANGGAL],TBLPRODUKKELUARJUNI[TOTAL LABA BERSIH TOKO])</f>
        <v>30919.889473684208</v>
      </c>
      <c r="I5" s="10">
        <f>SUM(TBLREKAPJUNI[TOTAL PENJUALAN])</f>
        <v>129000</v>
      </c>
      <c r="J5" s="9">
        <f>SUM(TBLREKAPJUNI[LABA BERSIH TOKO])</f>
        <v>30919.889473684208</v>
      </c>
    </row>
    <row r="8" spans="1:10" x14ac:dyDescent="0.3">
      <c r="A8" t="s">
        <v>590</v>
      </c>
    </row>
    <row r="9" spans="1:10" x14ac:dyDescent="0.3">
      <c r="A9" s="1" t="s">
        <v>109</v>
      </c>
      <c r="B9" s="1" t="s">
        <v>61</v>
      </c>
      <c r="C9" s="1" t="s">
        <v>1</v>
      </c>
      <c r="D9" s="10" t="s">
        <v>67</v>
      </c>
      <c r="E9" s="10" t="s">
        <v>114</v>
      </c>
      <c r="F9" s="10" t="s">
        <v>68</v>
      </c>
      <c r="G9" s="1" t="s">
        <v>72</v>
      </c>
      <c r="I9" s="113" t="s">
        <v>534</v>
      </c>
      <c r="J9" s="173" t="s">
        <v>72</v>
      </c>
    </row>
    <row r="10" spans="1:10" x14ac:dyDescent="0.3">
      <c r="A10" s="4">
        <v>2026</v>
      </c>
      <c r="B10" s="4" t="s">
        <v>590</v>
      </c>
      <c r="C10" s="15">
        <v>46206</v>
      </c>
      <c r="D10" s="2">
        <f>SUMIF(TBLPRODUKKELUARJULI[TANGGAL],TBLREKAPJULI[[#This Row],[TANGGAL]],TBLPRODUKKELUARJULI[TOTAL HARGA JUAL])</f>
        <v>36000</v>
      </c>
      <c r="E10" s="2">
        <f>SUMIF(TBLPRODUKKELUARJULI[TANGGAL],TBLREKAPJULI[[#This Row],[TANGGAL]],TBLPRODUKKELUARJULI[TOTAL MODAL])</f>
        <v>24628.771929824561</v>
      </c>
      <c r="F10" s="2">
        <f>SUMIF(TBLPRODUKKELUARJULI[TANGGAL],TBLREKAPJULI[[#This Row],[TANGGAL]],TBLPRODUKKELUARJULI[TAKE HOME KOMISI UTAMA])</f>
        <v>2462.8771929824561</v>
      </c>
      <c r="G10" s="2">
        <f>SUMIF(TBLPRODUKKELUARJULI[TANGGAL],TBLREKAPJULI[[#This Row],[TANGGAL]],TBLPRODUKKELUARJULI[TOTAL LABA BERSIH TOKO])</f>
        <v>8908.3508771929846</v>
      </c>
      <c r="I10" s="269">
        <f>SUM(TBLREKAPJULI[TOTAL PENJUALAN])</f>
        <v>1872000</v>
      </c>
      <c r="J10" s="270">
        <f>SUM(TBLREKAPJULI[LABA BERSIH TOKO])</f>
        <v>394666.06929824565</v>
      </c>
    </row>
    <row r="11" spans="1:10" x14ac:dyDescent="0.3">
      <c r="A11" s="4">
        <v>2026</v>
      </c>
      <c r="B11" s="4" t="s">
        <v>590</v>
      </c>
      <c r="C11" s="15">
        <v>46207</v>
      </c>
      <c r="D11" s="2">
        <f>SUMIF(TBLPRODUKKELUARJULI[TANGGAL],TBLREKAPJULI[[#This Row],[TANGGAL]],TBLPRODUKKELUARJULI[TOTAL HARGA JUAL])</f>
        <v>150000</v>
      </c>
      <c r="E11" s="2">
        <f>SUMIF(TBLPRODUKKELUARJULI[TANGGAL],TBLREKAPJULI[[#This Row],[TANGGAL]],TBLPRODUKKELUARJULI[TOTAL MODAL])</f>
        <v>102640.91228070176</v>
      </c>
      <c r="F11" s="2">
        <f>SUMIF(TBLPRODUKKELUARJULI[TANGGAL],TBLREKAPJULI[[#This Row],[TANGGAL]],TBLPRODUKKELUARJULI[TAKE HOME KOMISI UTAMA])</f>
        <v>10264.091228070178</v>
      </c>
      <c r="G11" s="2">
        <f>SUMIF(TBLPRODUKKELUARJULI[TANGGAL],TBLREKAPJULI[[#This Row],[TANGGAL]],TBLPRODUKKELUARJULI[TOTAL LABA BERSIH TOKO])</f>
        <v>37094.99649122807</v>
      </c>
      <c r="I11" s="269"/>
      <c r="J11" s="270"/>
    </row>
    <row r="12" spans="1:10" x14ac:dyDescent="0.3">
      <c r="A12" s="4">
        <v>2026</v>
      </c>
      <c r="B12" s="4" t="s">
        <v>590</v>
      </c>
      <c r="C12" s="15">
        <v>46208</v>
      </c>
      <c r="D12" s="2">
        <f>SUMIF(TBLPRODUKKELUARJULI[TANGGAL],TBLREKAPJULI[[#This Row],[TANGGAL]],TBLPRODUKKELUARJULI[TOTAL HARGA JUAL])</f>
        <v>36000</v>
      </c>
      <c r="E12" s="2">
        <f>SUMIF(TBLPRODUKKELUARJULI[TANGGAL],TBLREKAPJULI[[#This Row],[TANGGAL]],TBLPRODUKKELUARJULI[TOTAL MODAL])</f>
        <v>24628.771929824561</v>
      </c>
      <c r="F12" s="2">
        <f>SUMIF(TBLPRODUKKELUARJULI[TANGGAL],TBLREKAPJULI[[#This Row],[TANGGAL]],TBLPRODUKKELUARJULI[TAKE HOME KOMISI UTAMA])</f>
        <v>2462.8771929824561</v>
      </c>
      <c r="G12" s="2">
        <f>SUMIF(TBLPRODUKKELUARJULI[TANGGAL],TBLREKAPJULI[[#This Row],[TANGGAL]],TBLPRODUKKELUARJULI[TOTAL LABA BERSIH TOKO])</f>
        <v>8908.3508771929846</v>
      </c>
      <c r="I12" s="269"/>
      <c r="J12" s="270"/>
    </row>
    <row r="13" spans="1:10" x14ac:dyDescent="0.3">
      <c r="A13" s="4">
        <v>2026</v>
      </c>
      <c r="B13" s="4" t="s">
        <v>590</v>
      </c>
      <c r="C13" s="15">
        <v>46209</v>
      </c>
      <c r="D13" s="2">
        <f>SUMIF(TBLPRODUKKELUARJULI[TANGGAL],TBLREKAPJULI[[#This Row],[TANGGAL]],TBLPRODUKKELUARJULI[TOTAL HARGA JUAL])</f>
        <v>151000</v>
      </c>
      <c r="E13" s="2">
        <f>SUMIF(TBLPRODUKKELUARJULI[TANGGAL],TBLREKAPJULI[[#This Row],[TANGGAL]],TBLPRODUKKELUARJULI[TOTAL MODAL])</f>
        <v>109927.22169059012</v>
      </c>
      <c r="F13" s="2">
        <f>SUMIF(TBLPRODUKKELUARJULI[TANGGAL],TBLREKAPJULI[[#This Row],[TANGGAL]],TBLPRODUKKELUARJULI[TAKE HOME KOMISI UTAMA])</f>
        <v>10992.72216905901</v>
      </c>
      <c r="G13" s="2">
        <f>SUMIF(TBLPRODUKKELUARJULI[TANGGAL],TBLREKAPJULI[[#This Row],[TANGGAL]],TBLPRODUKKELUARJULI[TOTAL LABA BERSIH TOKO])</f>
        <v>30080.056140350876</v>
      </c>
      <c r="I13" s="10"/>
      <c r="J13" s="270"/>
    </row>
    <row r="14" spans="1:10" x14ac:dyDescent="0.3">
      <c r="A14" s="4">
        <v>2026</v>
      </c>
      <c r="B14" s="4" t="s">
        <v>590</v>
      </c>
      <c r="C14" s="15">
        <v>46210</v>
      </c>
      <c r="D14" s="2">
        <f>SUMIF(TBLPRODUKKELUARJULI[TANGGAL],TBLREKAPJULI[[#This Row],[TANGGAL]],TBLPRODUKKELUARJULI[TOTAL HARGA JUAL])</f>
        <v>63000</v>
      </c>
      <c r="E14" s="2">
        <f>SUMIF(TBLPRODUKKELUARJULI[TANGGAL],TBLREKAPJULI[[#This Row],[TANGGAL]],TBLPRODUKKELUARJULI[TOTAL MODAL])</f>
        <v>43090.736842105267</v>
      </c>
      <c r="F14" s="2">
        <f>SUMIF(TBLPRODUKKELUARJULI[TANGGAL],TBLREKAPJULI[[#This Row],[TANGGAL]],TBLPRODUKKELUARJULI[TAKE HOME KOMISI UTAMA])</f>
        <v>4309.0736842105262</v>
      </c>
      <c r="G14" s="2">
        <f>SUMIF(TBLPRODUKKELUARJULI[TANGGAL],TBLREKAPJULI[[#This Row],[TANGGAL]],TBLPRODUKKELUARJULI[TOTAL LABA BERSIH TOKO])</f>
        <v>15600.18947368421</v>
      </c>
    </row>
    <row r="15" spans="1:10" x14ac:dyDescent="0.3">
      <c r="A15" s="4">
        <v>2026</v>
      </c>
      <c r="B15" s="4" t="s">
        <v>590</v>
      </c>
      <c r="C15" s="15">
        <v>46211</v>
      </c>
      <c r="D15" s="2">
        <f>SUMIF(TBLPRODUKKELUARJULI[TANGGAL],TBLREKAPJULI[[#This Row],[TANGGAL]],TBLPRODUKKELUARJULI[TOTAL HARGA JUAL])</f>
        <v>114000</v>
      </c>
      <c r="E15" s="2">
        <f>SUMIF(TBLPRODUKKELUARJULI[TANGGAL],TBLREKAPJULI[[#This Row],[TANGGAL]],TBLPRODUKKELUARJULI[TOTAL MODAL])</f>
        <v>84514.79744816586</v>
      </c>
      <c r="F15" s="2">
        <f>SUMIF(TBLPRODUKKELUARJULI[TANGGAL],TBLREKAPJULI[[#This Row],[TANGGAL]],TBLPRODUKKELUARJULI[TAKE HOME KOMISI UTAMA])</f>
        <v>8451.4797448165882</v>
      </c>
      <c r="G15" s="2">
        <f>SUMIF(TBLPRODUKKELUARJULI[TANGGAL],TBLREKAPJULI[[#This Row],[TANGGAL]],TBLPRODUKKELUARJULI[TOTAL LABA BERSIH TOKO])</f>
        <v>21033.722807017544</v>
      </c>
    </row>
    <row r="16" spans="1:10" x14ac:dyDescent="0.3">
      <c r="A16" s="4">
        <v>2026</v>
      </c>
      <c r="B16" s="4" t="s">
        <v>590</v>
      </c>
      <c r="C16" s="15">
        <v>46212</v>
      </c>
      <c r="D16" s="2">
        <f>SUMIF(TBLPRODUKKELUARJULI[TANGGAL],TBLREKAPJULI[[#This Row],[TANGGAL]],TBLPRODUKKELUARJULI[TOTAL HARGA JUAL])</f>
        <v>183000</v>
      </c>
      <c r="E16" s="2">
        <f>SUMIF(TBLPRODUKKELUARJULI[TANGGAL],TBLREKAPJULI[[#This Row],[TANGGAL]],TBLPRODUKKELUARJULI[TOTAL MODAL])</f>
        <v>125933.92982456139</v>
      </c>
      <c r="F16" s="2">
        <f>SUMIF(TBLPRODUKKELUARJULI[TANGGAL],TBLREKAPJULI[[#This Row],[TANGGAL]],TBLPRODUKKELUARJULI[TAKE HOME KOMISI UTAMA])</f>
        <v>12593.39298245614</v>
      </c>
      <c r="G16" s="2">
        <f>SUMIF(TBLPRODUKKELUARJULI[TANGGAL],TBLREKAPJULI[[#This Row],[TANGGAL]],TBLPRODUKKELUARJULI[TOTAL LABA BERSIH TOKO])</f>
        <v>44472.677192982461</v>
      </c>
    </row>
    <row r="17" spans="1:7" x14ac:dyDescent="0.3">
      <c r="A17" s="4">
        <v>2026</v>
      </c>
      <c r="B17" s="4" t="s">
        <v>590</v>
      </c>
      <c r="C17" s="15">
        <v>46213</v>
      </c>
      <c r="D17" s="2">
        <f>SUMIF(TBLPRODUKKELUARJULI[TANGGAL],TBLREKAPJULI[[#This Row],[TANGGAL]],TBLPRODUKKELUARJULI[TOTAL HARGA JUAL])</f>
        <v>63000</v>
      </c>
      <c r="E17" s="2">
        <f>SUMIF(TBLPRODUKKELUARJULI[TANGGAL],TBLREKAPJULI[[#This Row],[TANGGAL]],TBLPRODUKKELUARJULI[TOTAL MODAL])</f>
        <v>43135.350877192977</v>
      </c>
      <c r="F17" s="2">
        <f>SUMIF(TBLPRODUKKELUARJULI[TANGGAL],TBLREKAPJULI[[#This Row],[TANGGAL]],TBLPRODUKKELUARJULI[TAKE HOME KOMISI UTAMA])</f>
        <v>4313.5350877192977</v>
      </c>
      <c r="G17" s="2">
        <f>SUMIF(TBLPRODUKKELUARJULI[TANGGAL],TBLREKAPJULI[[#This Row],[TANGGAL]],TBLPRODUKKELUARJULI[TOTAL LABA BERSIH TOKO])</f>
        <v>15551.114035087723</v>
      </c>
    </row>
    <row r="18" spans="1:7" x14ac:dyDescent="0.3">
      <c r="A18" s="4">
        <v>2026</v>
      </c>
      <c r="B18" s="4" t="s">
        <v>590</v>
      </c>
      <c r="C18" s="15">
        <v>46214</v>
      </c>
      <c r="D18" s="2">
        <f>SUMIF(TBLPRODUKKELUARJULI[TANGGAL],TBLREKAPJULI[[#This Row],[TANGGAL]],TBLPRODUKKELUARJULI[TOTAL HARGA JUAL])</f>
        <v>204000</v>
      </c>
      <c r="E18" s="2">
        <f>SUMIF(TBLPRODUKKELUARJULI[TANGGAL],TBLREKAPJULI[[#This Row],[TANGGAL]],TBLPRODUKKELUARJULI[TOTAL MODAL])</f>
        <v>154441.59409888356</v>
      </c>
      <c r="F18" s="2">
        <f>SUMIF(TBLPRODUKKELUARJULI[TANGGAL],TBLREKAPJULI[[#This Row],[TANGGAL]],TBLPRODUKKELUARJULI[TAKE HOME KOMISI UTAMA])</f>
        <v>15444.159409888358</v>
      </c>
      <c r="G18" s="2">
        <f>SUMIF(TBLPRODUKKELUARJULI[TANGGAL],TBLREKAPJULI[[#This Row],[TANGGAL]],TBLPRODUKKELUARJULI[TOTAL LABA BERSIH TOKO])</f>
        <v>34114.246491228078</v>
      </c>
    </row>
    <row r="19" spans="1:7" x14ac:dyDescent="0.3">
      <c r="A19" s="4">
        <v>2026</v>
      </c>
      <c r="B19" s="4" t="s">
        <v>590</v>
      </c>
      <c r="C19" s="15">
        <v>46215</v>
      </c>
      <c r="D19" s="2">
        <f>SUMIF(TBLPRODUKKELUARJULI[TANGGAL],TBLREKAPJULI[[#This Row],[TANGGAL]],TBLPRODUKKELUARJULI[TOTAL HARGA JUAL])</f>
        <v>90000</v>
      </c>
      <c r="E19" s="2">
        <f>SUMIF(TBLPRODUKKELUARJULI[TANGGAL],TBLREKAPJULI[[#This Row],[TANGGAL]],TBLPRODUKKELUARJULI[TOTAL MODAL])</f>
        <v>61501.929824561405</v>
      </c>
      <c r="F19" s="2">
        <f>SUMIF(TBLPRODUKKELUARJULI[TANGGAL],TBLREKAPJULI[[#This Row],[TANGGAL]],TBLPRODUKKELUARJULI[TAKE HOME KOMISI UTAMA])</f>
        <v>6150.1929824561403</v>
      </c>
      <c r="G19" s="2">
        <f>SUMIF(TBLPRODUKKELUARJULI[TANGGAL],TBLREKAPJULI[[#This Row],[TANGGAL]],TBLPRODUKKELUARJULI[TOTAL LABA BERSIH TOKO])</f>
        <v>22347.877192982462</v>
      </c>
    </row>
    <row r="20" spans="1:7" x14ac:dyDescent="0.3">
      <c r="A20" s="4">
        <v>2026</v>
      </c>
      <c r="B20" s="4" t="s">
        <v>590</v>
      </c>
      <c r="C20" s="15">
        <v>46216</v>
      </c>
      <c r="D20" s="2">
        <f>SUMIF(TBLPRODUKKELUARJULI[TANGGAL],TBLREKAPJULI[[#This Row],[TANGGAL]],TBLPRODUKKELUARJULI[TOTAL HARGA JUAL])</f>
        <v>108000</v>
      </c>
      <c r="E20" s="2">
        <f>SUMIF(TBLPRODUKKELUARJULI[TANGGAL],TBLREKAPJULI[[#This Row],[TANGGAL]],TBLPRODUKKELUARJULI[TOTAL MODAL])</f>
        <v>73606.31578947368</v>
      </c>
      <c r="F20" s="2">
        <f>SUMIF(TBLPRODUKKELUARJULI[TANGGAL],TBLREKAPJULI[[#This Row],[TANGGAL]],TBLPRODUKKELUARJULI[TAKE HOME KOMISI UTAMA])</f>
        <v>7360.6315789473683</v>
      </c>
      <c r="G20" s="2">
        <f>SUMIF(TBLPRODUKKELUARJULI[TANGGAL],TBLREKAPJULI[[#This Row],[TANGGAL]],TBLPRODUKKELUARJULI[TOTAL LABA BERSIH TOKO])</f>
        <v>27033.052631578954</v>
      </c>
    </row>
    <row r="21" spans="1:7" x14ac:dyDescent="0.3">
      <c r="A21" s="4">
        <v>2026</v>
      </c>
      <c r="B21" s="4" t="s">
        <v>590</v>
      </c>
      <c r="C21" s="15">
        <v>46217</v>
      </c>
      <c r="D21" s="2">
        <f>SUMIF(TBLPRODUKKELUARJULI[TANGGAL],TBLREKAPJULI[[#This Row],[TANGGAL]],TBLPRODUKKELUARJULI[TOTAL HARGA JUAL])</f>
        <v>36000</v>
      </c>
      <c r="E21" s="2">
        <f>SUMIF(TBLPRODUKKELUARJULI[TANGGAL],TBLREKAPJULI[[#This Row],[TANGGAL]],TBLPRODUKKELUARJULI[TOTAL MODAL])</f>
        <v>24628.771929824561</v>
      </c>
      <c r="F21" s="2">
        <f>SUMIF(TBLPRODUKKELUARJULI[TANGGAL],TBLREKAPJULI[[#This Row],[TANGGAL]],TBLPRODUKKELUARJULI[TAKE HOME KOMISI UTAMA])</f>
        <v>2462.8771929824561</v>
      </c>
      <c r="G21" s="2">
        <f>SUMIF(TBLPRODUKKELUARJULI[TANGGAL],TBLREKAPJULI[[#This Row],[TANGGAL]],TBLPRODUKKELUARJULI[TOTAL LABA BERSIH TOKO])</f>
        <v>8908.3508771929846</v>
      </c>
    </row>
    <row r="22" spans="1:7" x14ac:dyDescent="0.3">
      <c r="A22" s="4">
        <v>2026</v>
      </c>
      <c r="B22" s="4" t="s">
        <v>590</v>
      </c>
      <c r="C22" s="15">
        <v>46218</v>
      </c>
      <c r="D22" s="2">
        <f>SUMIF(TBLPRODUKKELUARJULI[TANGGAL],TBLREKAPJULI[[#This Row],[TANGGAL]],TBLPRODUKKELUARJULI[TOTAL HARGA JUAL])</f>
        <v>54000</v>
      </c>
      <c r="E22" s="2">
        <f>SUMIF(TBLPRODUKKELUARJULI[TANGGAL],TBLREKAPJULI[[#This Row],[TANGGAL]],TBLPRODUKKELUARJULI[TOTAL MODAL])</f>
        <v>36943.15789473684</v>
      </c>
      <c r="F22" s="2">
        <f>SUMIF(TBLPRODUKKELUARJULI[TANGGAL],TBLREKAPJULI[[#This Row],[TANGGAL]],TBLPRODUKKELUARJULI[TAKE HOME KOMISI UTAMA])</f>
        <v>3694.3157894736842</v>
      </c>
      <c r="G22" s="2">
        <f>SUMIF(TBLPRODUKKELUARJULI[TANGGAL],TBLREKAPJULI[[#This Row],[TANGGAL]],TBLPRODUKKELUARJULI[TOTAL LABA BERSIH TOKO])</f>
        <v>13362.526315789477</v>
      </c>
    </row>
    <row r="23" spans="1:7" x14ac:dyDescent="0.3">
      <c r="A23" s="4">
        <v>2026</v>
      </c>
      <c r="B23" s="4" t="s">
        <v>590</v>
      </c>
      <c r="C23" s="15">
        <v>46220</v>
      </c>
      <c r="D23" s="2">
        <f>SUMIF(TBLPRODUKKELUARJULI[TANGGAL],TBLREKAPJULI[[#This Row],[TANGGAL]],TBLPRODUKKELUARJULI[TOTAL HARGA JUAL])</f>
        <v>126000</v>
      </c>
      <c r="E23" s="2">
        <f>SUMIF(TBLPRODUKKELUARJULI[TANGGAL],TBLREKAPJULI[[#This Row],[TANGGAL]],TBLPRODUKKELUARJULI[TOTAL MODAL])</f>
        <v>94440.548644338123</v>
      </c>
      <c r="F23" s="2">
        <f>SUMIF(TBLPRODUKKELUARJULI[TANGGAL],TBLREKAPJULI[[#This Row],[TANGGAL]],TBLPRODUKKELUARJULI[TAKE HOME KOMISI UTAMA])</f>
        <v>9444.0548644338123</v>
      </c>
      <c r="G23" s="2">
        <f>SUMIF(TBLPRODUKKELUARJULI[TANGGAL],TBLREKAPJULI[[#This Row],[TANGGAL]],TBLPRODUKKELUARJULI[TOTAL LABA BERSIH TOKO])</f>
        <v>22115.396491228072</v>
      </c>
    </row>
    <row r="24" spans="1:7" x14ac:dyDescent="0.3">
      <c r="A24" s="4">
        <v>2026</v>
      </c>
      <c r="B24" s="4" t="s">
        <v>590</v>
      </c>
      <c r="C24" s="15">
        <v>46221</v>
      </c>
      <c r="D24" s="2">
        <f>SUMIF(TBLPRODUKKELUARJULI[TANGGAL],TBLREKAPJULI[[#This Row],[TANGGAL]],TBLPRODUKKELUARJULI[TOTAL HARGA JUAL])</f>
        <v>136000</v>
      </c>
      <c r="E24" s="2">
        <f>SUMIF(TBLPRODUKKELUARJULI[TANGGAL],TBLREKAPJULI[[#This Row],[TANGGAL]],TBLPRODUKKELUARJULI[TOTAL MODAL])</f>
        <v>101391.41945773523</v>
      </c>
      <c r="F24" s="2">
        <f>SUMIF(TBLPRODUKKELUARJULI[TANGGAL],TBLREKAPJULI[[#This Row],[TANGGAL]],TBLPRODUKKELUARJULI[TAKE HOME KOMISI UTAMA])</f>
        <v>10139.141945773525</v>
      </c>
      <c r="G24" s="2">
        <f>SUMIF(TBLPRODUKKELUARJULI[TANGGAL],TBLREKAPJULI[[#This Row],[TANGGAL]],TBLPRODUKKELUARJULI[TOTAL LABA BERSIH TOKO])</f>
        <v>24469.438596491236</v>
      </c>
    </row>
    <row r="25" spans="1:7" x14ac:dyDescent="0.3">
      <c r="A25" s="4">
        <v>2026</v>
      </c>
      <c r="B25" s="4" t="s">
        <v>590</v>
      </c>
      <c r="C25" s="15">
        <v>46222</v>
      </c>
      <c r="D25" s="2">
        <f>SUMIF(TBLPRODUKKELUARJULI[TANGGAL],TBLREKAPJULI[[#This Row],[TANGGAL]],TBLPRODUKKELUARJULI[TOTAL HARGA JUAL])</f>
        <v>36000</v>
      </c>
      <c r="E25" s="2">
        <f>SUMIF(TBLPRODUKKELUARJULI[TANGGAL],TBLREKAPJULI[[#This Row],[TANGGAL]],TBLPRODUKKELUARJULI[TOTAL MODAL])</f>
        <v>24698.771929824561</v>
      </c>
      <c r="F25" s="2">
        <f>SUMIF(TBLPRODUKKELUARJULI[TANGGAL],TBLREKAPJULI[[#This Row],[TANGGAL]],TBLPRODUKKELUARJULI[TAKE HOME KOMISI UTAMA])</f>
        <v>2469.8771929824561</v>
      </c>
      <c r="G25" s="2">
        <f>SUMIF(TBLPRODUKKELUARJULI[TANGGAL],TBLREKAPJULI[[#This Row],[TANGGAL]],TBLPRODUKKELUARJULI[TOTAL LABA BERSIH TOKO])</f>
        <v>8831.3508771929846</v>
      </c>
    </row>
    <row r="26" spans="1:7" x14ac:dyDescent="0.3">
      <c r="A26" s="4">
        <v>2026</v>
      </c>
      <c r="B26" s="4" t="s">
        <v>590</v>
      </c>
      <c r="C26" s="15">
        <v>46223</v>
      </c>
      <c r="D26" s="2">
        <f>SUMIF(TBLPRODUKKELUARJULI[TANGGAL],TBLREKAPJULI[[#This Row],[TANGGAL]],TBLPRODUKKELUARJULI[TOTAL HARGA JUAL])</f>
        <v>139000</v>
      </c>
      <c r="E26" s="2">
        <f>SUMIF(TBLPRODUKKELUARJULI[TANGGAL],TBLREKAPJULI[[#This Row],[TANGGAL]],TBLPRODUKKELUARJULI[TOTAL MODAL])</f>
        <v>111099.84370015949</v>
      </c>
      <c r="F26" s="2">
        <f>SUMIF(TBLPRODUKKELUARJULI[TANGGAL],TBLREKAPJULI[[#This Row],[TANGGAL]],TBLPRODUKKELUARJULI[TAKE HOME KOMISI UTAMA])</f>
        <v>11109.984370015949</v>
      </c>
      <c r="G26" s="2">
        <f>SUMIF(TBLPRODUKKELUARJULI[TANGGAL],TBLREKAPJULI[[#This Row],[TANGGAL]],TBLPRODUKKELUARJULI[TOTAL LABA BERSIH TOKO])</f>
        <v>16790.17192982457</v>
      </c>
    </row>
    <row r="27" spans="1:7" x14ac:dyDescent="0.3">
      <c r="A27" s="4">
        <v>2026</v>
      </c>
      <c r="B27" s="4" t="s">
        <v>590</v>
      </c>
      <c r="C27" s="15">
        <v>46226</v>
      </c>
      <c r="D27" s="2">
        <f>SUMIF(TBLPRODUKKELUARJULI[TANGGAL],TBLREKAPJULI[[#This Row],[TANGGAL]],TBLPRODUKKELUARJULI[TOTAL HARGA JUAL])</f>
        <v>27000</v>
      </c>
      <c r="E27" s="2">
        <f>SUMIF(TBLPRODUKKELUARJULI[TANGGAL],TBLREKAPJULI[[#This Row],[TANGGAL]],TBLPRODUKKELUARJULI[TOTAL MODAL])</f>
        <v>18506.57894736842</v>
      </c>
      <c r="F27" s="2">
        <f>SUMIF(TBLPRODUKKELUARJULI[TANGGAL],TBLREKAPJULI[[#This Row],[TANGGAL]],TBLPRODUKKELUARJULI[TAKE HOME KOMISI UTAMA])</f>
        <v>1850.6578947368421</v>
      </c>
      <c r="G27" s="2">
        <f>SUMIF(TBLPRODUKKELUARJULI[TANGGAL],TBLREKAPJULI[[#This Row],[TANGGAL]],TBLPRODUKKELUARJULI[TOTAL LABA BERSIH TOKO])</f>
        <v>6642.7631578947385</v>
      </c>
    </row>
    <row r="28" spans="1:7" x14ac:dyDescent="0.3">
      <c r="A28" s="4">
        <v>2026</v>
      </c>
      <c r="B28" s="4" t="s">
        <v>590</v>
      </c>
      <c r="C28" s="15">
        <v>46227</v>
      </c>
      <c r="D28" s="2">
        <f>SUMIF(TBLPRODUKKELUARJULI[TANGGAL],TBLREKAPJULI[[#This Row],[TANGGAL]],TBLPRODUKKELUARJULI[TOTAL HARGA JUAL])</f>
        <v>84000</v>
      </c>
      <c r="E28" s="2">
        <f>SUMIF(TBLPRODUKKELUARJULI[TANGGAL],TBLREKAPJULI[[#This Row],[TANGGAL]],TBLPRODUKKELUARJULI[TOTAL MODAL])</f>
        <v>58572.649122807008</v>
      </c>
      <c r="F28" s="2">
        <f>SUMIF(TBLPRODUKKELUARJULI[TANGGAL],TBLREKAPJULI[[#This Row],[TANGGAL]],TBLPRODUKKELUARJULI[TAKE HOME KOMISI UTAMA])</f>
        <v>5857.2649122807015</v>
      </c>
      <c r="G28" s="2">
        <f>SUMIF(TBLPRODUKKELUARJULI[TANGGAL],TBLREKAPJULI[[#This Row],[TANGGAL]],TBLPRODUKKELUARJULI[TOTAL LABA BERSIH TOKO])</f>
        <v>19570.085964912283</v>
      </c>
    </row>
    <row r="29" spans="1:7" x14ac:dyDescent="0.3">
      <c r="A29" s="4">
        <v>2026</v>
      </c>
      <c r="B29" s="4" t="s">
        <v>590</v>
      </c>
      <c r="C29" s="15">
        <v>46228</v>
      </c>
      <c r="D29" s="2">
        <f>SUMIF(TBLPRODUKKELUARJULI[TANGGAL],TBLREKAPJULI[[#This Row],[TANGGAL]],TBLPRODUKKELUARJULI[TOTAL HARGA JUAL])</f>
        <v>36000</v>
      </c>
      <c r="E29" s="2">
        <f>SUMIF(TBLPRODUKKELUARJULI[TANGGAL],TBLREKAPJULI[[#This Row],[TANGGAL]],TBLPRODUKKELUARJULI[TOTAL MODAL])</f>
        <v>24698.771929824561</v>
      </c>
      <c r="F29" s="2">
        <f>SUMIF(TBLPRODUKKELUARJULI[TANGGAL],TBLREKAPJULI[[#This Row],[TANGGAL]],TBLPRODUKKELUARJULI[TAKE HOME KOMISI UTAMA])</f>
        <v>2469.8771929824561</v>
      </c>
      <c r="G29" s="2">
        <f>SUMIF(TBLPRODUKKELUARJULI[TANGGAL],TBLREKAPJULI[[#This Row],[TANGGAL]],TBLPRODUKKELUARJULI[TOTAL LABA BERSIH TOKO])</f>
        <v>8831.3508771929846</v>
      </c>
    </row>
  </sheetData>
  <mergeCells count="3">
    <mergeCell ref="A1:G1"/>
    <mergeCell ref="I10:I12"/>
    <mergeCell ref="J10:J13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topLeftCell="A2" zoomScale="90" zoomScaleNormal="90" workbookViewId="0">
      <selection activeCell="H24" sqref="H24"/>
    </sheetView>
  </sheetViews>
  <sheetFormatPr defaultRowHeight="14.4" x14ac:dyDescent="0.3"/>
  <cols>
    <col min="1" max="3" width="18.109375" style="1" customWidth="1"/>
    <col min="4" max="4" width="27.33203125" style="1" customWidth="1"/>
    <col min="5" max="5" width="16" style="1" customWidth="1"/>
    <col min="6" max="6" width="52.5546875" style="1" customWidth="1"/>
    <col min="7" max="7" width="13.33203125" style="10" customWidth="1"/>
    <col min="8" max="8" width="13" style="2" customWidth="1"/>
    <col min="9" max="9" width="12.6640625" style="2" bestFit="1" customWidth="1"/>
    <col min="10" max="10" width="9.44140625" customWidth="1"/>
    <col min="11" max="11" width="13.44140625" customWidth="1"/>
    <col min="12" max="12" width="15.109375" customWidth="1"/>
    <col min="14" max="14" width="11.44140625" customWidth="1"/>
    <col min="15" max="15" width="15.44140625" customWidth="1"/>
  </cols>
  <sheetData>
    <row r="1" spans="1:9" x14ac:dyDescent="0.3">
      <c r="A1" s="271" t="s">
        <v>53</v>
      </c>
      <c r="B1" s="271"/>
      <c r="C1" s="271"/>
      <c r="D1" s="271"/>
      <c r="E1" s="271"/>
      <c r="F1" s="271"/>
      <c r="G1" s="271"/>
    </row>
    <row r="2" spans="1:9" x14ac:dyDescent="0.3">
      <c r="A2" s="1" t="s">
        <v>577</v>
      </c>
    </row>
    <row r="3" spans="1:9" ht="28.8" x14ac:dyDescent="0.3">
      <c r="A3" s="1" t="s">
        <v>109</v>
      </c>
      <c r="B3" s="1" t="s">
        <v>61</v>
      </c>
      <c r="C3" s="1" t="s">
        <v>1</v>
      </c>
      <c r="D3" s="1" t="s">
        <v>54</v>
      </c>
      <c r="E3" s="1" t="s">
        <v>56</v>
      </c>
      <c r="F3" s="1" t="s">
        <v>110</v>
      </c>
      <c r="G3" s="10" t="s">
        <v>112</v>
      </c>
      <c r="H3" s="10" t="s">
        <v>111</v>
      </c>
      <c r="I3" s="10" t="s">
        <v>57</v>
      </c>
    </row>
    <row r="4" spans="1:9" x14ac:dyDescent="0.3">
      <c r="A4" s="85">
        <v>2026</v>
      </c>
      <c r="B4" s="18" t="s">
        <v>577</v>
      </c>
      <c r="C4" s="18">
        <v>46190</v>
      </c>
      <c r="D4" s="1" t="s">
        <v>12</v>
      </c>
      <c r="F4" s="1" t="s">
        <v>582</v>
      </c>
      <c r="G4" s="10">
        <f>TBLKOMISICAMPURANJUNI[[#This Row],[SISA KOMISI]]</f>
        <v>0</v>
      </c>
      <c r="H4" s="10">
        <f>5000+6000</f>
        <v>11000</v>
      </c>
      <c r="I4" s="10">
        <f>TBLKOMISICAMPURANJUNI[[#This Row],[NILAI SISA KOMISI]]+TBLKOMISICAMPURANJUNI[[#This Row],[NILAI KOMISI LAIN LAIN]]</f>
        <v>11000</v>
      </c>
    </row>
    <row r="5" spans="1:9" x14ac:dyDescent="0.3">
      <c r="A5" s="1">
        <v>2026</v>
      </c>
      <c r="B5" s="18" t="s">
        <v>577</v>
      </c>
      <c r="C5" s="18">
        <v>46198</v>
      </c>
      <c r="D5" s="1" t="s">
        <v>12</v>
      </c>
      <c r="F5" s="1" t="s">
        <v>524</v>
      </c>
      <c r="G5" s="10">
        <f>TBLKOMISICAMPURANJUNI[[#This Row],[SISA KOMISI]]</f>
        <v>0</v>
      </c>
      <c r="H5" s="10">
        <v>3000</v>
      </c>
      <c r="I5" s="10">
        <f>TBLKOMISICAMPURANJUNI[[#This Row],[NILAI SISA KOMISI]]+TBLKOMISICAMPURANJUNI[[#This Row],[NILAI KOMISI LAIN LAIN]]</f>
        <v>3000</v>
      </c>
    </row>
    <row r="8" spans="1:9" x14ac:dyDescent="0.3">
      <c r="A8" s="1" t="s">
        <v>590</v>
      </c>
    </row>
    <row r="9" spans="1:9" ht="28.8" x14ac:dyDescent="0.3">
      <c r="A9" s="1" t="s">
        <v>109</v>
      </c>
      <c r="B9" s="1" t="s">
        <v>61</v>
      </c>
      <c r="C9" s="1" t="s">
        <v>1</v>
      </c>
      <c r="D9" s="1" t="s">
        <v>54</v>
      </c>
      <c r="E9" s="1" t="s">
        <v>56</v>
      </c>
      <c r="F9" s="1" t="s">
        <v>110</v>
      </c>
      <c r="G9" s="10" t="s">
        <v>112</v>
      </c>
      <c r="H9" s="10" t="s">
        <v>111</v>
      </c>
      <c r="I9" s="10" t="s">
        <v>57</v>
      </c>
    </row>
    <row r="10" spans="1:9" ht="15" customHeight="1" x14ac:dyDescent="0.3">
      <c r="A10" s="85">
        <v>2026</v>
      </c>
      <c r="B10" s="18" t="s">
        <v>590</v>
      </c>
      <c r="C10" s="18">
        <v>46206</v>
      </c>
      <c r="D10" s="1" t="s">
        <v>12</v>
      </c>
      <c r="F10" s="1" t="s">
        <v>593</v>
      </c>
      <c r="G10" s="10">
        <f>TBLKOMISICAMPURANJULI[[#This Row],[SISA KOMISI]]</f>
        <v>0</v>
      </c>
      <c r="H10" s="10">
        <v>3000</v>
      </c>
      <c r="I10" s="10">
        <f>TBLKOMISICAMPURANJULI[[#This Row],[NILAI SISA KOMISI]]+TBLKOMISICAMPURANJULI[[#This Row],[NILAI KOMISI LAIN LAIN]]</f>
        <v>3000</v>
      </c>
    </row>
    <row r="11" spans="1:9" ht="15" customHeight="1" x14ac:dyDescent="0.3">
      <c r="A11" s="1">
        <v>2026</v>
      </c>
      <c r="B11" s="18" t="s">
        <v>590</v>
      </c>
      <c r="C11" s="18">
        <v>46207</v>
      </c>
      <c r="D11" s="1" t="s">
        <v>12</v>
      </c>
      <c r="F11" s="1" t="s">
        <v>594</v>
      </c>
      <c r="G11" s="10">
        <f>TBLKOMISICAMPURANJULI[[#This Row],[SISA KOMISI]]</f>
        <v>0</v>
      </c>
      <c r="H11" s="10">
        <f>3000+3000+18000</f>
        <v>24000</v>
      </c>
      <c r="I11" s="10">
        <f>TBLKOMISICAMPURANJULI[[#This Row],[NILAI SISA KOMISI]]+TBLKOMISICAMPURANJULI[[#This Row],[NILAI KOMISI LAIN LAIN]]</f>
        <v>24000</v>
      </c>
    </row>
    <row r="12" spans="1:9" x14ac:dyDescent="0.3">
      <c r="A12" s="85">
        <v>2026</v>
      </c>
      <c r="B12" s="18" t="s">
        <v>590</v>
      </c>
      <c r="C12" s="18">
        <v>46208</v>
      </c>
      <c r="D12" s="1" t="s">
        <v>12</v>
      </c>
      <c r="F12" s="1" t="s">
        <v>602</v>
      </c>
      <c r="G12" s="10">
        <f>TBLKOMISICAMPURANJULI[[#This Row],[SISA KOMISI]]</f>
        <v>0</v>
      </c>
      <c r="H12" s="10">
        <v>10000</v>
      </c>
      <c r="I12" s="10">
        <f>TBLKOMISICAMPURANJULI[[#This Row],[NILAI SISA KOMISI]]+TBLKOMISICAMPURANJULI[[#This Row],[NILAI KOMISI LAIN LAIN]]</f>
        <v>10000</v>
      </c>
    </row>
    <row r="13" spans="1:9" x14ac:dyDescent="0.3">
      <c r="A13" s="1">
        <v>2026</v>
      </c>
      <c r="B13" s="18" t="s">
        <v>590</v>
      </c>
      <c r="C13" s="18">
        <v>46209</v>
      </c>
      <c r="D13" s="1" t="s">
        <v>12</v>
      </c>
      <c r="F13" s="1" t="s">
        <v>524</v>
      </c>
      <c r="G13" s="10">
        <f>TBLKOMISICAMPURANJULI[[#This Row],[SISA KOMISI]]</f>
        <v>0</v>
      </c>
      <c r="H13" s="10">
        <v>2000</v>
      </c>
      <c r="I13" s="10">
        <f>TBLKOMISICAMPURANJULI[[#This Row],[NILAI SISA KOMISI]]+TBLKOMISICAMPURANJULI[[#This Row],[NILAI KOMISI LAIN LAIN]]</f>
        <v>2000</v>
      </c>
    </row>
    <row r="14" spans="1:9" x14ac:dyDescent="0.3">
      <c r="A14" s="1">
        <v>2026</v>
      </c>
      <c r="B14" s="18" t="s">
        <v>590</v>
      </c>
      <c r="C14" s="18">
        <v>46210</v>
      </c>
      <c r="D14" s="1" t="s">
        <v>12</v>
      </c>
      <c r="F14" s="1" t="s">
        <v>524</v>
      </c>
      <c r="G14" s="10">
        <f>TBLKOMISICAMPURANJULI[[#This Row],[SISA KOMISI]]</f>
        <v>0</v>
      </c>
      <c r="H14" s="10">
        <v>2000</v>
      </c>
      <c r="I14" s="10">
        <f>TBLKOMISICAMPURANJULI[[#This Row],[NILAI SISA KOMISI]]+TBLKOMISICAMPURANJULI[[#This Row],[NILAI KOMISI LAIN LAIN]]</f>
        <v>2000</v>
      </c>
    </row>
    <row r="15" spans="1:9" x14ac:dyDescent="0.3">
      <c r="A15" s="1">
        <v>2026</v>
      </c>
      <c r="B15" s="18" t="s">
        <v>590</v>
      </c>
      <c r="C15" s="18">
        <v>46211</v>
      </c>
      <c r="D15" s="1" t="s">
        <v>12</v>
      </c>
      <c r="F15" s="1" t="s">
        <v>524</v>
      </c>
      <c r="G15" s="10">
        <f>TBLKOMISICAMPURANJULI[[#This Row],[SISA KOMISI]]</f>
        <v>0</v>
      </c>
      <c r="H15" s="10">
        <v>2000</v>
      </c>
      <c r="I15" s="10">
        <f>TBLKOMISICAMPURANJULI[[#This Row],[NILAI SISA KOMISI]]+TBLKOMISICAMPURANJULI[[#This Row],[NILAI KOMISI LAIN LAIN]]</f>
        <v>2000</v>
      </c>
    </row>
    <row r="16" spans="1:9" x14ac:dyDescent="0.3">
      <c r="A16" s="1">
        <v>2026</v>
      </c>
      <c r="B16" s="18" t="s">
        <v>590</v>
      </c>
      <c r="C16" s="18">
        <v>46212</v>
      </c>
      <c r="D16" s="1" t="s">
        <v>12</v>
      </c>
      <c r="F16" s="1" t="s">
        <v>602</v>
      </c>
      <c r="G16" s="10">
        <f>TBLKOMISICAMPURANJULI[[#This Row],[SISA KOMISI]]</f>
        <v>0</v>
      </c>
      <c r="H16" s="10">
        <v>5000</v>
      </c>
      <c r="I16" s="10">
        <f>TBLKOMISICAMPURANJULI[[#This Row],[NILAI SISA KOMISI]]+TBLKOMISICAMPURANJULI[[#This Row],[NILAI KOMISI LAIN LAIN]]</f>
        <v>5000</v>
      </c>
    </row>
    <row r="17" spans="1:9" x14ac:dyDescent="0.3">
      <c r="A17" s="1">
        <v>2026</v>
      </c>
      <c r="B17" s="18" t="s">
        <v>590</v>
      </c>
      <c r="C17" s="18">
        <v>46214</v>
      </c>
      <c r="D17" s="1" t="s">
        <v>12</v>
      </c>
      <c r="F17" s="1" t="s">
        <v>524</v>
      </c>
      <c r="G17" s="10">
        <f>TBLKOMISICAMPURANJULI[[#This Row],[SISA KOMISI]]</f>
        <v>0</v>
      </c>
      <c r="H17" s="10">
        <v>5000</v>
      </c>
      <c r="I17" s="10">
        <f>TBLKOMISICAMPURANJULI[[#This Row],[NILAI SISA KOMISI]]+TBLKOMISICAMPURANJULI[[#This Row],[NILAI KOMISI LAIN LAIN]]</f>
        <v>5000</v>
      </c>
    </row>
    <row r="18" spans="1:9" x14ac:dyDescent="0.3">
      <c r="A18" s="1">
        <v>2026</v>
      </c>
      <c r="B18" s="18" t="s">
        <v>590</v>
      </c>
      <c r="C18" s="18">
        <v>46215</v>
      </c>
      <c r="D18" s="1" t="s">
        <v>12</v>
      </c>
      <c r="F18" s="1" t="s">
        <v>602</v>
      </c>
      <c r="G18" s="10">
        <f>TBLKOMISICAMPURANJULI[[#This Row],[SISA KOMISI]]</f>
        <v>0</v>
      </c>
      <c r="H18" s="10">
        <v>5000</v>
      </c>
      <c r="I18" s="10">
        <f>TBLKOMISICAMPURANJULI[[#This Row],[NILAI SISA KOMISI]]+TBLKOMISICAMPURANJULI[[#This Row],[NILAI KOMISI LAIN LAIN]]</f>
        <v>5000</v>
      </c>
    </row>
    <row r="19" spans="1:9" x14ac:dyDescent="0.3">
      <c r="A19" s="1">
        <v>2026</v>
      </c>
      <c r="B19" s="18" t="s">
        <v>590</v>
      </c>
      <c r="C19" s="18">
        <v>46217</v>
      </c>
      <c r="D19" s="1" t="s">
        <v>12</v>
      </c>
      <c r="F19" s="1" t="s">
        <v>612</v>
      </c>
      <c r="G19" s="10">
        <f>TBLKOMISICAMPURANJULI[[#This Row],[SISA KOMISI]]</f>
        <v>0</v>
      </c>
      <c r="H19" s="10">
        <v>10000</v>
      </c>
      <c r="I19" s="10">
        <f>TBLKOMISICAMPURANJULI[[#This Row],[NILAI SISA KOMISI]]+TBLKOMISICAMPURANJULI[[#This Row],[NILAI KOMISI LAIN LAIN]]</f>
        <v>10000</v>
      </c>
    </row>
    <row r="20" spans="1:9" x14ac:dyDescent="0.3">
      <c r="A20" s="1">
        <v>2026</v>
      </c>
      <c r="B20" s="18" t="s">
        <v>590</v>
      </c>
      <c r="C20" s="18">
        <v>46221</v>
      </c>
      <c r="D20" s="1" t="s">
        <v>12</v>
      </c>
      <c r="F20" s="1" t="s">
        <v>602</v>
      </c>
      <c r="G20" s="10">
        <f>TBLKOMISICAMPURANJULI[[#This Row],[SISA KOMISI]]</f>
        <v>0</v>
      </c>
      <c r="H20" s="10">
        <v>5000</v>
      </c>
      <c r="I20" s="10">
        <f>TBLKOMISICAMPURANJULI[[#This Row],[NILAI SISA KOMISI]]+TBLKOMISICAMPURANJULI[[#This Row],[NILAI KOMISI LAIN LAIN]]</f>
        <v>5000</v>
      </c>
    </row>
    <row r="21" spans="1:9" x14ac:dyDescent="0.3">
      <c r="A21" s="1">
        <v>2026</v>
      </c>
      <c r="B21" s="18" t="s">
        <v>590</v>
      </c>
      <c r="C21" s="18">
        <v>46221</v>
      </c>
      <c r="D21" s="1" t="s">
        <v>449</v>
      </c>
      <c r="F21" s="1" t="s">
        <v>614</v>
      </c>
      <c r="G21" s="10">
        <f>TBLKOMISICAMPURANJULI[[#This Row],[SISA KOMISI]]</f>
        <v>0</v>
      </c>
      <c r="H21" s="10">
        <v>4500</v>
      </c>
      <c r="I21" s="10">
        <f>TBLKOMISICAMPURANJULI[[#This Row],[NILAI SISA KOMISI]]+TBLKOMISICAMPURANJULI[[#This Row],[NILAI KOMISI LAIN LAIN]]</f>
        <v>4500</v>
      </c>
    </row>
    <row r="22" spans="1:9" x14ac:dyDescent="0.3">
      <c r="A22" s="1">
        <v>2026</v>
      </c>
      <c r="B22" s="18" t="s">
        <v>590</v>
      </c>
      <c r="C22" s="18">
        <v>46223</v>
      </c>
      <c r="D22" s="1" t="s">
        <v>12</v>
      </c>
      <c r="F22" s="1" t="s">
        <v>602</v>
      </c>
      <c r="G22" s="10">
        <f>TBLKOMISICAMPURANJULI[[#This Row],[SISA KOMISI]]</f>
        <v>0</v>
      </c>
      <c r="H22" s="10">
        <v>5000</v>
      </c>
      <c r="I22" s="10">
        <f>TBLKOMISICAMPURANJULI[[#This Row],[NILAI SISA KOMISI]]+TBLKOMISICAMPURANJULI[[#This Row],[NILAI KOMISI LAIN LAIN]]</f>
        <v>5000</v>
      </c>
    </row>
    <row r="23" spans="1:9" x14ac:dyDescent="0.3">
      <c r="A23" s="1">
        <v>2026</v>
      </c>
      <c r="B23" s="18" t="s">
        <v>590</v>
      </c>
      <c r="C23" s="18">
        <v>46228</v>
      </c>
      <c r="D23" s="1" t="s">
        <v>12</v>
      </c>
      <c r="F23" s="1" t="s">
        <v>602</v>
      </c>
      <c r="G23" s="10">
        <f>TBLKOMISICAMPURANJULI[[#This Row],[SISA KOMISI]]</f>
        <v>0</v>
      </c>
      <c r="H23" s="10">
        <v>5000</v>
      </c>
      <c r="I23" s="10">
        <f>TBLKOMISICAMPURANJULI[[#This Row],[NILAI SISA KOMISI]]+TBLKOMISICAMPURANJULI[[#This Row],[NILAI KOMISI LAIN LAIN]]</f>
        <v>5000</v>
      </c>
    </row>
  </sheetData>
  <mergeCells count="1">
    <mergeCell ref="A1:G1"/>
  </mergeCells>
  <dataValidations count="1">
    <dataValidation type="list" allowBlank="1" showInputMessage="1" showErrorMessage="1" sqref="D4:D5 D10:D23" xr:uid="{00000000-0002-0000-0800-000000000000}">
      <formula1>MITRA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5"/>
  <sheetViews>
    <sheetView zoomScale="90" zoomScaleNormal="90" workbookViewId="0">
      <pane xSplit="4" ySplit="3" topLeftCell="E96" activePane="bottomRight" state="frozen"/>
      <selection pane="topRight" activeCell="D1" sqref="D1"/>
      <selection pane="bottomLeft" activeCell="A4" sqref="A4"/>
      <selection pane="bottomRight" activeCell="J114" sqref="J114"/>
    </sheetView>
  </sheetViews>
  <sheetFormatPr defaultRowHeight="14.4" x14ac:dyDescent="0.3"/>
  <cols>
    <col min="1" max="1" width="11.6640625" style="4" customWidth="1"/>
    <col min="2" max="2" width="11.6640625" customWidth="1"/>
    <col min="3" max="3" width="11.6640625" style="4" customWidth="1"/>
    <col min="4" max="4" width="11.6640625" style="3" customWidth="1"/>
    <col min="5" max="5" width="94.44140625" customWidth="1"/>
    <col min="6" max="6" width="9.5546875" style="10" customWidth="1"/>
    <col min="7" max="7" width="9.6640625" style="10" customWidth="1"/>
    <col min="8" max="10" width="11.6640625" style="19" customWidth="1"/>
    <col min="13" max="13" width="11.5546875" bestFit="1" customWidth="1"/>
    <col min="260" max="262" width="11.6640625" customWidth="1"/>
    <col min="263" max="263" width="91.5546875" customWidth="1"/>
    <col min="264" max="266" width="11.6640625" customWidth="1"/>
    <col min="269" max="269" width="11.5546875" bestFit="1" customWidth="1"/>
    <col min="516" max="518" width="11.6640625" customWidth="1"/>
    <col min="519" max="519" width="91.5546875" customWidth="1"/>
    <col min="520" max="522" width="11.6640625" customWidth="1"/>
    <col min="525" max="525" width="11.5546875" bestFit="1" customWidth="1"/>
    <col min="772" max="774" width="11.6640625" customWidth="1"/>
    <col min="775" max="775" width="91.5546875" customWidth="1"/>
    <col min="776" max="778" width="11.6640625" customWidth="1"/>
    <col min="781" max="781" width="11.5546875" bestFit="1" customWidth="1"/>
    <col min="1028" max="1030" width="11.6640625" customWidth="1"/>
    <col min="1031" max="1031" width="91.5546875" customWidth="1"/>
    <col min="1032" max="1034" width="11.6640625" customWidth="1"/>
    <col min="1037" max="1037" width="11.5546875" bestFit="1" customWidth="1"/>
    <col min="1284" max="1286" width="11.6640625" customWidth="1"/>
    <col min="1287" max="1287" width="91.5546875" customWidth="1"/>
    <col min="1288" max="1290" width="11.6640625" customWidth="1"/>
    <col min="1293" max="1293" width="11.5546875" bestFit="1" customWidth="1"/>
    <col min="1540" max="1542" width="11.6640625" customWidth="1"/>
    <col min="1543" max="1543" width="91.5546875" customWidth="1"/>
    <col min="1544" max="1546" width="11.6640625" customWidth="1"/>
    <col min="1549" max="1549" width="11.5546875" bestFit="1" customWidth="1"/>
    <col min="1796" max="1798" width="11.6640625" customWidth="1"/>
    <col min="1799" max="1799" width="91.5546875" customWidth="1"/>
    <col min="1800" max="1802" width="11.6640625" customWidth="1"/>
    <col min="1805" max="1805" width="11.5546875" bestFit="1" customWidth="1"/>
    <col min="2052" max="2054" width="11.6640625" customWidth="1"/>
    <col min="2055" max="2055" width="91.5546875" customWidth="1"/>
    <col min="2056" max="2058" width="11.6640625" customWidth="1"/>
    <col min="2061" max="2061" width="11.5546875" bestFit="1" customWidth="1"/>
    <col min="2308" max="2310" width="11.6640625" customWidth="1"/>
    <col min="2311" max="2311" width="91.5546875" customWidth="1"/>
    <col min="2312" max="2314" width="11.6640625" customWidth="1"/>
    <col min="2317" max="2317" width="11.5546875" bestFit="1" customWidth="1"/>
    <col min="2564" max="2566" width="11.6640625" customWidth="1"/>
    <col min="2567" max="2567" width="91.5546875" customWidth="1"/>
    <col min="2568" max="2570" width="11.6640625" customWidth="1"/>
    <col min="2573" max="2573" width="11.5546875" bestFit="1" customWidth="1"/>
    <col min="2820" max="2822" width="11.6640625" customWidth="1"/>
    <col min="2823" max="2823" width="91.5546875" customWidth="1"/>
    <col min="2824" max="2826" width="11.6640625" customWidth="1"/>
    <col min="2829" max="2829" width="11.5546875" bestFit="1" customWidth="1"/>
    <col min="3076" max="3078" width="11.6640625" customWidth="1"/>
    <col min="3079" max="3079" width="91.5546875" customWidth="1"/>
    <col min="3080" max="3082" width="11.6640625" customWidth="1"/>
    <col min="3085" max="3085" width="11.5546875" bestFit="1" customWidth="1"/>
    <col min="3332" max="3334" width="11.6640625" customWidth="1"/>
    <col min="3335" max="3335" width="91.5546875" customWidth="1"/>
    <col min="3336" max="3338" width="11.6640625" customWidth="1"/>
    <col min="3341" max="3341" width="11.5546875" bestFit="1" customWidth="1"/>
    <col min="3588" max="3590" width="11.6640625" customWidth="1"/>
    <col min="3591" max="3591" width="91.5546875" customWidth="1"/>
    <col min="3592" max="3594" width="11.6640625" customWidth="1"/>
    <col min="3597" max="3597" width="11.5546875" bestFit="1" customWidth="1"/>
    <col min="3844" max="3846" width="11.6640625" customWidth="1"/>
    <col min="3847" max="3847" width="91.5546875" customWidth="1"/>
    <col min="3848" max="3850" width="11.6640625" customWidth="1"/>
    <col min="3853" max="3853" width="11.5546875" bestFit="1" customWidth="1"/>
    <col min="4100" max="4102" width="11.6640625" customWidth="1"/>
    <col min="4103" max="4103" width="91.5546875" customWidth="1"/>
    <col min="4104" max="4106" width="11.6640625" customWidth="1"/>
    <col min="4109" max="4109" width="11.5546875" bestFit="1" customWidth="1"/>
    <col min="4356" max="4358" width="11.6640625" customWidth="1"/>
    <col min="4359" max="4359" width="91.5546875" customWidth="1"/>
    <col min="4360" max="4362" width="11.6640625" customWidth="1"/>
    <col min="4365" max="4365" width="11.5546875" bestFit="1" customWidth="1"/>
    <col min="4612" max="4614" width="11.6640625" customWidth="1"/>
    <col min="4615" max="4615" width="91.5546875" customWidth="1"/>
    <col min="4616" max="4618" width="11.6640625" customWidth="1"/>
    <col min="4621" max="4621" width="11.5546875" bestFit="1" customWidth="1"/>
    <col min="4868" max="4870" width="11.6640625" customWidth="1"/>
    <col min="4871" max="4871" width="91.5546875" customWidth="1"/>
    <col min="4872" max="4874" width="11.6640625" customWidth="1"/>
    <col min="4877" max="4877" width="11.5546875" bestFit="1" customWidth="1"/>
    <col min="5124" max="5126" width="11.6640625" customWidth="1"/>
    <col min="5127" max="5127" width="91.5546875" customWidth="1"/>
    <col min="5128" max="5130" width="11.6640625" customWidth="1"/>
    <col min="5133" max="5133" width="11.5546875" bestFit="1" customWidth="1"/>
    <col min="5380" max="5382" width="11.6640625" customWidth="1"/>
    <col min="5383" max="5383" width="91.5546875" customWidth="1"/>
    <col min="5384" max="5386" width="11.6640625" customWidth="1"/>
    <col min="5389" max="5389" width="11.5546875" bestFit="1" customWidth="1"/>
    <col min="5636" max="5638" width="11.6640625" customWidth="1"/>
    <col min="5639" max="5639" width="91.5546875" customWidth="1"/>
    <col min="5640" max="5642" width="11.6640625" customWidth="1"/>
    <col min="5645" max="5645" width="11.5546875" bestFit="1" customWidth="1"/>
    <col min="5892" max="5894" width="11.6640625" customWidth="1"/>
    <col min="5895" max="5895" width="91.5546875" customWidth="1"/>
    <col min="5896" max="5898" width="11.6640625" customWidth="1"/>
    <col min="5901" max="5901" width="11.5546875" bestFit="1" customWidth="1"/>
    <col min="6148" max="6150" width="11.6640625" customWidth="1"/>
    <col min="6151" max="6151" width="91.5546875" customWidth="1"/>
    <col min="6152" max="6154" width="11.6640625" customWidth="1"/>
    <col min="6157" max="6157" width="11.5546875" bestFit="1" customWidth="1"/>
    <col min="6404" max="6406" width="11.6640625" customWidth="1"/>
    <col min="6407" max="6407" width="91.5546875" customWidth="1"/>
    <col min="6408" max="6410" width="11.6640625" customWidth="1"/>
    <col min="6413" max="6413" width="11.5546875" bestFit="1" customWidth="1"/>
    <col min="6660" max="6662" width="11.6640625" customWidth="1"/>
    <col min="6663" max="6663" width="91.5546875" customWidth="1"/>
    <col min="6664" max="6666" width="11.6640625" customWidth="1"/>
    <col min="6669" max="6669" width="11.5546875" bestFit="1" customWidth="1"/>
    <col min="6916" max="6918" width="11.6640625" customWidth="1"/>
    <col min="6919" max="6919" width="91.5546875" customWidth="1"/>
    <col min="6920" max="6922" width="11.6640625" customWidth="1"/>
    <col min="6925" max="6925" width="11.5546875" bestFit="1" customWidth="1"/>
    <col min="7172" max="7174" width="11.6640625" customWidth="1"/>
    <col min="7175" max="7175" width="91.5546875" customWidth="1"/>
    <col min="7176" max="7178" width="11.6640625" customWidth="1"/>
    <col min="7181" max="7181" width="11.5546875" bestFit="1" customWidth="1"/>
    <col min="7428" max="7430" width="11.6640625" customWidth="1"/>
    <col min="7431" max="7431" width="91.5546875" customWidth="1"/>
    <col min="7432" max="7434" width="11.6640625" customWidth="1"/>
    <col min="7437" max="7437" width="11.5546875" bestFit="1" customWidth="1"/>
    <col min="7684" max="7686" width="11.6640625" customWidth="1"/>
    <col min="7687" max="7687" width="91.5546875" customWidth="1"/>
    <col min="7688" max="7690" width="11.6640625" customWidth="1"/>
    <col min="7693" max="7693" width="11.5546875" bestFit="1" customWidth="1"/>
    <col min="7940" max="7942" width="11.6640625" customWidth="1"/>
    <col min="7943" max="7943" width="91.5546875" customWidth="1"/>
    <col min="7944" max="7946" width="11.6640625" customWidth="1"/>
    <col min="7949" max="7949" width="11.5546875" bestFit="1" customWidth="1"/>
    <col min="8196" max="8198" width="11.6640625" customWidth="1"/>
    <col min="8199" max="8199" width="91.5546875" customWidth="1"/>
    <col min="8200" max="8202" width="11.6640625" customWidth="1"/>
    <col min="8205" max="8205" width="11.5546875" bestFit="1" customWidth="1"/>
    <col min="8452" max="8454" width="11.6640625" customWidth="1"/>
    <col min="8455" max="8455" width="91.5546875" customWidth="1"/>
    <col min="8456" max="8458" width="11.6640625" customWidth="1"/>
    <col min="8461" max="8461" width="11.5546875" bestFit="1" customWidth="1"/>
    <col min="8708" max="8710" width="11.6640625" customWidth="1"/>
    <col min="8711" max="8711" width="91.5546875" customWidth="1"/>
    <col min="8712" max="8714" width="11.6640625" customWidth="1"/>
    <col min="8717" max="8717" width="11.5546875" bestFit="1" customWidth="1"/>
    <col min="8964" max="8966" width="11.6640625" customWidth="1"/>
    <col min="8967" max="8967" width="91.5546875" customWidth="1"/>
    <col min="8968" max="8970" width="11.6640625" customWidth="1"/>
    <col min="8973" max="8973" width="11.5546875" bestFit="1" customWidth="1"/>
    <col min="9220" max="9222" width="11.6640625" customWidth="1"/>
    <col min="9223" max="9223" width="91.5546875" customWidth="1"/>
    <col min="9224" max="9226" width="11.6640625" customWidth="1"/>
    <col min="9229" max="9229" width="11.5546875" bestFit="1" customWidth="1"/>
    <col min="9476" max="9478" width="11.6640625" customWidth="1"/>
    <col min="9479" max="9479" width="91.5546875" customWidth="1"/>
    <col min="9480" max="9482" width="11.6640625" customWidth="1"/>
    <col min="9485" max="9485" width="11.5546875" bestFit="1" customWidth="1"/>
    <col min="9732" max="9734" width="11.6640625" customWidth="1"/>
    <col min="9735" max="9735" width="91.5546875" customWidth="1"/>
    <col min="9736" max="9738" width="11.6640625" customWidth="1"/>
    <col min="9741" max="9741" width="11.5546875" bestFit="1" customWidth="1"/>
    <col min="9988" max="9990" width="11.6640625" customWidth="1"/>
    <col min="9991" max="9991" width="91.5546875" customWidth="1"/>
    <col min="9992" max="9994" width="11.6640625" customWidth="1"/>
    <col min="9997" max="9997" width="11.5546875" bestFit="1" customWidth="1"/>
    <col min="10244" max="10246" width="11.6640625" customWidth="1"/>
    <col min="10247" max="10247" width="91.5546875" customWidth="1"/>
    <col min="10248" max="10250" width="11.6640625" customWidth="1"/>
    <col min="10253" max="10253" width="11.5546875" bestFit="1" customWidth="1"/>
    <col min="10500" max="10502" width="11.6640625" customWidth="1"/>
    <col min="10503" max="10503" width="91.5546875" customWidth="1"/>
    <col min="10504" max="10506" width="11.6640625" customWidth="1"/>
    <col min="10509" max="10509" width="11.5546875" bestFit="1" customWidth="1"/>
    <col min="10756" max="10758" width="11.6640625" customWidth="1"/>
    <col min="10759" max="10759" width="91.5546875" customWidth="1"/>
    <col min="10760" max="10762" width="11.6640625" customWidth="1"/>
    <col min="10765" max="10765" width="11.5546875" bestFit="1" customWidth="1"/>
    <col min="11012" max="11014" width="11.6640625" customWidth="1"/>
    <col min="11015" max="11015" width="91.5546875" customWidth="1"/>
    <col min="11016" max="11018" width="11.6640625" customWidth="1"/>
    <col min="11021" max="11021" width="11.5546875" bestFit="1" customWidth="1"/>
    <col min="11268" max="11270" width="11.6640625" customWidth="1"/>
    <col min="11271" max="11271" width="91.5546875" customWidth="1"/>
    <col min="11272" max="11274" width="11.6640625" customWidth="1"/>
    <col min="11277" max="11277" width="11.5546875" bestFit="1" customWidth="1"/>
    <col min="11524" max="11526" width="11.6640625" customWidth="1"/>
    <col min="11527" max="11527" width="91.5546875" customWidth="1"/>
    <col min="11528" max="11530" width="11.6640625" customWidth="1"/>
    <col min="11533" max="11533" width="11.5546875" bestFit="1" customWidth="1"/>
    <col min="11780" max="11782" width="11.6640625" customWidth="1"/>
    <col min="11783" max="11783" width="91.5546875" customWidth="1"/>
    <col min="11784" max="11786" width="11.6640625" customWidth="1"/>
    <col min="11789" max="11789" width="11.5546875" bestFit="1" customWidth="1"/>
    <col min="12036" max="12038" width="11.6640625" customWidth="1"/>
    <col min="12039" max="12039" width="91.5546875" customWidth="1"/>
    <col min="12040" max="12042" width="11.6640625" customWidth="1"/>
    <col min="12045" max="12045" width="11.5546875" bestFit="1" customWidth="1"/>
    <col min="12292" max="12294" width="11.6640625" customWidth="1"/>
    <col min="12295" max="12295" width="91.5546875" customWidth="1"/>
    <col min="12296" max="12298" width="11.6640625" customWidth="1"/>
    <col min="12301" max="12301" width="11.5546875" bestFit="1" customWidth="1"/>
    <col min="12548" max="12550" width="11.6640625" customWidth="1"/>
    <col min="12551" max="12551" width="91.5546875" customWidth="1"/>
    <col min="12552" max="12554" width="11.6640625" customWidth="1"/>
    <col min="12557" max="12557" width="11.5546875" bestFit="1" customWidth="1"/>
    <col min="12804" max="12806" width="11.6640625" customWidth="1"/>
    <col min="12807" max="12807" width="91.5546875" customWidth="1"/>
    <col min="12808" max="12810" width="11.6640625" customWidth="1"/>
    <col min="12813" max="12813" width="11.5546875" bestFit="1" customWidth="1"/>
    <col min="13060" max="13062" width="11.6640625" customWidth="1"/>
    <col min="13063" max="13063" width="91.5546875" customWidth="1"/>
    <col min="13064" max="13066" width="11.6640625" customWidth="1"/>
    <col min="13069" max="13069" width="11.5546875" bestFit="1" customWidth="1"/>
    <col min="13316" max="13318" width="11.6640625" customWidth="1"/>
    <col min="13319" max="13319" width="91.5546875" customWidth="1"/>
    <col min="13320" max="13322" width="11.6640625" customWidth="1"/>
    <col min="13325" max="13325" width="11.5546875" bestFit="1" customWidth="1"/>
    <col min="13572" max="13574" width="11.6640625" customWidth="1"/>
    <col min="13575" max="13575" width="91.5546875" customWidth="1"/>
    <col min="13576" max="13578" width="11.6640625" customWidth="1"/>
    <col min="13581" max="13581" width="11.5546875" bestFit="1" customWidth="1"/>
    <col min="13828" max="13830" width="11.6640625" customWidth="1"/>
    <col min="13831" max="13831" width="91.5546875" customWidth="1"/>
    <col min="13832" max="13834" width="11.6640625" customWidth="1"/>
    <col min="13837" max="13837" width="11.5546875" bestFit="1" customWidth="1"/>
    <col min="14084" max="14086" width="11.6640625" customWidth="1"/>
    <col min="14087" max="14087" width="91.5546875" customWidth="1"/>
    <col min="14088" max="14090" width="11.6640625" customWidth="1"/>
    <col min="14093" max="14093" width="11.5546875" bestFit="1" customWidth="1"/>
    <col min="14340" max="14342" width="11.6640625" customWidth="1"/>
    <col min="14343" max="14343" width="91.5546875" customWidth="1"/>
    <col min="14344" max="14346" width="11.6640625" customWidth="1"/>
    <col min="14349" max="14349" width="11.5546875" bestFit="1" customWidth="1"/>
    <col min="14596" max="14598" width="11.6640625" customWidth="1"/>
    <col min="14599" max="14599" width="91.5546875" customWidth="1"/>
    <col min="14600" max="14602" width="11.6640625" customWidth="1"/>
    <col min="14605" max="14605" width="11.5546875" bestFit="1" customWidth="1"/>
    <col min="14852" max="14854" width="11.6640625" customWidth="1"/>
    <col min="14855" max="14855" width="91.5546875" customWidth="1"/>
    <col min="14856" max="14858" width="11.6640625" customWidth="1"/>
    <col min="14861" max="14861" width="11.5546875" bestFit="1" customWidth="1"/>
    <col min="15108" max="15110" width="11.6640625" customWidth="1"/>
    <col min="15111" max="15111" width="91.5546875" customWidth="1"/>
    <col min="15112" max="15114" width="11.6640625" customWidth="1"/>
    <col min="15117" max="15117" width="11.5546875" bestFit="1" customWidth="1"/>
    <col min="15364" max="15366" width="11.6640625" customWidth="1"/>
    <col min="15367" max="15367" width="91.5546875" customWidth="1"/>
    <col min="15368" max="15370" width="11.6640625" customWidth="1"/>
    <col min="15373" max="15373" width="11.5546875" bestFit="1" customWidth="1"/>
    <col min="15620" max="15622" width="11.6640625" customWidth="1"/>
    <col min="15623" max="15623" width="91.5546875" customWidth="1"/>
    <col min="15624" max="15626" width="11.6640625" customWidth="1"/>
    <col min="15629" max="15629" width="11.5546875" bestFit="1" customWidth="1"/>
    <col min="15876" max="15878" width="11.6640625" customWidth="1"/>
    <col min="15879" max="15879" width="91.5546875" customWidth="1"/>
    <col min="15880" max="15882" width="11.6640625" customWidth="1"/>
    <col min="15885" max="15885" width="11.5546875" bestFit="1" customWidth="1"/>
    <col min="16132" max="16134" width="11.6640625" customWidth="1"/>
    <col min="16135" max="16135" width="91.5546875" customWidth="1"/>
    <col min="16136" max="16138" width="11.6640625" customWidth="1"/>
    <col min="16141" max="16141" width="11.5546875" bestFit="1" customWidth="1"/>
  </cols>
  <sheetData>
    <row r="1" spans="1:12" x14ac:dyDescent="0.3">
      <c r="A1" s="266" t="s">
        <v>317</v>
      </c>
      <c r="B1" s="266"/>
      <c r="C1" s="266"/>
      <c r="D1" s="266"/>
      <c r="E1" s="266"/>
      <c r="F1" s="266"/>
      <c r="G1" s="266"/>
      <c r="H1" s="266"/>
      <c r="I1" s="266"/>
      <c r="J1" s="266"/>
    </row>
    <row r="2" spans="1:12" ht="15" thickBot="1" x14ac:dyDescent="0.35">
      <c r="A2" s="1"/>
      <c r="B2" s="1"/>
      <c r="C2" s="1"/>
    </row>
    <row r="3" spans="1:12" ht="15" thickBot="1" x14ac:dyDescent="0.35">
      <c r="A3" s="28" t="s">
        <v>109</v>
      </c>
      <c r="B3" s="28" t="s">
        <v>61</v>
      </c>
      <c r="C3" s="27" t="s">
        <v>78</v>
      </c>
      <c r="D3" s="29" t="s">
        <v>1</v>
      </c>
      <c r="E3" s="27" t="s">
        <v>62</v>
      </c>
      <c r="F3" s="36" t="s">
        <v>74</v>
      </c>
      <c r="G3" s="37" t="s">
        <v>79</v>
      </c>
      <c r="H3" s="26" t="s">
        <v>63</v>
      </c>
      <c r="I3" s="20" t="s">
        <v>64</v>
      </c>
      <c r="J3" s="24" t="s">
        <v>65</v>
      </c>
    </row>
    <row r="4" spans="1:12" x14ac:dyDescent="0.3">
      <c r="A4" s="274">
        <v>2026</v>
      </c>
      <c r="B4" s="277" t="s">
        <v>577</v>
      </c>
      <c r="C4" s="125" t="s">
        <v>541</v>
      </c>
      <c r="D4" s="124">
        <v>46174</v>
      </c>
      <c r="E4" s="35" t="s">
        <v>578</v>
      </c>
      <c r="F4" s="30"/>
      <c r="G4" s="30"/>
      <c r="H4" s="42">
        <f>'[3]KAS TOKO'!$J$154</f>
        <v>164784.86721519567</v>
      </c>
      <c r="I4" s="42"/>
      <c r="J4" s="43">
        <f>H4</f>
        <v>164784.86721519567</v>
      </c>
    </row>
    <row r="5" spans="1:12" x14ac:dyDescent="0.3">
      <c r="A5" s="275"/>
      <c r="B5" s="278"/>
      <c r="C5" s="126" t="s">
        <v>541</v>
      </c>
      <c r="D5" s="44">
        <v>46190</v>
      </c>
      <c r="E5" s="21" t="s">
        <v>517</v>
      </c>
      <c r="F5" s="39"/>
      <c r="G5" s="39"/>
      <c r="H5" s="40"/>
      <c r="I5" s="40">
        <v>20000</v>
      </c>
      <c r="J5" s="41">
        <f>J4+H5-I5</f>
        <v>144784.86721519567</v>
      </c>
      <c r="L5" s="19"/>
    </row>
    <row r="6" spans="1:12" x14ac:dyDescent="0.3">
      <c r="A6" s="275"/>
      <c r="B6" s="278"/>
      <c r="C6" s="126" t="s">
        <v>541</v>
      </c>
      <c r="D6" s="44">
        <v>46190</v>
      </c>
      <c r="E6" s="21" t="s">
        <v>523</v>
      </c>
      <c r="F6" s="39"/>
      <c r="G6" s="39"/>
      <c r="H6" s="40">
        <f>SUM('DATA BAHAN MASUK'!O5:O32)</f>
        <v>122916.66666666667</v>
      </c>
      <c r="I6" s="40"/>
      <c r="J6" s="41">
        <f t="shared" ref="J6:J15" si="0">J5+H6-I6</f>
        <v>267701.53388186236</v>
      </c>
      <c r="L6" s="19"/>
    </row>
    <row r="7" spans="1:12" x14ac:dyDescent="0.3">
      <c r="A7" s="275"/>
      <c r="B7" s="278"/>
      <c r="C7" s="126" t="s">
        <v>541</v>
      </c>
      <c r="D7" s="44">
        <v>46190</v>
      </c>
      <c r="E7" s="21" t="s">
        <v>522</v>
      </c>
      <c r="F7" s="39"/>
      <c r="G7" s="39"/>
      <c r="H7" s="40">
        <v>20000</v>
      </c>
      <c r="I7" s="40"/>
      <c r="J7" s="41">
        <f t="shared" si="0"/>
        <v>287701.53388186236</v>
      </c>
      <c r="L7" s="19"/>
    </row>
    <row r="8" spans="1:12" x14ac:dyDescent="0.3">
      <c r="A8" s="275"/>
      <c r="B8" s="278"/>
      <c r="C8" s="208" t="s">
        <v>541</v>
      </c>
      <c r="D8" s="163">
        <v>46190</v>
      </c>
      <c r="E8" s="164" t="s">
        <v>598</v>
      </c>
      <c r="F8" s="209"/>
      <c r="G8" s="209"/>
      <c r="H8" s="210"/>
      <c r="I8" s="210">
        <v>200000</v>
      </c>
      <c r="J8" s="41">
        <f t="shared" si="0"/>
        <v>87701.533881862357</v>
      </c>
      <c r="L8" s="19"/>
    </row>
    <row r="9" spans="1:12" x14ac:dyDescent="0.3">
      <c r="A9" s="275"/>
      <c r="B9" s="278"/>
      <c r="C9" s="126" t="s">
        <v>541</v>
      </c>
      <c r="D9" s="44">
        <v>46198</v>
      </c>
      <c r="E9" s="21" t="s">
        <v>366</v>
      </c>
      <c r="F9" s="39"/>
      <c r="G9" s="39"/>
      <c r="H9" s="40">
        <f>'REKAP PENJUALAN'!D5</f>
        <v>129000</v>
      </c>
      <c r="I9" s="40"/>
      <c r="J9" s="41">
        <f t="shared" si="0"/>
        <v>216701.53388186236</v>
      </c>
      <c r="L9" s="19"/>
    </row>
    <row r="10" spans="1:12" x14ac:dyDescent="0.3">
      <c r="A10" s="275"/>
      <c r="B10" s="278"/>
      <c r="C10" s="126" t="s">
        <v>541</v>
      </c>
      <c r="D10" s="44">
        <v>46198</v>
      </c>
      <c r="E10" s="21" t="s">
        <v>259</v>
      </c>
      <c r="F10" s="39"/>
      <c r="G10" s="39"/>
      <c r="H10" s="40"/>
      <c r="I10" s="40">
        <f>'REKAP PENJUALAN'!E5</f>
        <v>89163.736842105267</v>
      </c>
      <c r="J10" s="41">
        <f t="shared" si="0"/>
        <v>127537.79703975709</v>
      </c>
      <c r="L10" s="19"/>
    </row>
    <row r="11" spans="1:12" x14ac:dyDescent="0.3">
      <c r="A11" s="275"/>
      <c r="B11" s="278"/>
      <c r="C11" s="126" t="s">
        <v>541</v>
      </c>
      <c r="D11" s="44">
        <v>46198</v>
      </c>
      <c r="E11" s="21" t="s">
        <v>260</v>
      </c>
      <c r="F11" s="39"/>
      <c r="G11" s="39"/>
      <c r="H11" s="40"/>
      <c r="I11" s="40">
        <f>'REKAP PENJUALAN'!F5</f>
        <v>8916.3736842105263</v>
      </c>
      <c r="J11" s="41">
        <f t="shared" si="0"/>
        <v>118621.42335554656</v>
      </c>
      <c r="L11" s="19"/>
    </row>
    <row r="12" spans="1:12" x14ac:dyDescent="0.3">
      <c r="A12" s="275"/>
      <c r="B12" s="278"/>
      <c r="C12" s="126" t="s">
        <v>541</v>
      </c>
      <c r="D12" s="44">
        <v>46198</v>
      </c>
      <c r="E12" s="21" t="s">
        <v>266</v>
      </c>
      <c r="F12" s="32"/>
      <c r="G12" s="32"/>
      <c r="H12" s="22"/>
      <c r="I12" s="22">
        <f>SUM('KOMISI CAMPURAN'!I4,'KOMISI CAMPURAN'!I5)</f>
        <v>14000</v>
      </c>
      <c r="J12" s="41">
        <f t="shared" si="0"/>
        <v>104621.42335554656</v>
      </c>
    </row>
    <row r="13" spans="1:12" x14ac:dyDescent="0.3">
      <c r="A13" s="275"/>
      <c r="B13" s="278"/>
      <c r="C13" s="126" t="s">
        <v>541</v>
      </c>
      <c r="D13" s="44">
        <v>46203</v>
      </c>
      <c r="E13" s="21" t="s">
        <v>583</v>
      </c>
      <c r="F13" s="114"/>
      <c r="G13" s="114"/>
      <c r="H13" s="115"/>
      <c r="I13" s="116">
        <v>50000</v>
      </c>
      <c r="J13" s="41">
        <f t="shared" si="0"/>
        <v>54621.423355546562</v>
      </c>
      <c r="K13" s="19"/>
    </row>
    <row r="14" spans="1:12" x14ac:dyDescent="0.3">
      <c r="A14" s="275"/>
      <c r="B14" s="278"/>
      <c r="C14" s="126" t="s">
        <v>541</v>
      </c>
      <c r="D14" s="44">
        <v>46203</v>
      </c>
      <c r="E14" s="21" t="s">
        <v>584</v>
      </c>
      <c r="F14" s="49"/>
      <c r="G14" s="49"/>
      <c r="H14" s="50">
        <f>'REKAP KOMISI'!F13</f>
        <v>67708</v>
      </c>
      <c r="I14" s="22"/>
      <c r="J14" s="41">
        <f t="shared" si="0"/>
        <v>122329.42335554656</v>
      </c>
      <c r="K14" s="19"/>
    </row>
    <row r="15" spans="1:12" ht="15" thickBot="1" x14ac:dyDescent="0.35">
      <c r="A15" s="275"/>
      <c r="B15" s="278"/>
      <c r="C15" s="126" t="s">
        <v>541</v>
      </c>
      <c r="D15" s="44">
        <v>46203</v>
      </c>
      <c r="E15" s="21" t="s">
        <v>589</v>
      </c>
      <c r="F15" s="49"/>
      <c r="G15" s="49"/>
      <c r="H15" s="50"/>
      <c r="I15" s="22">
        <f>SUM('ASET &amp; PIUTANG'!F22:F26)</f>
        <v>66000</v>
      </c>
      <c r="J15" s="41">
        <f t="shared" si="0"/>
        <v>56329.423355546562</v>
      </c>
      <c r="K15" s="19"/>
    </row>
    <row r="16" spans="1:12" x14ac:dyDescent="0.3">
      <c r="A16" s="275"/>
      <c r="B16" s="277" t="s">
        <v>590</v>
      </c>
      <c r="C16" s="226" t="s">
        <v>591</v>
      </c>
      <c r="D16" s="44">
        <v>46206</v>
      </c>
      <c r="E16" s="227" t="s">
        <v>592</v>
      </c>
      <c r="F16" s="228"/>
      <c r="G16" s="228"/>
      <c r="H16" s="197"/>
      <c r="I16" s="83">
        <v>3000</v>
      </c>
      <c r="J16" s="43">
        <f>J15+H16-I16</f>
        <v>53329.423355546562</v>
      </c>
      <c r="K16" s="19"/>
    </row>
    <row r="17" spans="1:11" x14ac:dyDescent="0.3">
      <c r="A17" s="275"/>
      <c r="B17" s="278"/>
      <c r="C17" s="51" t="s">
        <v>591</v>
      </c>
      <c r="D17" s="44">
        <v>46206</v>
      </c>
      <c r="E17" s="21" t="s">
        <v>366</v>
      </c>
      <c r="F17" s="49"/>
      <c r="G17" s="49"/>
      <c r="H17" s="50">
        <f>'REKAP PENJUALAN'!D10</f>
        <v>36000</v>
      </c>
      <c r="I17" s="22"/>
      <c r="J17" s="25">
        <f>J16+H17-I17</f>
        <v>89329.423355546562</v>
      </c>
      <c r="K17" s="19"/>
    </row>
    <row r="18" spans="1:11" x14ac:dyDescent="0.3">
      <c r="A18" s="275"/>
      <c r="B18" s="278"/>
      <c r="C18" s="51" t="s">
        <v>591</v>
      </c>
      <c r="D18" s="44">
        <v>46206</v>
      </c>
      <c r="E18" s="21" t="s">
        <v>259</v>
      </c>
      <c r="F18" s="49"/>
      <c r="G18" s="49"/>
      <c r="H18" s="50"/>
      <c r="I18" s="22">
        <f>'REKAP PENJUALAN'!E10</f>
        <v>24628.771929824561</v>
      </c>
      <c r="J18" s="25">
        <f t="shared" ref="J18:J82" si="1">J17+H18-I18</f>
        <v>64700.651425721997</v>
      </c>
      <c r="K18" s="19"/>
    </row>
    <row r="19" spans="1:11" x14ac:dyDescent="0.3">
      <c r="A19" s="275"/>
      <c r="B19" s="278"/>
      <c r="C19" s="51" t="s">
        <v>591</v>
      </c>
      <c r="D19" s="44">
        <v>46206</v>
      </c>
      <c r="E19" s="21" t="s">
        <v>260</v>
      </c>
      <c r="F19" s="49"/>
      <c r="G19" s="49"/>
      <c r="H19" s="22"/>
      <c r="I19" s="22">
        <f>'REKAP PENJUALAN'!F10</f>
        <v>2462.8771929824561</v>
      </c>
      <c r="J19" s="25">
        <f t="shared" si="1"/>
        <v>62237.774232739539</v>
      </c>
      <c r="K19" s="19"/>
    </row>
    <row r="20" spans="1:11" x14ac:dyDescent="0.3">
      <c r="A20" s="275"/>
      <c r="B20" s="278"/>
      <c r="C20" s="51" t="s">
        <v>591</v>
      </c>
      <c r="D20" s="44">
        <v>46206</v>
      </c>
      <c r="E20" s="21" t="s">
        <v>266</v>
      </c>
      <c r="F20" s="49"/>
      <c r="G20" s="49"/>
      <c r="H20" s="229"/>
      <c r="I20" s="19">
        <f>SUM('KOMISI CAMPURAN'!I10)</f>
        <v>3000</v>
      </c>
      <c r="J20" s="25">
        <f t="shared" si="1"/>
        <v>59237.774232739539</v>
      </c>
      <c r="K20" s="19"/>
    </row>
    <row r="21" spans="1:11" x14ac:dyDescent="0.3">
      <c r="A21" s="275"/>
      <c r="B21" s="278"/>
      <c r="C21" s="51" t="s">
        <v>591</v>
      </c>
      <c r="D21" s="44">
        <v>46207</v>
      </c>
      <c r="E21" s="21" t="s">
        <v>366</v>
      </c>
      <c r="F21" s="49"/>
      <c r="G21" s="49"/>
      <c r="H21" s="50">
        <f>'REKAP PENJUALAN'!D11</f>
        <v>150000</v>
      </c>
      <c r="I21" s="22"/>
      <c r="J21" s="25">
        <f t="shared" si="1"/>
        <v>209237.77423273952</v>
      </c>
      <c r="K21" s="19"/>
    </row>
    <row r="22" spans="1:11" x14ac:dyDescent="0.3">
      <c r="A22" s="275"/>
      <c r="B22" s="278"/>
      <c r="C22" s="51" t="s">
        <v>591</v>
      </c>
      <c r="D22" s="44">
        <v>46207</v>
      </c>
      <c r="E22" s="21" t="s">
        <v>259</v>
      </c>
      <c r="F22" s="49"/>
      <c r="G22" s="49"/>
      <c r="H22" s="50"/>
      <c r="I22" s="22">
        <f>'REKAP PENJUALAN'!E11</f>
        <v>102640.91228070176</v>
      </c>
      <c r="J22" s="25">
        <f t="shared" si="1"/>
        <v>106596.86195203777</v>
      </c>
      <c r="K22" s="19"/>
    </row>
    <row r="23" spans="1:11" x14ac:dyDescent="0.3">
      <c r="A23" s="275"/>
      <c r="B23" s="278"/>
      <c r="C23" s="51" t="s">
        <v>591</v>
      </c>
      <c r="D23" s="44">
        <v>46207</v>
      </c>
      <c r="E23" s="21" t="s">
        <v>260</v>
      </c>
      <c r="F23" s="49"/>
      <c r="G23" s="49"/>
      <c r="H23" s="50"/>
      <c r="I23" s="22">
        <f>'REKAP PENJUALAN'!F11</f>
        <v>10264.091228070178</v>
      </c>
      <c r="J23" s="25">
        <f t="shared" si="1"/>
        <v>96332.770723967595</v>
      </c>
      <c r="K23" s="19"/>
    </row>
    <row r="24" spans="1:11" x14ac:dyDescent="0.3">
      <c r="A24" s="275"/>
      <c r="B24" s="278"/>
      <c r="C24" s="51" t="s">
        <v>591</v>
      </c>
      <c r="D24" s="44">
        <v>46207</v>
      </c>
      <c r="E24" s="21" t="s">
        <v>266</v>
      </c>
      <c r="F24" s="49"/>
      <c r="G24" s="49"/>
      <c r="H24" s="50"/>
      <c r="I24" s="22">
        <f>SUM('KOMISI CAMPURAN'!I11)</f>
        <v>24000</v>
      </c>
      <c r="J24" s="25">
        <f t="shared" si="1"/>
        <v>72332.770723967595</v>
      </c>
      <c r="K24" s="19"/>
    </row>
    <row r="25" spans="1:11" x14ac:dyDescent="0.3">
      <c r="A25" s="275"/>
      <c r="B25" s="278"/>
      <c r="C25" s="51" t="s">
        <v>591</v>
      </c>
      <c r="D25" s="44">
        <v>46207</v>
      </c>
      <c r="E25" s="21" t="s">
        <v>601</v>
      </c>
      <c r="F25" s="49"/>
      <c r="G25" s="49"/>
      <c r="H25" s="50"/>
      <c r="I25" s="22">
        <v>10000</v>
      </c>
      <c r="J25" s="25">
        <f t="shared" si="1"/>
        <v>62332.770723967595</v>
      </c>
      <c r="K25" s="19"/>
    </row>
    <row r="26" spans="1:11" x14ac:dyDescent="0.3">
      <c r="A26" s="275"/>
      <c r="B26" s="278"/>
      <c r="C26" s="51" t="s">
        <v>591</v>
      </c>
      <c r="D26" s="44">
        <v>46207</v>
      </c>
      <c r="E26" s="21" t="s">
        <v>523</v>
      </c>
      <c r="F26" s="49"/>
      <c r="G26" s="49"/>
      <c r="H26" s="50">
        <f>SUM('DATA BAHAN MASUK'!O33:O37)</f>
        <v>63500</v>
      </c>
      <c r="I26" s="22"/>
      <c r="J26" s="25">
        <f t="shared" si="1"/>
        <v>125832.77072396759</v>
      </c>
      <c r="K26" s="19"/>
    </row>
    <row r="27" spans="1:11" x14ac:dyDescent="0.3">
      <c r="A27" s="275"/>
      <c r="B27" s="278"/>
      <c r="C27" s="246" t="s">
        <v>591</v>
      </c>
      <c r="D27" s="247">
        <v>46207</v>
      </c>
      <c r="E27" s="248" t="s">
        <v>597</v>
      </c>
      <c r="F27" s="249"/>
      <c r="G27" s="249"/>
      <c r="H27" s="250">
        <v>900000</v>
      </c>
      <c r="I27" s="251"/>
      <c r="J27" s="25">
        <f t="shared" si="1"/>
        <v>1025832.7707239676</v>
      </c>
      <c r="K27" s="19"/>
    </row>
    <row r="28" spans="1:11" x14ac:dyDescent="0.3">
      <c r="A28" s="275"/>
      <c r="B28" s="278"/>
      <c r="C28" s="51" t="s">
        <v>591</v>
      </c>
      <c r="D28" s="44">
        <v>46207</v>
      </c>
      <c r="E28" s="21" t="s">
        <v>595</v>
      </c>
      <c r="F28" s="49"/>
      <c r="G28" s="49"/>
      <c r="H28" s="50"/>
      <c r="I28" s="22">
        <f>SUM('DATA BAHAN KELUAR'!N122:N140)</f>
        <v>905280.71929824562</v>
      </c>
      <c r="J28" s="25">
        <f t="shared" si="1"/>
        <v>120552.05142572196</v>
      </c>
      <c r="K28" s="19"/>
    </row>
    <row r="29" spans="1:11" x14ac:dyDescent="0.3">
      <c r="A29" s="275"/>
      <c r="B29" s="278"/>
      <c r="C29" s="162" t="s">
        <v>591</v>
      </c>
      <c r="D29" s="163">
        <v>46207</v>
      </c>
      <c r="E29" s="164" t="s">
        <v>605</v>
      </c>
      <c r="F29" s="165"/>
      <c r="G29" s="165"/>
      <c r="H29" s="166">
        <f>'KAS PERPUTARAN MODAL'!K12</f>
        <v>200000</v>
      </c>
      <c r="I29" s="22"/>
      <c r="J29" s="25">
        <f t="shared" si="1"/>
        <v>320552.05142572196</v>
      </c>
      <c r="K29" s="19"/>
    </row>
    <row r="30" spans="1:11" x14ac:dyDescent="0.3">
      <c r="A30" s="275"/>
      <c r="B30" s="278"/>
      <c r="C30" s="51" t="s">
        <v>603</v>
      </c>
      <c r="D30" s="44">
        <v>46208</v>
      </c>
      <c r="E30" s="21" t="s">
        <v>366</v>
      </c>
      <c r="F30" s="49"/>
      <c r="G30" s="49"/>
      <c r="H30" s="50">
        <f>'REKAP PENJUALAN'!D12</f>
        <v>36000</v>
      </c>
      <c r="I30" s="22"/>
      <c r="J30" s="25">
        <f t="shared" si="1"/>
        <v>356552.05142572196</v>
      </c>
      <c r="K30" s="19"/>
    </row>
    <row r="31" spans="1:11" x14ac:dyDescent="0.3">
      <c r="A31" s="275"/>
      <c r="B31" s="278"/>
      <c r="C31" s="51" t="s">
        <v>603</v>
      </c>
      <c r="D31" s="44">
        <v>46208</v>
      </c>
      <c r="E31" s="21" t="s">
        <v>259</v>
      </c>
      <c r="F31" s="49"/>
      <c r="G31" s="49"/>
      <c r="H31" s="50"/>
      <c r="I31" s="22">
        <f>'REKAP PENJUALAN'!E12</f>
        <v>24628.771929824561</v>
      </c>
      <c r="J31" s="25">
        <f t="shared" si="1"/>
        <v>331923.27949589741</v>
      </c>
      <c r="K31" s="19"/>
    </row>
    <row r="32" spans="1:11" x14ac:dyDescent="0.3">
      <c r="A32" s="275"/>
      <c r="B32" s="278"/>
      <c r="C32" s="51" t="s">
        <v>603</v>
      </c>
      <c r="D32" s="44">
        <v>46208</v>
      </c>
      <c r="E32" s="21" t="s">
        <v>260</v>
      </c>
      <c r="F32" s="49"/>
      <c r="G32" s="49"/>
      <c r="H32" s="50"/>
      <c r="I32" s="22">
        <f>'REKAP PENJUALAN'!F12</f>
        <v>2462.8771929824561</v>
      </c>
      <c r="J32" s="25">
        <f t="shared" si="1"/>
        <v>329460.40230291494</v>
      </c>
      <c r="K32" s="19"/>
    </row>
    <row r="33" spans="1:11" x14ac:dyDescent="0.3">
      <c r="A33" s="275"/>
      <c r="B33" s="278"/>
      <c r="C33" s="51" t="s">
        <v>603</v>
      </c>
      <c r="D33" s="44">
        <v>46208</v>
      </c>
      <c r="E33" s="21" t="s">
        <v>266</v>
      </c>
      <c r="F33" s="49"/>
      <c r="G33" s="49"/>
      <c r="H33" s="50"/>
      <c r="I33" s="22">
        <f>SUM('KOMISI CAMPURAN'!I12)</f>
        <v>10000</v>
      </c>
      <c r="J33" s="25">
        <f t="shared" si="1"/>
        <v>319460.40230291494</v>
      </c>
      <c r="K33" s="19"/>
    </row>
    <row r="34" spans="1:11" x14ac:dyDescent="0.3">
      <c r="A34" s="275"/>
      <c r="B34" s="278"/>
      <c r="C34" s="51" t="s">
        <v>603</v>
      </c>
      <c r="D34" s="44">
        <v>46208</v>
      </c>
      <c r="E34" s="21" t="s">
        <v>601</v>
      </c>
      <c r="F34" s="49"/>
      <c r="G34" s="49"/>
      <c r="H34" s="50"/>
      <c r="I34" s="22">
        <v>54000</v>
      </c>
      <c r="J34" s="25">
        <f t="shared" si="1"/>
        <v>265460.40230291494</v>
      </c>
      <c r="K34" s="19"/>
    </row>
    <row r="35" spans="1:11" x14ac:dyDescent="0.3">
      <c r="A35" s="275"/>
      <c r="B35" s="278"/>
      <c r="C35" s="51" t="s">
        <v>603</v>
      </c>
      <c r="D35" s="44">
        <v>46208</v>
      </c>
      <c r="E35" s="21" t="s">
        <v>523</v>
      </c>
      <c r="F35" s="49"/>
      <c r="G35" s="49"/>
      <c r="H35" s="50">
        <f>SUM('DATA BAHAN MASUK'!O38:O44)</f>
        <v>17200</v>
      </c>
      <c r="I35" s="22"/>
      <c r="J35" s="25">
        <f t="shared" si="1"/>
        <v>282660.40230291494</v>
      </c>
      <c r="K35" s="19"/>
    </row>
    <row r="36" spans="1:11" x14ac:dyDescent="0.3">
      <c r="A36" s="275"/>
      <c r="B36" s="278"/>
      <c r="C36" s="51" t="s">
        <v>603</v>
      </c>
      <c r="D36" s="44">
        <v>46208</v>
      </c>
      <c r="E36" s="21" t="s">
        <v>522</v>
      </c>
      <c r="F36" s="49"/>
      <c r="G36" s="49"/>
      <c r="H36" s="50">
        <v>9500</v>
      </c>
      <c r="I36" s="22"/>
      <c r="J36" s="25">
        <f t="shared" si="1"/>
        <v>292160.40230291494</v>
      </c>
      <c r="K36" s="19"/>
    </row>
    <row r="37" spans="1:11" x14ac:dyDescent="0.3">
      <c r="A37" s="275"/>
      <c r="B37" s="278"/>
      <c r="C37" s="51" t="s">
        <v>603</v>
      </c>
      <c r="D37" s="44">
        <v>46209</v>
      </c>
      <c r="E37" s="21" t="s">
        <v>366</v>
      </c>
      <c r="F37" s="49"/>
      <c r="G37" s="49"/>
      <c r="H37" s="50">
        <f>'REKAP PENJUALAN'!D13</f>
        <v>151000</v>
      </c>
      <c r="I37" s="22"/>
      <c r="J37" s="25">
        <f t="shared" si="1"/>
        <v>443160.40230291494</v>
      </c>
      <c r="K37" s="19"/>
    </row>
    <row r="38" spans="1:11" x14ac:dyDescent="0.3">
      <c r="A38" s="275"/>
      <c r="B38" s="278"/>
      <c r="C38" s="51" t="s">
        <v>603</v>
      </c>
      <c r="D38" s="44">
        <v>46209</v>
      </c>
      <c r="E38" s="21" t="s">
        <v>259</v>
      </c>
      <c r="F38" s="49"/>
      <c r="G38" s="49"/>
      <c r="H38" s="50"/>
      <c r="I38" s="22">
        <f>'REKAP PENJUALAN'!E13</f>
        <v>109927.22169059012</v>
      </c>
      <c r="J38" s="25">
        <f t="shared" si="1"/>
        <v>333233.18061232485</v>
      </c>
      <c r="K38" s="19"/>
    </row>
    <row r="39" spans="1:11" x14ac:dyDescent="0.3">
      <c r="A39" s="275"/>
      <c r="B39" s="278"/>
      <c r="C39" s="51" t="s">
        <v>603</v>
      </c>
      <c r="D39" s="44">
        <v>46209</v>
      </c>
      <c r="E39" s="21" t="s">
        <v>260</v>
      </c>
      <c r="F39" s="49"/>
      <c r="G39" s="49"/>
      <c r="H39" s="50"/>
      <c r="I39" s="22">
        <f>'REKAP PENJUALAN'!F13</f>
        <v>10992.72216905901</v>
      </c>
      <c r="J39" s="25">
        <f t="shared" si="1"/>
        <v>322240.45844326582</v>
      </c>
      <c r="K39" s="19"/>
    </row>
    <row r="40" spans="1:11" x14ac:dyDescent="0.3">
      <c r="A40" s="275"/>
      <c r="B40" s="278"/>
      <c r="C40" s="51" t="s">
        <v>603</v>
      </c>
      <c r="D40" s="44">
        <v>46209</v>
      </c>
      <c r="E40" s="21" t="s">
        <v>266</v>
      </c>
      <c r="F40" s="49"/>
      <c r="G40" s="49"/>
      <c r="H40" s="50"/>
      <c r="I40" s="22">
        <f>SUM('KOMISI CAMPURAN'!I13)</f>
        <v>2000</v>
      </c>
      <c r="J40" s="25">
        <f t="shared" si="1"/>
        <v>320240.45844326582</v>
      </c>
      <c r="K40" s="19"/>
    </row>
    <row r="41" spans="1:11" x14ac:dyDescent="0.3">
      <c r="A41" s="275"/>
      <c r="B41" s="278"/>
      <c r="C41" s="51" t="s">
        <v>603</v>
      </c>
      <c r="D41" s="44">
        <v>46210</v>
      </c>
      <c r="E41" s="21" t="s">
        <v>366</v>
      </c>
      <c r="F41" s="49"/>
      <c r="G41" s="49"/>
      <c r="H41" s="50">
        <f>'REKAP PENJUALAN'!D14</f>
        <v>63000</v>
      </c>
      <c r="I41" s="22"/>
      <c r="J41" s="25">
        <f>J40+H41-I41</f>
        <v>383240.45844326582</v>
      </c>
      <c r="K41" s="19"/>
    </row>
    <row r="42" spans="1:11" x14ac:dyDescent="0.3">
      <c r="A42" s="275"/>
      <c r="B42" s="278"/>
      <c r="C42" s="51" t="s">
        <v>603</v>
      </c>
      <c r="D42" s="44">
        <v>46210</v>
      </c>
      <c r="E42" s="21" t="s">
        <v>259</v>
      </c>
      <c r="F42" s="49"/>
      <c r="G42" s="49"/>
      <c r="H42" s="50"/>
      <c r="I42" s="22">
        <f>'REKAP PENJUALAN'!E14</f>
        <v>43090.736842105267</v>
      </c>
      <c r="J42" s="25">
        <f t="shared" si="1"/>
        <v>340149.72160116053</v>
      </c>
      <c r="K42" s="19"/>
    </row>
    <row r="43" spans="1:11" x14ac:dyDescent="0.3">
      <c r="A43" s="275"/>
      <c r="B43" s="278"/>
      <c r="C43" s="51" t="s">
        <v>603</v>
      </c>
      <c r="D43" s="44">
        <v>46210</v>
      </c>
      <c r="E43" s="21" t="s">
        <v>260</v>
      </c>
      <c r="F43" s="49"/>
      <c r="G43" s="49"/>
      <c r="H43" s="50"/>
      <c r="I43" s="22">
        <f>'REKAP PENJUALAN'!F14</f>
        <v>4309.0736842105262</v>
      </c>
      <c r="J43" s="25">
        <f t="shared" si="1"/>
        <v>335840.64791694999</v>
      </c>
      <c r="K43" s="19"/>
    </row>
    <row r="44" spans="1:11" x14ac:dyDescent="0.3">
      <c r="A44" s="275"/>
      <c r="B44" s="278"/>
      <c r="C44" s="51" t="s">
        <v>603</v>
      </c>
      <c r="D44" s="44">
        <v>46210</v>
      </c>
      <c r="E44" s="21" t="s">
        <v>266</v>
      </c>
      <c r="F44" s="49"/>
      <c r="G44" s="49"/>
      <c r="H44" s="50"/>
      <c r="I44" s="22">
        <f>SUM('KOMISI CAMPURAN'!I14)</f>
        <v>2000</v>
      </c>
      <c r="J44" s="25">
        <f t="shared" si="1"/>
        <v>333840.64791694999</v>
      </c>
      <c r="K44" s="19"/>
    </row>
    <row r="45" spans="1:11" x14ac:dyDescent="0.3">
      <c r="A45" s="275"/>
      <c r="B45" s="278"/>
      <c r="C45" s="162" t="s">
        <v>603</v>
      </c>
      <c r="D45" s="163">
        <v>46210</v>
      </c>
      <c r="E45" s="164" t="s">
        <v>606</v>
      </c>
      <c r="F45" s="165"/>
      <c r="G45" s="165"/>
      <c r="H45" s="166">
        <f>'KAS PERPUTARAN MODAL'!K17</f>
        <v>600000</v>
      </c>
      <c r="I45" s="22"/>
      <c r="J45" s="25">
        <f>J44+H45-I45</f>
        <v>933840.64791695005</v>
      </c>
      <c r="K45" s="19"/>
    </row>
    <row r="46" spans="1:11" x14ac:dyDescent="0.3">
      <c r="A46" s="275"/>
      <c r="B46" s="278"/>
      <c r="C46" s="246" t="s">
        <v>603</v>
      </c>
      <c r="D46" s="247">
        <v>46210</v>
      </c>
      <c r="E46" s="248" t="s">
        <v>604</v>
      </c>
      <c r="F46" s="249"/>
      <c r="G46" s="249"/>
      <c r="H46" s="250"/>
      <c r="I46" s="251">
        <v>900000</v>
      </c>
      <c r="J46" s="25">
        <f t="shared" si="1"/>
        <v>33840.647916950053</v>
      </c>
      <c r="K46" s="19"/>
    </row>
    <row r="47" spans="1:11" x14ac:dyDescent="0.3">
      <c r="A47" s="275"/>
      <c r="B47" s="278"/>
      <c r="C47" s="51" t="s">
        <v>603</v>
      </c>
      <c r="D47" s="44">
        <v>46211</v>
      </c>
      <c r="E47" s="21" t="s">
        <v>366</v>
      </c>
      <c r="F47" s="49"/>
      <c r="G47" s="49"/>
      <c r="H47" s="50">
        <f>'REKAP PENJUALAN'!D15</f>
        <v>114000</v>
      </c>
      <c r="I47" s="22"/>
      <c r="J47" s="25">
        <f t="shared" si="1"/>
        <v>147840.64791695005</v>
      </c>
      <c r="K47" s="19"/>
    </row>
    <row r="48" spans="1:11" x14ac:dyDescent="0.3">
      <c r="A48" s="275"/>
      <c r="B48" s="278"/>
      <c r="C48" s="51" t="s">
        <v>603</v>
      </c>
      <c r="D48" s="44">
        <v>46211</v>
      </c>
      <c r="E48" s="21" t="s">
        <v>259</v>
      </c>
      <c r="F48" s="49"/>
      <c r="G48" s="49"/>
      <c r="H48" s="50"/>
      <c r="I48" s="22">
        <f>'REKAP PENJUALAN'!E15</f>
        <v>84514.79744816586</v>
      </c>
      <c r="J48" s="25">
        <f t="shared" si="1"/>
        <v>63325.850468784192</v>
      </c>
      <c r="K48" s="19"/>
    </row>
    <row r="49" spans="1:11" x14ac:dyDescent="0.3">
      <c r="A49" s="275"/>
      <c r="B49" s="278"/>
      <c r="C49" s="51" t="s">
        <v>603</v>
      </c>
      <c r="D49" s="44">
        <v>46211</v>
      </c>
      <c r="E49" s="21" t="s">
        <v>260</v>
      </c>
      <c r="F49" s="49"/>
      <c r="G49" s="49"/>
      <c r="H49" s="50"/>
      <c r="I49" s="22">
        <f>'REKAP PENJUALAN'!F15</f>
        <v>8451.4797448165882</v>
      </c>
      <c r="J49" s="25">
        <f t="shared" si="1"/>
        <v>54874.3707239676</v>
      </c>
      <c r="K49" s="19"/>
    </row>
    <row r="50" spans="1:11" x14ac:dyDescent="0.3">
      <c r="A50" s="275"/>
      <c r="B50" s="278"/>
      <c r="C50" s="51" t="s">
        <v>603</v>
      </c>
      <c r="D50" s="44">
        <v>46211</v>
      </c>
      <c r="E50" s="21" t="s">
        <v>266</v>
      </c>
      <c r="F50" s="49"/>
      <c r="G50" s="49"/>
      <c r="H50" s="50"/>
      <c r="I50" s="22">
        <f>SUM('KOMISI CAMPURAN'!I15)</f>
        <v>2000</v>
      </c>
      <c r="J50" s="25">
        <f t="shared" si="1"/>
        <v>52874.3707239676</v>
      </c>
      <c r="K50" s="19"/>
    </row>
    <row r="51" spans="1:11" x14ac:dyDescent="0.3">
      <c r="A51" s="275"/>
      <c r="B51" s="278"/>
      <c r="C51" s="51" t="s">
        <v>603</v>
      </c>
      <c r="D51" s="44">
        <v>46212</v>
      </c>
      <c r="E51" s="21" t="s">
        <v>366</v>
      </c>
      <c r="F51" s="49"/>
      <c r="G51" s="49"/>
      <c r="H51" s="50">
        <f>'REKAP PENJUALAN'!D16</f>
        <v>183000</v>
      </c>
      <c r="I51" s="22"/>
      <c r="J51" s="25">
        <f t="shared" si="1"/>
        <v>235874.37072396762</v>
      </c>
      <c r="K51" s="19"/>
    </row>
    <row r="52" spans="1:11" x14ac:dyDescent="0.3">
      <c r="A52" s="275"/>
      <c r="B52" s="278"/>
      <c r="C52" s="51" t="s">
        <v>603</v>
      </c>
      <c r="D52" s="44">
        <v>46212</v>
      </c>
      <c r="E52" s="21" t="s">
        <v>259</v>
      </c>
      <c r="F52" s="49"/>
      <c r="G52" s="49"/>
      <c r="H52" s="50"/>
      <c r="I52" s="22">
        <f>'REKAP PENJUALAN'!E16</f>
        <v>125933.92982456139</v>
      </c>
      <c r="J52" s="25">
        <f t="shared" si="1"/>
        <v>109940.44089940623</v>
      </c>
      <c r="K52" s="19"/>
    </row>
    <row r="53" spans="1:11" x14ac:dyDescent="0.3">
      <c r="A53" s="275"/>
      <c r="B53" s="278"/>
      <c r="C53" s="51" t="s">
        <v>603</v>
      </c>
      <c r="D53" s="44">
        <v>46212</v>
      </c>
      <c r="E53" s="21" t="s">
        <v>260</v>
      </c>
      <c r="F53" s="49"/>
      <c r="G53" s="49"/>
      <c r="H53" s="50"/>
      <c r="I53" s="22">
        <f>'REKAP PENJUALAN'!F16</f>
        <v>12593.39298245614</v>
      </c>
      <c r="J53" s="25">
        <f t="shared" si="1"/>
        <v>97347.04791695009</v>
      </c>
      <c r="K53" s="19"/>
    </row>
    <row r="54" spans="1:11" x14ac:dyDescent="0.3">
      <c r="A54" s="275"/>
      <c r="B54" s="278"/>
      <c r="C54" s="51" t="s">
        <v>603</v>
      </c>
      <c r="D54" s="44">
        <v>46212</v>
      </c>
      <c r="E54" s="21" t="s">
        <v>266</v>
      </c>
      <c r="F54" s="49"/>
      <c r="G54" s="49"/>
      <c r="H54" s="50"/>
      <c r="I54" s="22">
        <f>SUM('KOMISI CAMPURAN'!I16)</f>
        <v>5000</v>
      </c>
      <c r="J54" s="25">
        <f t="shared" si="1"/>
        <v>92347.04791695009</v>
      </c>
      <c r="K54" s="19"/>
    </row>
    <row r="55" spans="1:11" x14ac:dyDescent="0.3">
      <c r="A55" s="275"/>
      <c r="B55" s="278"/>
      <c r="C55" s="51" t="s">
        <v>603</v>
      </c>
      <c r="D55" s="44">
        <v>46212</v>
      </c>
      <c r="E55" s="21" t="s">
        <v>523</v>
      </c>
      <c r="F55" s="49"/>
      <c r="G55" s="49"/>
      <c r="H55" s="50">
        <f>SUM('DATA BAHAN MASUK'!O45:O54)</f>
        <v>40000</v>
      </c>
      <c r="I55" s="22"/>
      <c r="J55" s="25">
        <f t="shared" si="1"/>
        <v>132347.04791695008</v>
      </c>
      <c r="K55" s="19"/>
    </row>
    <row r="56" spans="1:11" x14ac:dyDescent="0.3">
      <c r="A56" s="275"/>
      <c r="B56" s="278"/>
      <c r="C56" s="51" t="s">
        <v>603</v>
      </c>
      <c r="D56" s="44">
        <v>46212</v>
      </c>
      <c r="E56" s="21" t="s">
        <v>607</v>
      </c>
      <c r="F56" s="168"/>
      <c r="G56" s="49"/>
      <c r="H56" s="50"/>
      <c r="I56" s="22">
        <v>4000</v>
      </c>
      <c r="J56" s="25">
        <f t="shared" si="1"/>
        <v>128347.04791695008</v>
      </c>
      <c r="K56" s="19"/>
    </row>
    <row r="57" spans="1:11" x14ac:dyDescent="0.3">
      <c r="A57" s="275"/>
      <c r="B57" s="278"/>
      <c r="C57" s="51" t="s">
        <v>603</v>
      </c>
      <c r="D57" s="44">
        <v>46213</v>
      </c>
      <c r="E57" s="21" t="s">
        <v>366</v>
      </c>
      <c r="F57" s="44"/>
      <c r="G57" s="49"/>
      <c r="H57" s="50">
        <f>'REKAP PENJUALAN'!D17</f>
        <v>63000</v>
      </c>
      <c r="I57" s="22"/>
      <c r="J57" s="25">
        <f t="shared" si="1"/>
        <v>191347.04791695008</v>
      </c>
      <c r="K57" s="19"/>
    </row>
    <row r="58" spans="1:11" x14ac:dyDescent="0.3">
      <c r="A58" s="275"/>
      <c r="B58" s="278"/>
      <c r="C58" s="51" t="s">
        <v>603</v>
      </c>
      <c r="D58" s="44">
        <v>46213</v>
      </c>
      <c r="E58" s="21" t="s">
        <v>259</v>
      </c>
      <c r="F58" s="49"/>
      <c r="G58" s="49"/>
      <c r="H58" s="50"/>
      <c r="I58" s="22">
        <f>'REKAP PENJUALAN'!E17</f>
        <v>43135.350877192977</v>
      </c>
      <c r="J58" s="25">
        <f t="shared" si="1"/>
        <v>148211.6970397571</v>
      </c>
      <c r="K58" s="19"/>
    </row>
    <row r="59" spans="1:11" x14ac:dyDescent="0.3">
      <c r="A59" s="275"/>
      <c r="B59" s="278"/>
      <c r="C59" s="51" t="s">
        <v>603</v>
      </c>
      <c r="D59" s="44">
        <v>46213</v>
      </c>
      <c r="E59" s="21" t="s">
        <v>260</v>
      </c>
      <c r="F59" s="49"/>
      <c r="G59" s="49"/>
      <c r="H59" s="50"/>
      <c r="I59" s="22">
        <f>'REKAP PENJUALAN'!F17</f>
        <v>4313.5350877192977</v>
      </c>
      <c r="J59" s="25">
        <f t="shared" si="1"/>
        <v>143898.1619520378</v>
      </c>
      <c r="K59" s="19"/>
    </row>
    <row r="60" spans="1:11" x14ac:dyDescent="0.3">
      <c r="A60" s="275"/>
      <c r="B60" s="278"/>
      <c r="C60" s="51" t="s">
        <v>603</v>
      </c>
      <c r="D60" s="44">
        <v>46213</v>
      </c>
      <c r="E60" s="21" t="s">
        <v>266</v>
      </c>
      <c r="F60" s="114"/>
      <c r="G60" s="114"/>
      <c r="H60" s="115"/>
      <c r="I60" s="22">
        <v>0</v>
      </c>
      <c r="J60" s="25">
        <f t="shared" si="1"/>
        <v>143898.1619520378</v>
      </c>
      <c r="K60" s="19"/>
    </row>
    <row r="61" spans="1:11" x14ac:dyDescent="0.3">
      <c r="A61" s="275"/>
      <c r="B61" s="278"/>
      <c r="C61" s="51" t="s">
        <v>603</v>
      </c>
      <c r="D61" s="44">
        <v>46213</v>
      </c>
      <c r="E61" s="21" t="s">
        <v>523</v>
      </c>
      <c r="F61" s="114"/>
      <c r="G61" s="114"/>
      <c r="H61" s="115">
        <f>SUM('DATA BAHAN MASUK'!O55)</f>
        <v>0</v>
      </c>
      <c r="I61" s="22"/>
      <c r="J61" s="25">
        <f t="shared" si="1"/>
        <v>143898.1619520378</v>
      </c>
      <c r="K61" s="19"/>
    </row>
    <row r="62" spans="1:11" x14ac:dyDescent="0.3">
      <c r="A62" s="275"/>
      <c r="B62" s="278"/>
      <c r="C62" s="51" t="s">
        <v>603</v>
      </c>
      <c r="D62" s="44">
        <v>46214</v>
      </c>
      <c r="E62" s="21" t="s">
        <v>366</v>
      </c>
      <c r="F62" s="114"/>
      <c r="G62" s="114"/>
      <c r="H62" s="115">
        <f>'REKAP PENJUALAN'!D18</f>
        <v>204000</v>
      </c>
      <c r="I62" s="22"/>
      <c r="J62" s="25">
        <f t="shared" si="1"/>
        <v>347898.16195203783</v>
      </c>
      <c r="K62" s="19"/>
    </row>
    <row r="63" spans="1:11" x14ac:dyDescent="0.3">
      <c r="A63" s="275"/>
      <c r="B63" s="278"/>
      <c r="C63" s="51" t="s">
        <v>603</v>
      </c>
      <c r="D63" s="44">
        <v>46214</v>
      </c>
      <c r="E63" s="21" t="s">
        <v>259</v>
      </c>
      <c r="F63" s="114"/>
      <c r="G63" s="114"/>
      <c r="H63" s="115"/>
      <c r="I63" s="22">
        <f>'REKAP PENJUALAN'!E18</f>
        <v>154441.59409888356</v>
      </c>
      <c r="J63" s="25">
        <f t="shared" si="1"/>
        <v>193456.56785315427</v>
      </c>
      <c r="K63" s="19"/>
    </row>
    <row r="64" spans="1:11" x14ac:dyDescent="0.3">
      <c r="A64" s="275"/>
      <c r="B64" s="278"/>
      <c r="C64" s="51" t="s">
        <v>603</v>
      </c>
      <c r="D64" s="44">
        <v>46214</v>
      </c>
      <c r="E64" s="21" t="s">
        <v>260</v>
      </c>
      <c r="F64" s="114"/>
      <c r="G64" s="114"/>
      <c r="H64" s="115"/>
      <c r="I64" s="22">
        <f>'REKAP PENJUALAN'!F18</f>
        <v>15444.159409888358</v>
      </c>
      <c r="J64" s="25">
        <f t="shared" si="1"/>
        <v>178012.40844326591</v>
      </c>
      <c r="K64" s="19"/>
    </row>
    <row r="65" spans="1:11" x14ac:dyDescent="0.3">
      <c r="A65" s="275"/>
      <c r="B65" s="278"/>
      <c r="C65" s="51" t="s">
        <v>603</v>
      </c>
      <c r="D65" s="44">
        <v>46214</v>
      </c>
      <c r="E65" s="21" t="s">
        <v>266</v>
      </c>
      <c r="F65" s="114"/>
      <c r="G65" s="114"/>
      <c r="H65" s="115"/>
      <c r="I65" s="22">
        <f>SUM('KOMISI CAMPURAN'!I17)</f>
        <v>5000</v>
      </c>
      <c r="J65" s="25">
        <f t="shared" si="1"/>
        <v>173012.40844326591</v>
      </c>
      <c r="K65" s="19"/>
    </row>
    <row r="66" spans="1:11" x14ac:dyDescent="0.3">
      <c r="A66" s="275"/>
      <c r="B66" s="278"/>
      <c r="C66" s="51" t="s">
        <v>541</v>
      </c>
      <c r="D66" s="44">
        <v>46215</v>
      </c>
      <c r="E66" s="21" t="s">
        <v>366</v>
      </c>
      <c r="F66" s="114"/>
      <c r="G66" s="114"/>
      <c r="H66" s="115">
        <f>'REKAP PENJUALAN'!D19</f>
        <v>90000</v>
      </c>
      <c r="I66" s="22"/>
      <c r="J66" s="25">
        <f t="shared" si="1"/>
        <v>263012.40844326594</v>
      </c>
      <c r="K66" s="19"/>
    </row>
    <row r="67" spans="1:11" x14ac:dyDescent="0.3">
      <c r="A67" s="275"/>
      <c r="B67" s="278"/>
      <c r="C67" s="51" t="s">
        <v>541</v>
      </c>
      <c r="D67" s="44">
        <v>46215</v>
      </c>
      <c r="E67" s="21" t="s">
        <v>259</v>
      </c>
      <c r="F67" s="114"/>
      <c r="G67" s="114"/>
      <c r="H67" s="115"/>
      <c r="I67" s="22">
        <f>'REKAP PENJUALAN'!E19</f>
        <v>61501.929824561405</v>
      </c>
      <c r="J67" s="25">
        <f t="shared" si="1"/>
        <v>201510.47861870454</v>
      </c>
      <c r="K67" s="19"/>
    </row>
    <row r="68" spans="1:11" x14ac:dyDescent="0.3">
      <c r="A68" s="275"/>
      <c r="B68" s="278"/>
      <c r="C68" s="51" t="s">
        <v>541</v>
      </c>
      <c r="D68" s="44">
        <v>46215</v>
      </c>
      <c r="E68" s="21" t="s">
        <v>260</v>
      </c>
      <c r="F68" s="114"/>
      <c r="G68" s="114"/>
      <c r="H68" s="115"/>
      <c r="I68" s="22">
        <f>'REKAP PENJUALAN'!F19</f>
        <v>6150.1929824561403</v>
      </c>
      <c r="J68" s="25">
        <f t="shared" si="1"/>
        <v>195360.28563624839</v>
      </c>
      <c r="K68" s="19"/>
    </row>
    <row r="69" spans="1:11" x14ac:dyDescent="0.3">
      <c r="A69" s="275"/>
      <c r="B69" s="278"/>
      <c r="C69" s="51" t="s">
        <v>541</v>
      </c>
      <c r="D69" s="44">
        <v>46215</v>
      </c>
      <c r="E69" s="21" t="s">
        <v>266</v>
      </c>
      <c r="F69" s="114"/>
      <c r="G69" s="114"/>
      <c r="H69" s="115"/>
      <c r="I69" s="22">
        <f>SUM('KOMISI CAMPURAN'!I18)</f>
        <v>5000</v>
      </c>
      <c r="J69" s="25">
        <f t="shared" si="1"/>
        <v>190360.28563624839</v>
      </c>
      <c r="K69" s="19"/>
    </row>
    <row r="70" spans="1:11" x14ac:dyDescent="0.3">
      <c r="A70" s="275"/>
      <c r="B70" s="278"/>
      <c r="C70" s="51" t="s">
        <v>541</v>
      </c>
      <c r="D70" s="44">
        <v>46216</v>
      </c>
      <c r="E70" s="21" t="s">
        <v>366</v>
      </c>
      <c r="F70" s="114"/>
      <c r="G70" s="114"/>
      <c r="H70" s="115">
        <f>'REKAP PENJUALAN'!D20</f>
        <v>108000</v>
      </c>
      <c r="I70" s="22"/>
      <c r="J70" s="25">
        <f t="shared" si="1"/>
        <v>298360.28563624842</v>
      </c>
      <c r="K70" s="19"/>
    </row>
    <row r="71" spans="1:11" x14ac:dyDescent="0.3">
      <c r="A71" s="275"/>
      <c r="B71" s="278"/>
      <c r="C71" s="51" t="s">
        <v>541</v>
      </c>
      <c r="D71" s="44">
        <v>46216</v>
      </c>
      <c r="E71" s="21" t="s">
        <v>259</v>
      </c>
      <c r="F71" s="114"/>
      <c r="G71" s="114"/>
      <c r="H71" s="115"/>
      <c r="I71" s="22">
        <f>'REKAP PENJUALAN'!E20</f>
        <v>73606.31578947368</v>
      </c>
      <c r="J71" s="25">
        <f t="shared" si="1"/>
        <v>224753.96984677474</v>
      </c>
      <c r="K71" s="19"/>
    </row>
    <row r="72" spans="1:11" x14ac:dyDescent="0.3">
      <c r="A72" s="275"/>
      <c r="B72" s="278"/>
      <c r="C72" s="51" t="s">
        <v>541</v>
      </c>
      <c r="D72" s="44">
        <v>46216</v>
      </c>
      <c r="E72" s="21" t="s">
        <v>260</v>
      </c>
      <c r="F72" s="114"/>
      <c r="G72" s="114"/>
      <c r="H72" s="115"/>
      <c r="I72" s="22">
        <f>'REKAP PENJUALAN'!F20</f>
        <v>7360.6315789473683</v>
      </c>
      <c r="J72" s="25">
        <f t="shared" si="1"/>
        <v>217393.33826782738</v>
      </c>
      <c r="K72" s="19"/>
    </row>
    <row r="73" spans="1:11" x14ac:dyDescent="0.3">
      <c r="A73" s="275"/>
      <c r="B73" s="278"/>
      <c r="C73" s="51" t="s">
        <v>541</v>
      </c>
      <c r="D73" s="44">
        <v>46216</v>
      </c>
      <c r="E73" s="21" t="s">
        <v>611</v>
      </c>
      <c r="F73" s="114"/>
      <c r="G73" s="114"/>
      <c r="H73" s="115"/>
      <c r="I73" s="22">
        <v>21000</v>
      </c>
      <c r="J73" s="25">
        <f t="shared" si="1"/>
        <v>196393.33826782738</v>
      </c>
      <c r="K73" s="19"/>
    </row>
    <row r="74" spans="1:11" x14ac:dyDescent="0.3">
      <c r="A74" s="275"/>
      <c r="B74" s="278"/>
      <c r="C74" s="51" t="s">
        <v>541</v>
      </c>
      <c r="D74" s="44">
        <v>46217</v>
      </c>
      <c r="E74" s="21" t="s">
        <v>366</v>
      </c>
      <c r="F74" s="114"/>
      <c r="G74" s="114"/>
      <c r="H74" s="115">
        <f>'REKAP PENJUALAN'!D21</f>
        <v>36000</v>
      </c>
      <c r="I74" s="22"/>
      <c r="J74" s="25">
        <f t="shared" si="1"/>
        <v>232393.33826782738</v>
      </c>
      <c r="K74" s="19"/>
    </row>
    <row r="75" spans="1:11" x14ac:dyDescent="0.3">
      <c r="A75" s="275"/>
      <c r="B75" s="278"/>
      <c r="C75" s="51" t="s">
        <v>541</v>
      </c>
      <c r="D75" s="44">
        <v>46217</v>
      </c>
      <c r="E75" s="21" t="s">
        <v>259</v>
      </c>
      <c r="F75" s="114"/>
      <c r="G75" s="114"/>
      <c r="H75" s="115"/>
      <c r="I75" s="22">
        <f>'REKAP PENJUALAN'!E21</f>
        <v>24628.771929824561</v>
      </c>
      <c r="J75" s="25">
        <f t="shared" si="1"/>
        <v>207764.56633800283</v>
      </c>
      <c r="K75" s="19"/>
    </row>
    <row r="76" spans="1:11" x14ac:dyDescent="0.3">
      <c r="A76" s="275"/>
      <c r="B76" s="278"/>
      <c r="C76" s="51" t="s">
        <v>541</v>
      </c>
      <c r="D76" s="44">
        <v>46217</v>
      </c>
      <c r="E76" s="21" t="s">
        <v>260</v>
      </c>
      <c r="F76" s="114"/>
      <c r="G76" s="114"/>
      <c r="H76" s="115"/>
      <c r="I76" s="22">
        <f>'REKAP PENJUALAN'!F21</f>
        <v>2462.8771929824561</v>
      </c>
      <c r="J76" s="25">
        <f t="shared" si="1"/>
        <v>205301.68914502038</v>
      </c>
      <c r="K76" s="19"/>
    </row>
    <row r="77" spans="1:11" x14ac:dyDescent="0.3">
      <c r="A77" s="275"/>
      <c r="B77" s="278"/>
      <c r="C77" s="51" t="s">
        <v>541</v>
      </c>
      <c r="D77" s="44">
        <v>46217</v>
      </c>
      <c r="E77" s="21" t="s">
        <v>266</v>
      </c>
      <c r="F77" s="114"/>
      <c r="G77" s="114"/>
      <c r="H77" s="115"/>
      <c r="I77" s="22">
        <f>SUM('KOMISI CAMPURAN'!I19)</f>
        <v>10000</v>
      </c>
      <c r="J77" s="25">
        <f t="shared" si="1"/>
        <v>195301.68914502038</v>
      </c>
      <c r="K77" s="19"/>
    </row>
    <row r="78" spans="1:11" x14ac:dyDescent="0.3">
      <c r="A78" s="275"/>
      <c r="B78" s="278"/>
      <c r="C78" s="51" t="s">
        <v>541</v>
      </c>
      <c r="D78" s="44">
        <v>46218</v>
      </c>
      <c r="E78" s="21" t="s">
        <v>366</v>
      </c>
      <c r="F78" s="114"/>
      <c r="G78" s="114"/>
      <c r="H78" s="115">
        <f>'REKAP PENJUALAN'!D22</f>
        <v>54000</v>
      </c>
      <c r="I78" s="22"/>
      <c r="J78" s="25">
        <f t="shared" si="1"/>
        <v>249301.68914502038</v>
      </c>
      <c r="K78" s="19"/>
    </row>
    <row r="79" spans="1:11" x14ac:dyDescent="0.3">
      <c r="A79" s="275"/>
      <c r="B79" s="278"/>
      <c r="C79" s="51" t="s">
        <v>541</v>
      </c>
      <c r="D79" s="44">
        <v>46218</v>
      </c>
      <c r="E79" s="21" t="s">
        <v>259</v>
      </c>
      <c r="F79" s="114"/>
      <c r="G79" s="114"/>
      <c r="H79" s="115"/>
      <c r="I79" s="22">
        <f>'REKAP PENJUALAN'!E22</f>
        <v>36943.15789473684</v>
      </c>
      <c r="J79" s="25">
        <f t="shared" si="1"/>
        <v>212358.53125028353</v>
      </c>
      <c r="K79" s="19"/>
    </row>
    <row r="80" spans="1:11" x14ac:dyDescent="0.3">
      <c r="A80" s="275"/>
      <c r="B80" s="278"/>
      <c r="C80" s="51" t="s">
        <v>541</v>
      </c>
      <c r="D80" s="44">
        <v>46218</v>
      </c>
      <c r="E80" s="21" t="s">
        <v>260</v>
      </c>
      <c r="F80" s="114"/>
      <c r="G80" s="114"/>
      <c r="H80" s="115"/>
      <c r="I80" s="22">
        <f>'REKAP PENJUALAN'!F22</f>
        <v>3694.3157894736842</v>
      </c>
      <c r="J80" s="25">
        <f t="shared" si="1"/>
        <v>208664.21546080985</v>
      </c>
      <c r="K80" s="19"/>
    </row>
    <row r="81" spans="1:11" x14ac:dyDescent="0.3">
      <c r="A81" s="275"/>
      <c r="B81" s="278"/>
      <c r="C81" s="51" t="s">
        <v>541</v>
      </c>
      <c r="D81" s="44">
        <v>46218</v>
      </c>
      <c r="E81" s="21" t="s">
        <v>613</v>
      </c>
      <c r="F81" s="114"/>
      <c r="G81" s="114"/>
      <c r="H81" s="115"/>
      <c r="I81" s="22">
        <f>SUM('PRODUK KELUAR'!T66:T67)</f>
        <v>18000</v>
      </c>
      <c r="J81" s="25">
        <f t="shared" si="1"/>
        <v>190664.21546080985</v>
      </c>
      <c r="K81" s="19"/>
    </row>
    <row r="82" spans="1:11" x14ac:dyDescent="0.3">
      <c r="A82" s="275"/>
      <c r="B82" s="278"/>
      <c r="C82" s="51" t="s">
        <v>541</v>
      </c>
      <c r="D82" s="44">
        <v>46220</v>
      </c>
      <c r="E82" s="21" t="s">
        <v>366</v>
      </c>
      <c r="F82" s="49"/>
      <c r="G82" s="49"/>
      <c r="H82" s="50">
        <f>'REKAP PENJUALAN'!D23</f>
        <v>126000</v>
      </c>
      <c r="I82" s="22"/>
      <c r="J82" s="25">
        <f t="shared" si="1"/>
        <v>316664.21546080988</v>
      </c>
      <c r="K82" s="19"/>
    </row>
    <row r="83" spans="1:11" x14ac:dyDescent="0.3">
      <c r="A83" s="275"/>
      <c r="B83" s="278"/>
      <c r="C83" s="51" t="s">
        <v>541</v>
      </c>
      <c r="D83" s="44">
        <v>46220</v>
      </c>
      <c r="E83" s="21" t="s">
        <v>259</v>
      </c>
      <c r="F83" s="49"/>
      <c r="G83" s="49"/>
      <c r="H83" s="50"/>
      <c r="I83" s="22">
        <f>'REKAP PENJUALAN'!E23</f>
        <v>94440.548644338123</v>
      </c>
      <c r="J83" s="25">
        <f t="shared" ref="J83:J114" si="2">J82+H83-I83</f>
        <v>222223.66681647176</v>
      </c>
      <c r="K83" s="19"/>
    </row>
    <row r="84" spans="1:11" x14ac:dyDescent="0.3">
      <c r="A84" s="275"/>
      <c r="B84" s="278"/>
      <c r="C84" s="51" t="s">
        <v>541</v>
      </c>
      <c r="D84" s="44">
        <v>46220</v>
      </c>
      <c r="E84" s="21" t="s">
        <v>260</v>
      </c>
      <c r="F84" s="49"/>
      <c r="G84" s="49"/>
      <c r="H84" s="50"/>
      <c r="I84" s="22">
        <f>'REKAP PENJUALAN'!F23</f>
        <v>9444.0548644338123</v>
      </c>
      <c r="J84" s="25">
        <f t="shared" si="2"/>
        <v>212779.61195203796</v>
      </c>
      <c r="K84" s="19"/>
    </row>
    <row r="85" spans="1:11" x14ac:dyDescent="0.3">
      <c r="A85" s="275"/>
      <c r="B85" s="278"/>
      <c r="C85" s="51" t="s">
        <v>541</v>
      </c>
      <c r="D85" s="44">
        <v>46220</v>
      </c>
      <c r="E85" s="21" t="s">
        <v>613</v>
      </c>
      <c r="F85" s="32"/>
      <c r="G85" s="32"/>
      <c r="H85" s="22"/>
      <c r="I85" s="22">
        <f>9000*2</f>
        <v>18000</v>
      </c>
      <c r="J85" s="25">
        <f t="shared" si="2"/>
        <v>194779.61195203796</v>
      </c>
      <c r="K85" s="19"/>
    </row>
    <row r="86" spans="1:11" x14ac:dyDescent="0.3">
      <c r="A86" s="275"/>
      <c r="B86" s="278"/>
      <c r="C86" s="51" t="s">
        <v>541</v>
      </c>
      <c r="D86" s="44">
        <v>46221</v>
      </c>
      <c r="E86" s="21" t="s">
        <v>366</v>
      </c>
      <c r="F86" s="257"/>
      <c r="G86" s="66"/>
      <c r="H86" s="258">
        <f>'REKAP PENJUALAN'!D24</f>
        <v>136000</v>
      </c>
      <c r="I86" s="66"/>
      <c r="J86" s="25">
        <f t="shared" si="2"/>
        <v>330779.61195203796</v>
      </c>
      <c r="K86" s="19"/>
    </row>
    <row r="87" spans="1:11" x14ac:dyDescent="0.3">
      <c r="A87" s="275"/>
      <c r="B87" s="278"/>
      <c r="C87" s="51" t="s">
        <v>541</v>
      </c>
      <c r="D87" s="44">
        <v>46221</v>
      </c>
      <c r="E87" s="21" t="s">
        <v>259</v>
      </c>
      <c r="F87" s="257"/>
      <c r="G87" s="66"/>
      <c r="H87" s="66"/>
      <c r="I87" s="258">
        <f>'REKAP PENJUALAN'!E24</f>
        <v>101391.41945773523</v>
      </c>
      <c r="J87" s="25">
        <f t="shared" si="2"/>
        <v>229388.19249430273</v>
      </c>
      <c r="K87" s="19"/>
    </row>
    <row r="88" spans="1:11" x14ac:dyDescent="0.3">
      <c r="A88" s="275"/>
      <c r="B88" s="278"/>
      <c r="C88" s="51" t="s">
        <v>541</v>
      </c>
      <c r="D88" s="44">
        <v>46221</v>
      </c>
      <c r="E88" s="21" t="s">
        <v>260</v>
      </c>
      <c r="F88" s="49"/>
      <c r="G88" s="49"/>
      <c r="H88" s="50"/>
      <c r="I88" s="22">
        <f>'REKAP PENJUALAN'!F24</f>
        <v>10139.141945773525</v>
      </c>
      <c r="J88" s="25">
        <f t="shared" si="2"/>
        <v>219249.05054852919</v>
      </c>
      <c r="K88" s="19"/>
    </row>
    <row r="89" spans="1:11" x14ac:dyDescent="0.3">
      <c r="A89" s="275"/>
      <c r="B89" s="278"/>
      <c r="C89" s="51" t="s">
        <v>541</v>
      </c>
      <c r="D89" s="44">
        <v>46221</v>
      </c>
      <c r="E89" s="21" t="s">
        <v>266</v>
      </c>
      <c r="F89" s="49"/>
      <c r="G89" s="49"/>
      <c r="H89" s="50"/>
      <c r="I89" s="22">
        <f>SUM('KOMISI CAMPURAN'!I20)</f>
        <v>5000</v>
      </c>
      <c r="J89" s="25">
        <f t="shared" si="2"/>
        <v>214249.05054852919</v>
      </c>
      <c r="K89" s="19"/>
    </row>
    <row r="90" spans="1:11" x14ac:dyDescent="0.3">
      <c r="A90" s="275"/>
      <c r="B90" s="278"/>
      <c r="C90" s="51" t="s">
        <v>541</v>
      </c>
      <c r="D90" s="44">
        <v>46221</v>
      </c>
      <c r="E90" s="21" t="s">
        <v>523</v>
      </c>
      <c r="F90" s="114"/>
      <c r="G90" s="114"/>
      <c r="H90" s="115">
        <f>11000</f>
        <v>11000</v>
      </c>
      <c r="I90" s="116"/>
      <c r="J90" s="25">
        <f t="shared" si="2"/>
        <v>225249.05054852919</v>
      </c>
      <c r="K90" s="19"/>
    </row>
    <row r="91" spans="1:11" x14ac:dyDescent="0.3">
      <c r="A91" s="275"/>
      <c r="B91" s="278"/>
      <c r="C91" s="51" t="s">
        <v>541</v>
      </c>
      <c r="D91" s="44">
        <v>46221</v>
      </c>
      <c r="E91" s="21" t="s">
        <v>522</v>
      </c>
      <c r="F91" s="49"/>
      <c r="G91" s="49"/>
      <c r="H91" s="50">
        <f>SUM('DATA BAHAN MASUK'!O60:O67)</f>
        <v>8500</v>
      </c>
      <c r="I91" s="22"/>
      <c r="J91" s="25">
        <f t="shared" si="2"/>
        <v>233749.05054852919</v>
      </c>
      <c r="K91" s="19"/>
    </row>
    <row r="92" spans="1:11" x14ac:dyDescent="0.3">
      <c r="A92" s="275"/>
      <c r="B92" s="278"/>
      <c r="C92" s="51" t="s">
        <v>541</v>
      </c>
      <c r="D92" s="44">
        <v>46221</v>
      </c>
      <c r="E92" s="21" t="s">
        <v>607</v>
      </c>
      <c r="F92" s="49"/>
      <c r="G92" s="49"/>
      <c r="H92" s="50"/>
      <c r="I92" s="22">
        <v>4000</v>
      </c>
      <c r="J92" s="25">
        <f t="shared" si="2"/>
        <v>229749.05054852919</v>
      </c>
      <c r="K92" s="19"/>
    </row>
    <row r="93" spans="1:11" x14ac:dyDescent="0.3">
      <c r="A93" s="275"/>
      <c r="B93" s="278"/>
      <c r="C93" s="51" t="s">
        <v>615</v>
      </c>
      <c r="D93" s="44">
        <v>46222</v>
      </c>
      <c r="E93" s="21" t="s">
        <v>366</v>
      </c>
      <c r="F93" s="49"/>
      <c r="G93" s="49"/>
      <c r="H93" s="50">
        <f>'REKAP PENJUALAN'!D25</f>
        <v>36000</v>
      </c>
      <c r="I93" s="22"/>
      <c r="J93" s="25">
        <f t="shared" si="2"/>
        <v>265749.05054852919</v>
      </c>
      <c r="K93" s="19"/>
    </row>
    <row r="94" spans="1:11" x14ac:dyDescent="0.3">
      <c r="A94" s="275"/>
      <c r="B94" s="278"/>
      <c r="C94" s="51" t="s">
        <v>615</v>
      </c>
      <c r="D94" s="44">
        <v>46222</v>
      </c>
      <c r="E94" s="21" t="s">
        <v>259</v>
      </c>
      <c r="F94" s="49"/>
      <c r="G94" s="49"/>
      <c r="H94" s="50"/>
      <c r="I94" s="22">
        <f>'REKAP PENJUALAN'!E25</f>
        <v>24698.771929824561</v>
      </c>
      <c r="J94" s="25">
        <f t="shared" si="2"/>
        <v>241050.27861870464</v>
      </c>
      <c r="K94" s="19"/>
    </row>
    <row r="95" spans="1:11" x14ac:dyDescent="0.3">
      <c r="A95" s="275"/>
      <c r="B95" s="278"/>
      <c r="C95" s="51" t="s">
        <v>615</v>
      </c>
      <c r="D95" s="44">
        <v>46222</v>
      </c>
      <c r="E95" s="21" t="s">
        <v>260</v>
      </c>
      <c r="F95" s="49"/>
      <c r="G95" s="49"/>
      <c r="H95" s="50"/>
      <c r="I95" s="22">
        <f>'REKAP PENJUALAN'!F25</f>
        <v>2469.8771929824561</v>
      </c>
      <c r="J95" s="25">
        <f t="shared" si="2"/>
        <v>238580.4014257222</v>
      </c>
      <c r="K95" s="19"/>
    </row>
    <row r="96" spans="1:11" x14ac:dyDescent="0.3">
      <c r="A96" s="275"/>
      <c r="B96" s="278"/>
      <c r="C96" s="51" t="s">
        <v>615</v>
      </c>
      <c r="D96" s="44">
        <v>46223</v>
      </c>
      <c r="E96" s="21" t="s">
        <v>366</v>
      </c>
      <c r="F96" s="49"/>
      <c r="G96" s="49"/>
      <c r="H96" s="50">
        <f>'REKAP PENJUALAN'!D26</f>
        <v>139000</v>
      </c>
      <c r="I96" s="22"/>
      <c r="J96" s="25">
        <f t="shared" si="2"/>
        <v>377580.40142572217</v>
      </c>
      <c r="K96" s="19"/>
    </row>
    <row r="97" spans="1:11" x14ac:dyDescent="0.3">
      <c r="A97" s="275"/>
      <c r="B97" s="278"/>
      <c r="C97" s="51" t="s">
        <v>615</v>
      </c>
      <c r="D97" s="44">
        <v>46223</v>
      </c>
      <c r="E97" s="21" t="s">
        <v>259</v>
      </c>
      <c r="F97" s="49"/>
      <c r="G97" s="49"/>
      <c r="H97" s="50"/>
      <c r="I97" s="22">
        <f>'REKAP PENJUALAN'!E26</f>
        <v>111099.84370015949</v>
      </c>
      <c r="J97" s="25">
        <f t="shared" si="2"/>
        <v>266480.55772556271</v>
      </c>
      <c r="K97" s="19"/>
    </row>
    <row r="98" spans="1:11" x14ac:dyDescent="0.3">
      <c r="A98" s="275"/>
      <c r="B98" s="278"/>
      <c r="C98" s="51" t="s">
        <v>615</v>
      </c>
      <c r="D98" s="44">
        <v>46223</v>
      </c>
      <c r="E98" s="21" t="s">
        <v>260</v>
      </c>
      <c r="F98" s="49"/>
      <c r="G98" s="49"/>
      <c r="H98" s="50"/>
      <c r="I98" s="22">
        <f>'REKAP PENJUALAN'!F26</f>
        <v>11109.984370015949</v>
      </c>
      <c r="J98" s="25">
        <f t="shared" si="2"/>
        <v>255370.57335554677</v>
      </c>
      <c r="K98" s="19"/>
    </row>
    <row r="99" spans="1:11" x14ac:dyDescent="0.3">
      <c r="A99" s="275"/>
      <c r="B99" s="278"/>
      <c r="C99" s="51" t="s">
        <v>615</v>
      </c>
      <c r="D99" s="44">
        <v>46223</v>
      </c>
      <c r="E99" s="21" t="s">
        <v>266</v>
      </c>
      <c r="F99" s="49"/>
      <c r="G99" s="49"/>
      <c r="H99" s="50"/>
      <c r="I99" s="22">
        <f>SUM('KOMISI CAMPURAN'!I22)</f>
        <v>5000</v>
      </c>
      <c r="J99" s="25">
        <f t="shared" si="2"/>
        <v>250370.57335554677</v>
      </c>
      <c r="K99" s="19"/>
    </row>
    <row r="100" spans="1:11" x14ac:dyDescent="0.3">
      <c r="A100" s="275"/>
      <c r="B100" s="278"/>
      <c r="C100" s="51" t="s">
        <v>615</v>
      </c>
      <c r="D100" s="44">
        <v>46223</v>
      </c>
      <c r="E100" s="21" t="s">
        <v>616</v>
      </c>
      <c r="F100" s="49"/>
      <c r="G100" s="49"/>
      <c r="H100" s="50">
        <f>SUM('DATA BAHAN MASUK'!O68:O70)</f>
        <v>4000</v>
      </c>
      <c r="I100" s="22"/>
      <c r="J100" s="25">
        <f t="shared" si="2"/>
        <v>254370.57335554677</v>
      </c>
      <c r="K100" s="19"/>
    </row>
    <row r="101" spans="1:11" x14ac:dyDescent="0.3">
      <c r="A101" s="275"/>
      <c r="B101" s="278"/>
      <c r="C101" s="51" t="s">
        <v>615</v>
      </c>
      <c r="D101" s="44">
        <v>46226</v>
      </c>
      <c r="E101" s="21" t="s">
        <v>366</v>
      </c>
      <c r="F101" s="49"/>
      <c r="G101" s="49"/>
      <c r="H101" s="50">
        <f>'REKAP PENJUALAN'!D27</f>
        <v>27000</v>
      </c>
      <c r="I101" s="22"/>
      <c r="J101" s="25">
        <f t="shared" si="2"/>
        <v>281370.5733555468</v>
      </c>
      <c r="K101" s="19"/>
    </row>
    <row r="102" spans="1:11" x14ac:dyDescent="0.3">
      <c r="A102" s="275"/>
      <c r="B102" s="278"/>
      <c r="C102" s="51" t="s">
        <v>615</v>
      </c>
      <c r="D102" s="44">
        <v>46226</v>
      </c>
      <c r="E102" s="21" t="s">
        <v>259</v>
      </c>
      <c r="F102" s="49"/>
      <c r="G102" s="49"/>
      <c r="H102" s="50"/>
      <c r="I102" s="22">
        <f>'REKAP PENJUALAN'!E27</f>
        <v>18506.57894736842</v>
      </c>
      <c r="J102" s="25">
        <f t="shared" si="2"/>
        <v>262863.99440817838</v>
      </c>
      <c r="K102" s="19"/>
    </row>
    <row r="103" spans="1:11" x14ac:dyDescent="0.3">
      <c r="A103" s="275"/>
      <c r="B103" s="278"/>
      <c r="C103" s="51" t="s">
        <v>615</v>
      </c>
      <c r="D103" s="44">
        <v>46226</v>
      </c>
      <c r="E103" s="21" t="s">
        <v>260</v>
      </c>
      <c r="F103" s="49"/>
      <c r="G103" s="49"/>
      <c r="H103" s="50"/>
      <c r="I103" s="22">
        <f>'REKAP PENJUALAN'!F27</f>
        <v>1850.6578947368421</v>
      </c>
      <c r="J103" s="25">
        <f t="shared" si="2"/>
        <v>261013.33651344152</v>
      </c>
      <c r="K103" s="19"/>
    </row>
    <row r="104" spans="1:11" x14ac:dyDescent="0.3">
      <c r="A104" s="275"/>
      <c r="B104" s="278"/>
      <c r="C104" s="51" t="s">
        <v>615</v>
      </c>
      <c r="D104" s="44">
        <v>46227</v>
      </c>
      <c r="E104" s="21" t="s">
        <v>366</v>
      </c>
      <c r="F104" s="49"/>
      <c r="G104" s="49"/>
      <c r="H104" s="50">
        <f>'REKAP PENJUALAN'!D28</f>
        <v>84000</v>
      </c>
      <c r="I104" s="22"/>
      <c r="J104" s="25">
        <f t="shared" si="2"/>
        <v>345013.33651344152</v>
      </c>
      <c r="K104" s="19"/>
    </row>
    <row r="105" spans="1:11" x14ac:dyDescent="0.3">
      <c r="A105" s="275"/>
      <c r="B105" s="51"/>
      <c r="C105" s="51" t="s">
        <v>615</v>
      </c>
      <c r="D105" s="44">
        <v>46227</v>
      </c>
      <c r="E105" s="21" t="s">
        <v>259</v>
      </c>
      <c r="F105" s="49"/>
      <c r="G105" s="49"/>
      <c r="H105" s="50"/>
      <c r="I105" s="22">
        <f>'REKAP PENJUALAN'!E28</f>
        <v>58572.649122807008</v>
      </c>
      <c r="J105" s="25">
        <f t="shared" si="2"/>
        <v>286440.6873906345</v>
      </c>
      <c r="K105" s="19"/>
    </row>
    <row r="106" spans="1:11" x14ac:dyDescent="0.3">
      <c r="A106" s="275"/>
      <c r="B106" s="51"/>
      <c r="C106" s="51" t="s">
        <v>615</v>
      </c>
      <c r="D106" s="44">
        <v>46227</v>
      </c>
      <c r="E106" s="21" t="s">
        <v>260</v>
      </c>
      <c r="F106" s="49"/>
      <c r="G106" s="49"/>
      <c r="H106" s="50"/>
      <c r="I106" s="22">
        <f>'REKAP PENJUALAN'!F28</f>
        <v>5857.2649122807015</v>
      </c>
      <c r="J106" s="25">
        <f t="shared" si="2"/>
        <v>280583.42247835378</v>
      </c>
      <c r="K106" s="19"/>
    </row>
    <row r="107" spans="1:11" x14ac:dyDescent="0.3">
      <c r="A107" s="275"/>
      <c r="B107" s="51"/>
      <c r="C107" s="51" t="s">
        <v>615</v>
      </c>
      <c r="D107" s="44">
        <v>46228</v>
      </c>
      <c r="E107" s="21" t="s">
        <v>366</v>
      </c>
      <c r="F107" s="49"/>
      <c r="G107" s="49"/>
      <c r="H107" s="50">
        <f>'REKAP PENJUALAN'!D29</f>
        <v>36000</v>
      </c>
      <c r="I107" s="22"/>
      <c r="J107" s="25">
        <f t="shared" si="2"/>
        <v>316583.42247835378</v>
      </c>
      <c r="K107" s="19"/>
    </row>
    <row r="108" spans="1:11" x14ac:dyDescent="0.3">
      <c r="A108" s="275"/>
      <c r="B108" s="51"/>
      <c r="C108" s="51" t="s">
        <v>615</v>
      </c>
      <c r="D108" s="44">
        <v>46228</v>
      </c>
      <c r="E108" s="21" t="s">
        <v>259</v>
      </c>
      <c r="F108" s="49"/>
      <c r="G108" s="49"/>
      <c r="H108" s="50"/>
      <c r="I108" s="22">
        <f>'REKAP PENJUALAN'!E29</f>
        <v>24698.771929824561</v>
      </c>
      <c r="J108" s="25">
        <f t="shared" si="2"/>
        <v>291884.65054852923</v>
      </c>
      <c r="K108" s="19"/>
    </row>
    <row r="109" spans="1:11" x14ac:dyDescent="0.3">
      <c r="A109" s="275"/>
      <c r="B109" s="51"/>
      <c r="C109" s="51" t="s">
        <v>615</v>
      </c>
      <c r="D109" s="44">
        <v>46228</v>
      </c>
      <c r="E109" s="21" t="s">
        <v>260</v>
      </c>
      <c r="F109" s="49"/>
      <c r="G109" s="49"/>
      <c r="H109" s="50"/>
      <c r="I109" s="22">
        <f>'REKAP PENJUALAN'!F29</f>
        <v>2469.8771929824561</v>
      </c>
      <c r="J109" s="25">
        <f t="shared" si="2"/>
        <v>289414.77335554676</v>
      </c>
      <c r="K109" s="19"/>
    </row>
    <row r="110" spans="1:11" x14ac:dyDescent="0.3">
      <c r="A110" s="275"/>
      <c r="B110" s="51"/>
      <c r="C110" s="51" t="s">
        <v>615</v>
      </c>
      <c r="D110" s="44">
        <v>46228</v>
      </c>
      <c r="E110" s="21" t="s">
        <v>266</v>
      </c>
      <c r="F110" s="49"/>
      <c r="G110" s="49"/>
      <c r="H110" s="50"/>
      <c r="I110" s="22">
        <f>SUM('KOMISI CAMPURAN'!I23)</f>
        <v>5000</v>
      </c>
      <c r="J110" s="25">
        <f t="shared" si="2"/>
        <v>284414.77335554676</v>
      </c>
      <c r="K110" s="19"/>
    </row>
    <row r="111" spans="1:11" x14ac:dyDescent="0.3">
      <c r="A111" s="275"/>
      <c r="B111" s="51"/>
      <c r="C111" s="51" t="s">
        <v>615</v>
      </c>
      <c r="D111" s="44">
        <v>46228</v>
      </c>
      <c r="E111" s="21" t="s">
        <v>617</v>
      </c>
      <c r="F111" s="49"/>
      <c r="G111" s="49"/>
      <c r="H111" s="50">
        <f>SUM('DATA BAHAN MASUK'!O71:O74)</f>
        <v>31500.000000000004</v>
      </c>
      <c r="I111" s="22"/>
      <c r="J111" s="25">
        <f t="shared" si="2"/>
        <v>315914.77335554676</v>
      </c>
      <c r="K111" s="19"/>
    </row>
    <row r="112" spans="1:11" x14ac:dyDescent="0.3">
      <c r="A112" s="275"/>
      <c r="B112" s="51"/>
      <c r="C112" s="51" t="s">
        <v>615</v>
      </c>
      <c r="D112" s="44">
        <v>46228</v>
      </c>
      <c r="E112" s="21" t="s">
        <v>618</v>
      </c>
      <c r="F112" s="49"/>
      <c r="G112" s="49"/>
      <c r="H112" s="50"/>
      <c r="I112" s="22">
        <v>10000</v>
      </c>
      <c r="J112" s="25">
        <f t="shared" si="2"/>
        <v>305914.77335554676</v>
      </c>
      <c r="K112" s="19"/>
    </row>
    <row r="113" spans="1:11" x14ac:dyDescent="0.3">
      <c r="A113" s="275"/>
      <c r="B113" s="51"/>
      <c r="C113" s="51" t="s">
        <v>615</v>
      </c>
      <c r="D113" s="44">
        <v>46228</v>
      </c>
      <c r="E113" s="21" t="s">
        <v>619</v>
      </c>
      <c r="F113" s="49"/>
      <c r="G113" s="49"/>
      <c r="H113" s="50"/>
      <c r="I113" s="22">
        <f>SUM('DATA BAHAN KELUAR'!N388:N392)</f>
        <v>81014.912280701756</v>
      </c>
      <c r="J113" s="25">
        <f t="shared" si="2"/>
        <v>224899.86107484502</v>
      </c>
      <c r="K113" s="19"/>
    </row>
    <row r="114" spans="1:11" x14ac:dyDescent="0.3">
      <c r="A114" s="275"/>
      <c r="B114" s="51"/>
      <c r="C114" s="51" t="s">
        <v>615</v>
      </c>
      <c r="D114" s="44">
        <v>46228</v>
      </c>
      <c r="E114" s="21" t="s">
        <v>621</v>
      </c>
      <c r="F114" s="49"/>
      <c r="G114" s="49"/>
      <c r="H114" s="50"/>
      <c r="I114" s="22">
        <v>100000</v>
      </c>
      <c r="J114" s="25">
        <f t="shared" si="2"/>
        <v>124899.86107484502</v>
      </c>
      <c r="K114" s="19"/>
    </row>
    <row r="115" spans="1:11" x14ac:dyDescent="0.3">
      <c r="A115" s="275"/>
      <c r="B115" s="51"/>
      <c r="C115" s="51"/>
      <c r="D115" s="44"/>
      <c r="E115" s="21"/>
      <c r="F115" s="49"/>
      <c r="G115" s="49"/>
      <c r="H115" s="50"/>
      <c r="I115" s="22"/>
      <c r="J115" s="25"/>
      <c r="K115" s="19"/>
    </row>
    <row r="116" spans="1:11" x14ac:dyDescent="0.3">
      <c r="A116" s="275"/>
      <c r="B116" s="51"/>
      <c r="C116" s="51"/>
      <c r="D116" s="44"/>
      <c r="E116" s="21"/>
      <c r="F116" s="49"/>
      <c r="G116" s="49"/>
      <c r="H116" s="50"/>
      <c r="I116" s="22"/>
      <c r="J116" s="25"/>
      <c r="K116" s="19"/>
    </row>
    <row r="117" spans="1:11" x14ac:dyDescent="0.3">
      <c r="A117" s="275"/>
      <c r="B117" s="51"/>
      <c r="C117" s="51"/>
      <c r="D117" s="44"/>
      <c r="E117" s="21"/>
      <c r="F117" s="49"/>
      <c r="G117" s="49"/>
      <c r="H117" s="50"/>
      <c r="I117" s="22"/>
      <c r="J117" s="25"/>
      <c r="K117" s="19"/>
    </row>
    <row r="118" spans="1:11" x14ac:dyDescent="0.3">
      <c r="A118" s="275"/>
      <c r="B118" s="51"/>
      <c r="C118" s="51"/>
      <c r="D118" s="44"/>
      <c r="E118" s="21"/>
      <c r="F118" s="49"/>
      <c r="G118" s="49"/>
      <c r="H118" s="50"/>
      <c r="I118" s="22"/>
      <c r="J118" s="25"/>
      <c r="K118" s="19"/>
    </row>
    <row r="119" spans="1:11" x14ac:dyDescent="0.3">
      <c r="A119" s="275"/>
      <c r="B119" s="51"/>
      <c r="C119" s="51"/>
      <c r="D119" s="44"/>
      <c r="E119" s="21"/>
      <c r="F119" s="49"/>
      <c r="G119" s="49"/>
      <c r="H119" s="50"/>
      <c r="I119" s="22"/>
      <c r="J119" s="25"/>
      <c r="K119" s="19"/>
    </row>
    <row r="120" spans="1:11" x14ac:dyDescent="0.3">
      <c r="A120" s="275"/>
      <c r="B120" s="51"/>
      <c r="C120" s="51"/>
      <c r="D120" s="44"/>
      <c r="E120" s="21"/>
      <c r="F120" s="49"/>
      <c r="G120" s="49"/>
      <c r="H120" s="50"/>
      <c r="I120" s="22"/>
      <c r="J120" s="25"/>
      <c r="K120" s="19"/>
    </row>
    <row r="121" spans="1:11" x14ac:dyDescent="0.3">
      <c r="A121" s="275"/>
      <c r="B121" s="51"/>
      <c r="C121" s="51"/>
      <c r="D121" s="44"/>
      <c r="E121" s="21"/>
      <c r="F121" s="49"/>
      <c r="G121" s="49"/>
      <c r="H121" s="50"/>
      <c r="I121" s="22"/>
      <c r="J121" s="25"/>
      <c r="K121" s="19"/>
    </row>
    <row r="122" spans="1:11" x14ac:dyDescent="0.3">
      <c r="A122" s="275"/>
      <c r="B122" s="51"/>
      <c r="C122" s="51"/>
      <c r="D122" s="44"/>
      <c r="E122" s="21"/>
      <c r="F122" s="49"/>
      <c r="G122" s="49"/>
      <c r="H122" s="50"/>
      <c r="I122" s="22"/>
      <c r="J122" s="25"/>
      <c r="K122" s="19"/>
    </row>
    <row r="123" spans="1:11" x14ac:dyDescent="0.3">
      <c r="A123" s="275"/>
      <c r="B123" s="51"/>
      <c r="C123" s="51"/>
      <c r="D123" s="44"/>
      <c r="E123" s="21"/>
      <c r="F123" s="49"/>
      <c r="G123" s="49"/>
      <c r="H123" s="50"/>
      <c r="I123" s="22"/>
      <c r="J123" s="25"/>
      <c r="K123" s="19"/>
    </row>
    <row r="124" spans="1:11" x14ac:dyDescent="0.3">
      <c r="A124" s="275"/>
      <c r="B124" s="51"/>
      <c r="C124" s="51"/>
      <c r="D124" s="44"/>
      <c r="E124" s="21"/>
      <c r="F124" s="49"/>
      <c r="G124" s="49"/>
      <c r="H124" s="50"/>
      <c r="I124" s="22"/>
      <c r="J124" s="25"/>
      <c r="K124" s="19"/>
    </row>
    <row r="125" spans="1:11" x14ac:dyDescent="0.3">
      <c r="A125" s="275"/>
      <c r="B125" s="51"/>
      <c r="C125" s="51"/>
      <c r="D125" s="44"/>
      <c r="E125" s="21"/>
      <c r="F125" s="49"/>
      <c r="G125" s="49"/>
      <c r="H125" s="50"/>
      <c r="I125" s="22"/>
      <c r="J125" s="25"/>
      <c r="K125" s="19"/>
    </row>
    <row r="126" spans="1:11" x14ac:dyDescent="0.3">
      <c r="A126" s="275"/>
      <c r="B126" s="51"/>
      <c r="C126" s="51"/>
      <c r="D126" s="44"/>
      <c r="E126" s="21"/>
      <c r="F126" s="49"/>
      <c r="G126" s="49"/>
      <c r="H126" s="50"/>
      <c r="I126" s="22"/>
      <c r="J126" s="25"/>
      <c r="K126" s="19"/>
    </row>
    <row r="127" spans="1:11" x14ac:dyDescent="0.3">
      <c r="A127" s="275"/>
      <c r="B127" s="51"/>
      <c r="C127" s="51"/>
      <c r="D127" s="44"/>
      <c r="E127" s="21"/>
      <c r="F127" s="49"/>
      <c r="G127" s="49"/>
      <c r="H127" s="50"/>
      <c r="I127" s="22"/>
      <c r="J127" s="25"/>
      <c r="K127" s="19"/>
    </row>
    <row r="128" spans="1:11" x14ac:dyDescent="0.3">
      <c r="A128" s="275"/>
      <c r="B128" s="51"/>
      <c r="C128" s="51"/>
      <c r="D128" s="44"/>
      <c r="E128" s="21"/>
      <c r="F128" s="49"/>
      <c r="G128" s="49"/>
      <c r="H128" s="50"/>
      <c r="I128" s="22"/>
      <c r="J128" s="25"/>
      <c r="K128" s="19"/>
    </row>
    <row r="129" spans="1:11" x14ac:dyDescent="0.3">
      <c r="A129" s="275"/>
      <c r="B129" s="51"/>
      <c r="C129" s="51"/>
      <c r="D129" s="44"/>
      <c r="E129" s="21"/>
      <c r="F129" s="49"/>
      <c r="G129" s="49"/>
      <c r="H129" s="50"/>
      <c r="I129" s="22"/>
      <c r="J129" s="25"/>
      <c r="K129" s="19"/>
    </row>
    <row r="130" spans="1:11" x14ac:dyDescent="0.3">
      <c r="A130" s="275"/>
      <c r="B130" s="51"/>
      <c r="C130" s="51"/>
      <c r="D130" s="44"/>
      <c r="E130" s="21"/>
      <c r="F130" s="49"/>
      <c r="G130" s="49"/>
      <c r="H130" s="50"/>
      <c r="I130" s="22"/>
      <c r="J130" s="25"/>
      <c r="K130" s="19"/>
    </row>
    <row r="131" spans="1:11" x14ac:dyDescent="0.3">
      <c r="A131" s="275"/>
      <c r="B131" s="51"/>
      <c r="C131" s="51"/>
      <c r="D131" s="44"/>
      <c r="E131" s="21"/>
      <c r="F131" s="49"/>
      <c r="G131" s="49"/>
      <c r="H131" s="50"/>
      <c r="I131" s="22"/>
      <c r="J131" s="25"/>
      <c r="K131" s="19"/>
    </row>
    <row r="132" spans="1:11" ht="15" thickBot="1" x14ac:dyDescent="0.35">
      <c r="A132" s="275"/>
      <c r="B132" s="100"/>
      <c r="C132" s="100"/>
      <c r="D132" s="99"/>
      <c r="E132" s="101"/>
      <c r="F132" s="31"/>
      <c r="G132" s="31"/>
      <c r="H132" s="23"/>
      <c r="I132" s="23"/>
      <c r="J132" s="102"/>
      <c r="K132" s="19"/>
    </row>
    <row r="133" spans="1:11" ht="15" thickBot="1" x14ac:dyDescent="0.35">
      <c r="A133" s="276"/>
      <c r="B133" s="51"/>
      <c r="C133" s="51"/>
      <c r="D133" s="90"/>
      <c r="E133" s="91"/>
      <c r="F133" s="49"/>
      <c r="G133" s="49"/>
      <c r="H133" s="50"/>
      <c r="I133" s="50"/>
      <c r="J133" s="92"/>
      <c r="K133" s="19"/>
    </row>
    <row r="134" spans="1:11" ht="15" thickBot="1" x14ac:dyDescent="0.35">
      <c r="A134" s="272" t="s">
        <v>66</v>
      </c>
      <c r="B134" s="273"/>
      <c r="C134" s="273"/>
      <c r="D134" s="273"/>
      <c r="E134" s="273"/>
      <c r="F134" s="93"/>
      <c r="G134" s="93"/>
      <c r="H134" s="94">
        <f>SUM(H4:H133)</f>
        <v>4261609.5338818626</v>
      </c>
      <c r="I134" s="95">
        <f>SUM(I4:I133)</f>
        <v>4136709.6728070178</v>
      </c>
      <c r="J134" s="96">
        <f>H134-I134</f>
        <v>124899.86107484484</v>
      </c>
    </row>
    <row r="135" spans="1:11" x14ac:dyDescent="0.3">
      <c r="K135" s="19"/>
    </row>
  </sheetData>
  <mergeCells count="5">
    <mergeCell ref="A134:E134"/>
    <mergeCell ref="A1:J1"/>
    <mergeCell ref="A4:A133"/>
    <mergeCell ref="B4:B15"/>
    <mergeCell ref="B16:B10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7"/>
  <sheetViews>
    <sheetView zoomScaleNormal="100" workbookViewId="0">
      <pane xSplit="4" ySplit="3" topLeftCell="F24" activePane="bottomRight" state="frozen"/>
      <selection pane="topRight" activeCell="D1" sqref="D1"/>
      <selection pane="bottomLeft" activeCell="A5" sqref="A5"/>
      <selection pane="bottomRight" activeCell="L40" sqref="L40"/>
    </sheetView>
  </sheetViews>
  <sheetFormatPr defaultRowHeight="14.4" x14ac:dyDescent="0.3"/>
  <cols>
    <col min="1" max="3" width="11.6640625" style="4" customWidth="1"/>
    <col min="4" max="4" width="11.6640625" style="3" customWidth="1"/>
    <col min="5" max="5" width="81.109375" customWidth="1"/>
    <col min="6" max="6" width="13.5546875" style="16" customWidth="1"/>
    <col min="7" max="7" width="8" style="4" customWidth="1"/>
    <col min="8" max="8" width="10.109375" style="4" customWidth="1"/>
    <col min="9" max="9" width="9" style="4" customWidth="1"/>
    <col min="10" max="11" width="11.6640625" style="19" customWidth="1"/>
    <col min="12" max="12" width="11.6640625" style="33" customWidth="1"/>
    <col min="15" max="15" width="11.5546875" bestFit="1" customWidth="1"/>
    <col min="262" max="264" width="11.6640625" customWidth="1"/>
    <col min="265" max="265" width="91.5546875" customWidth="1"/>
    <col min="266" max="268" width="11.6640625" customWidth="1"/>
    <col min="271" max="271" width="11.5546875" bestFit="1" customWidth="1"/>
    <col min="518" max="520" width="11.6640625" customWidth="1"/>
    <col min="521" max="521" width="91.5546875" customWidth="1"/>
    <col min="522" max="524" width="11.6640625" customWidth="1"/>
    <col min="527" max="527" width="11.5546875" bestFit="1" customWidth="1"/>
    <col min="774" max="776" width="11.6640625" customWidth="1"/>
    <col min="777" max="777" width="91.5546875" customWidth="1"/>
    <col min="778" max="780" width="11.6640625" customWidth="1"/>
    <col min="783" max="783" width="11.5546875" bestFit="1" customWidth="1"/>
    <col min="1030" max="1032" width="11.6640625" customWidth="1"/>
    <col min="1033" max="1033" width="91.5546875" customWidth="1"/>
    <col min="1034" max="1036" width="11.6640625" customWidth="1"/>
    <col min="1039" max="1039" width="11.5546875" bestFit="1" customWidth="1"/>
    <col min="1286" max="1288" width="11.6640625" customWidth="1"/>
    <col min="1289" max="1289" width="91.5546875" customWidth="1"/>
    <col min="1290" max="1292" width="11.6640625" customWidth="1"/>
    <col min="1295" max="1295" width="11.5546875" bestFit="1" customWidth="1"/>
    <col min="1542" max="1544" width="11.6640625" customWidth="1"/>
    <col min="1545" max="1545" width="91.5546875" customWidth="1"/>
    <col min="1546" max="1548" width="11.6640625" customWidth="1"/>
    <col min="1551" max="1551" width="11.5546875" bestFit="1" customWidth="1"/>
    <col min="1798" max="1800" width="11.6640625" customWidth="1"/>
    <col min="1801" max="1801" width="91.5546875" customWidth="1"/>
    <col min="1802" max="1804" width="11.6640625" customWidth="1"/>
    <col min="1807" max="1807" width="11.5546875" bestFit="1" customWidth="1"/>
    <col min="2054" max="2056" width="11.6640625" customWidth="1"/>
    <col min="2057" max="2057" width="91.5546875" customWidth="1"/>
    <col min="2058" max="2060" width="11.6640625" customWidth="1"/>
    <col min="2063" max="2063" width="11.5546875" bestFit="1" customWidth="1"/>
    <col min="2310" max="2312" width="11.6640625" customWidth="1"/>
    <col min="2313" max="2313" width="91.5546875" customWidth="1"/>
    <col min="2314" max="2316" width="11.6640625" customWidth="1"/>
    <col min="2319" max="2319" width="11.5546875" bestFit="1" customWidth="1"/>
    <col min="2566" max="2568" width="11.6640625" customWidth="1"/>
    <col min="2569" max="2569" width="91.5546875" customWidth="1"/>
    <col min="2570" max="2572" width="11.6640625" customWidth="1"/>
    <col min="2575" max="2575" width="11.5546875" bestFit="1" customWidth="1"/>
    <col min="2822" max="2824" width="11.6640625" customWidth="1"/>
    <col min="2825" max="2825" width="91.5546875" customWidth="1"/>
    <col min="2826" max="2828" width="11.6640625" customWidth="1"/>
    <col min="2831" max="2831" width="11.5546875" bestFit="1" customWidth="1"/>
    <col min="3078" max="3080" width="11.6640625" customWidth="1"/>
    <col min="3081" max="3081" width="91.5546875" customWidth="1"/>
    <col min="3082" max="3084" width="11.6640625" customWidth="1"/>
    <col min="3087" max="3087" width="11.5546875" bestFit="1" customWidth="1"/>
    <col min="3334" max="3336" width="11.6640625" customWidth="1"/>
    <col min="3337" max="3337" width="91.5546875" customWidth="1"/>
    <col min="3338" max="3340" width="11.6640625" customWidth="1"/>
    <col min="3343" max="3343" width="11.5546875" bestFit="1" customWidth="1"/>
    <col min="3590" max="3592" width="11.6640625" customWidth="1"/>
    <col min="3593" max="3593" width="91.5546875" customWidth="1"/>
    <col min="3594" max="3596" width="11.6640625" customWidth="1"/>
    <col min="3599" max="3599" width="11.5546875" bestFit="1" customWidth="1"/>
    <col min="3846" max="3848" width="11.6640625" customWidth="1"/>
    <col min="3849" max="3849" width="91.5546875" customWidth="1"/>
    <col min="3850" max="3852" width="11.6640625" customWidth="1"/>
    <col min="3855" max="3855" width="11.5546875" bestFit="1" customWidth="1"/>
    <col min="4102" max="4104" width="11.6640625" customWidth="1"/>
    <col min="4105" max="4105" width="91.5546875" customWidth="1"/>
    <col min="4106" max="4108" width="11.6640625" customWidth="1"/>
    <col min="4111" max="4111" width="11.5546875" bestFit="1" customWidth="1"/>
    <col min="4358" max="4360" width="11.6640625" customWidth="1"/>
    <col min="4361" max="4361" width="91.5546875" customWidth="1"/>
    <col min="4362" max="4364" width="11.6640625" customWidth="1"/>
    <col min="4367" max="4367" width="11.5546875" bestFit="1" customWidth="1"/>
    <col min="4614" max="4616" width="11.6640625" customWidth="1"/>
    <col min="4617" max="4617" width="91.5546875" customWidth="1"/>
    <col min="4618" max="4620" width="11.6640625" customWidth="1"/>
    <col min="4623" max="4623" width="11.5546875" bestFit="1" customWidth="1"/>
    <col min="4870" max="4872" width="11.6640625" customWidth="1"/>
    <col min="4873" max="4873" width="91.5546875" customWidth="1"/>
    <col min="4874" max="4876" width="11.6640625" customWidth="1"/>
    <col min="4879" max="4879" width="11.5546875" bestFit="1" customWidth="1"/>
    <col min="5126" max="5128" width="11.6640625" customWidth="1"/>
    <col min="5129" max="5129" width="91.5546875" customWidth="1"/>
    <col min="5130" max="5132" width="11.6640625" customWidth="1"/>
    <col min="5135" max="5135" width="11.5546875" bestFit="1" customWidth="1"/>
    <col min="5382" max="5384" width="11.6640625" customWidth="1"/>
    <col min="5385" max="5385" width="91.5546875" customWidth="1"/>
    <col min="5386" max="5388" width="11.6640625" customWidth="1"/>
    <col min="5391" max="5391" width="11.5546875" bestFit="1" customWidth="1"/>
    <col min="5638" max="5640" width="11.6640625" customWidth="1"/>
    <col min="5641" max="5641" width="91.5546875" customWidth="1"/>
    <col min="5642" max="5644" width="11.6640625" customWidth="1"/>
    <col min="5647" max="5647" width="11.5546875" bestFit="1" customWidth="1"/>
    <col min="5894" max="5896" width="11.6640625" customWidth="1"/>
    <col min="5897" max="5897" width="91.5546875" customWidth="1"/>
    <col min="5898" max="5900" width="11.6640625" customWidth="1"/>
    <col min="5903" max="5903" width="11.5546875" bestFit="1" customWidth="1"/>
    <col min="6150" max="6152" width="11.6640625" customWidth="1"/>
    <col min="6153" max="6153" width="91.5546875" customWidth="1"/>
    <col min="6154" max="6156" width="11.6640625" customWidth="1"/>
    <col min="6159" max="6159" width="11.5546875" bestFit="1" customWidth="1"/>
    <col min="6406" max="6408" width="11.6640625" customWidth="1"/>
    <col min="6409" max="6409" width="91.5546875" customWidth="1"/>
    <col min="6410" max="6412" width="11.6640625" customWidth="1"/>
    <col min="6415" max="6415" width="11.5546875" bestFit="1" customWidth="1"/>
    <col min="6662" max="6664" width="11.6640625" customWidth="1"/>
    <col min="6665" max="6665" width="91.5546875" customWidth="1"/>
    <col min="6666" max="6668" width="11.6640625" customWidth="1"/>
    <col min="6671" max="6671" width="11.5546875" bestFit="1" customWidth="1"/>
    <col min="6918" max="6920" width="11.6640625" customWidth="1"/>
    <col min="6921" max="6921" width="91.5546875" customWidth="1"/>
    <col min="6922" max="6924" width="11.6640625" customWidth="1"/>
    <col min="6927" max="6927" width="11.5546875" bestFit="1" customWidth="1"/>
    <col min="7174" max="7176" width="11.6640625" customWidth="1"/>
    <col min="7177" max="7177" width="91.5546875" customWidth="1"/>
    <col min="7178" max="7180" width="11.6640625" customWidth="1"/>
    <col min="7183" max="7183" width="11.5546875" bestFit="1" customWidth="1"/>
    <col min="7430" max="7432" width="11.6640625" customWidth="1"/>
    <col min="7433" max="7433" width="91.5546875" customWidth="1"/>
    <col min="7434" max="7436" width="11.6640625" customWidth="1"/>
    <col min="7439" max="7439" width="11.5546875" bestFit="1" customWidth="1"/>
    <col min="7686" max="7688" width="11.6640625" customWidth="1"/>
    <col min="7689" max="7689" width="91.5546875" customWidth="1"/>
    <col min="7690" max="7692" width="11.6640625" customWidth="1"/>
    <col min="7695" max="7695" width="11.5546875" bestFit="1" customWidth="1"/>
    <col min="7942" max="7944" width="11.6640625" customWidth="1"/>
    <col min="7945" max="7945" width="91.5546875" customWidth="1"/>
    <col min="7946" max="7948" width="11.6640625" customWidth="1"/>
    <col min="7951" max="7951" width="11.5546875" bestFit="1" customWidth="1"/>
    <col min="8198" max="8200" width="11.6640625" customWidth="1"/>
    <col min="8201" max="8201" width="91.5546875" customWidth="1"/>
    <col min="8202" max="8204" width="11.6640625" customWidth="1"/>
    <col min="8207" max="8207" width="11.5546875" bestFit="1" customWidth="1"/>
    <col min="8454" max="8456" width="11.6640625" customWidth="1"/>
    <col min="8457" max="8457" width="91.5546875" customWidth="1"/>
    <col min="8458" max="8460" width="11.6640625" customWidth="1"/>
    <col min="8463" max="8463" width="11.5546875" bestFit="1" customWidth="1"/>
    <col min="8710" max="8712" width="11.6640625" customWidth="1"/>
    <col min="8713" max="8713" width="91.5546875" customWidth="1"/>
    <col min="8714" max="8716" width="11.6640625" customWidth="1"/>
    <col min="8719" max="8719" width="11.5546875" bestFit="1" customWidth="1"/>
    <col min="8966" max="8968" width="11.6640625" customWidth="1"/>
    <col min="8969" max="8969" width="91.5546875" customWidth="1"/>
    <col min="8970" max="8972" width="11.6640625" customWidth="1"/>
    <col min="8975" max="8975" width="11.5546875" bestFit="1" customWidth="1"/>
    <col min="9222" max="9224" width="11.6640625" customWidth="1"/>
    <col min="9225" max="9225" width="91.5546875" customWidth="1"/>
    <col min="9226" max="9228" width="11.6640625" customWidth="1"/>
    <col min="9231" max="9231" width="11.5546875" bestFit="1" customWidth="1"/>
    <col min="9478" max="9480" width="11.6640625" customWidth="1"/>
    <col min="9481" max="9481" width="91.5546875" customWidth="1"/>
    <col min="9482" max="9484" width="11.6640625" customWidth="1"/>
    <col min="9487" max="9487" width="11.5546875" bestFit="1" customWidth="1"/>
    <col min="9734" max="9736" width="11.6640625" customWidth="1"/>
    <col min="9737" max="9737" width="91.5546875" customWidth="1"/>
    <col min="9738" max="9740" width="11.6640625" customWidth="1"/>
    <col min="9743" max="9743" width="11.5546875" bestFit="1" customWidth="1"/>
    <col min="9990" max="9992" width="11.6640625" customWidth="1"/>
    <col min="9993" max="9993" width="91.5546875" customWidth="1"/>
    <col min="9994" max="9996" width="11.6640625" customWidth="1"/>
    <col min="9999" max="9999" width="11.5546875" bestFit="1" customWidth="1"/>
    <col min="10246" max="10248" width="11.6640625" customWidth="1"/>
    <col min="10249" max="10249" width="91.5546875" customWidth="1"/>
    <col min="10250" max="10252" width="11.6640625" customWidth="1"/>
    <col min="10255" max="10255" width="11.5546875" bestFit="1" customWidth="1"/>
    <col min="10502" max="10504" width="11.6640625" customWidth="1"/>
    <col min="10505" max="10505" width="91.5546875" customWidth="1"/>
    <col min="10506" max="10508" width="11.6640625" customWidth="1"/>
    <col min="10511" max="10511" width="11.5546875" bestFit="1" customWidth="1"/>
    <col min="10758" max="10760" width="11.6640625" customWidth="1"/>
    <col min="10761" max="10761" width="91.5546875" customWidth="1"/>
    <col min="10762" max="10764" width="11.6640625" customWidth="1"/>
    <col min="10767" max="10767" width="11.5546875" bestFit="1" customWidth="1"/>
    <col min="11014" max="11016" width="11.6640625" customWidth="1"/>
    <col min="11017" max="11017" width="91.5546875" customWidth="1"/>
    <col min="11018" max="11020" width="11.6640625" customWidth="1"/>
    <col min="11023" max="11023" width="11.5546875" bestFit="1" customWidth="1"/>
    <col min="11270" max="11272" width="11.6640625" customWidth="1"/>
    <col min="11273" max="11273" width="91.5546875" customWidth="1"/>
    <col min="11274" max="11276" width="11.6640625" customWidth="1"/>
    <col min="11279" max="11279" width="11.5546875" bestFit="1" customWidth="1"/>
    <col min="11526" max="11528" width="11.6640625" customWidth="1"/>
    <col min="11529" max="11529" width="91.5546875" customWidth="1"/>
    <col min="11530" max="11532" width="11.6640625" customWidth="1"/>
    <col min="11535" max="11535" width="11.5546875" bestFit="1" customWidth="1"/>
    <col min="11782" max="11784" width="11.6640625" customWidth="1"/>
    <col min="11785" max="11785" width="91.5546875" customWidth="1"/>
    <col min="11786" max="11788" width="11.6640625" customWidth="1"/>
    <col min="11791" max="11791" width="11.5546875" bestFit="1" customWidth="1"/>
    <col min="12038" max="12040" width="11.6640625" customWidth="1"/>
    <col min="12041" max="12041" width="91.5546875" customWidth="1"/>
    <col min="12042" max="12044" width="11.6640625" customWidth="1"/>
    <col min="12047" max="12047" width="11.5546875" bestFit="1" customWidth="1"/>
    <col min="12294" max="12296" width="11.6640625" customWidth="1"/>
    <col min="12297" max="12297" width="91.5546875" customWidth="1"/>
    <col min="12298" max="12300" width="11.6640625" customWidth="1"/>
    <col min="12303" max="12303" width="11.5546875" bestFit="1" customWidth="1"/>
    <col min="12550" max="12552" width="11.6640625" customWidth="1"/>
    <col min="12553" max="12553" width="91.5546875" customWidth="1"/>
    <col min="12554" max="12556" width="11.6640625" customWidth="1"/>
    <col min="12559" max="12559" width="11.5546875" bestFit="1" customWidth="1"/>
    <col min="12806" max="12808" width="11.6640625" customWidth="1"/>
    <col min="12809" max="12809" width="91.5546875" customWidth="1"/>
    <col min="12810" max="12812" width="11.6640625" customWidth="1"/>
    <col min="12815" max="12815" width="11.5546875" bestFit="1" customWidth="1"/>
    <col min="13062" max="13064" width="11.6640625" customWidth="1"/>
    <col min="13065" max="13065" width="91.5546875" customWidth="1"/>
    <col min="13066" max="13068" width="11.6640625" customWidth="1"/>
    <col min="13071" max="13071" width="11.5546875" bestFit="1" customWidth="1"/>
    <col min="13318" max="13320" width="11.6640625" customWidth="1"/>
    <col min="13321" max="13321" width="91.5546875" customWidth="1"/>
    <col min="13322" max="13324" width="11.6640625" customWidth="1"/>
    <col min="13327" max="13327" width="11.5546875" bestFit="1" customWidth="1"/>
    <col min="13574" max="13576" width="11.6640625" customWidth="1"/>
    <col min="13577" max="13577" width="91.5546875" customWidth="1"/>
    <col min="13578" max="13580" width="11.6640625" customWidth="1"/>
    <col min="13583" max="13583" width="11.5546875" bestFit="1" customWidth="1"/>
    <col min="13830" max="13832" width="11.6640625" customWidth="1"/>
    <col min="13833" max="13833" width="91.5546875" customWidth="1"/>
    <col min="13834" max="13836" width="11.6640625" customWidth="1"/>
    <col min="13839" max="13839" width="11.5546875" bestFit="1" customWidth="1"/>
    <col min="14086" max="14088" width="11.6640625" customWidth="1"/>
    <col min="14089" max="14089" width="91.5546875" customWidth="1"/>
    <col min="14090" max="14092" width="11.6640625" customWidth="1"/>
    <col min="14095" max="14095" width="11.5546875" bestFit="1" customWidth="1"/>
    <col min="14342" max="14344" width="11.6640625" customWidth="1"/>
    <col min="14345" max="14345" width="91.5546875" customWidth="1"/>
    <col min="14346" max="14348" width="11.6640625" customWidth="1"/>
    <col min="14351" max="14351" width="11.5546875" bestFit="1" customWidth="1"/>
    <col min="14598" max="14600" width="11.6640625" customWidth="1"/>
    <col min="14601" max="14601" width="91.5546875" customWidth="1"/>
    <col min="14602" max="14604" width="11.6640625" customWidth="1"/>
    <col min="14607" max="14607" width="11.5546875" bestFit="1" customWidth="1"/>
    <col min="14854" max="14856" width="11.6640625" customWidth="1"/>
    <col min="14857" max="14857" width="91.5546875" customWidth="1"/>
    <col min="14858" max="14860" width="11.6640625" customWidth="1"/>
    <col min="14863" max="14863" width="11.5546875" bestFit="1" customWidth="1"/>
    <col min="15110" max="15112" width="11.6640625" customWidth="1"/>
    <col min="15113" max="15113" width="91.5546875" customWidth="1"/>
    <col min="15114" max="15116" width="11.6640625" customWidth="1"/>
    <col min="15119" max="15119" width="11.5546875" bestFit="1" customWidth="1"/>
    <col min="15366" max="15368" width="11.6640625" customWidth="1"/>
    <col min="15369" max="15369" width="91.5546875" customWidth="1"/>
    <col min="15370" max="15372" width="11.6640625" customWidth="1"/>
    <col min="15375" max="15375" width="11.5546875" bestFit="1" customWidth="1"/>
    <col min="15622" max="15624" width="11.6640625" customWidth="1"/>
    <col min="15625" max="15625" width="91.5546875" customWidth="1"/>
    <col min="15626" max="15628" width="11.6640625" customWidth="1"/>
    <col min="15631" max="15631" width="11.5546875" bestFit="1" customWidth="1"/>
    <col min="15878" max="15880" width="11.6640625" customWidth="1"/>
    <col min="15881" max="15881" width="91.5546875" customWidth="1"/>
    <col min="15882" max="15884" width="11.6640625" customWidth="1"/>
    <col min="15887" max="15887" width="11.5546875" bestFit="1" customWidth="1"/>
    <col min="16134" max="16136" width="11.6640625" customWidth="1"/>
    <col min="16137" max="16137" width="91.5546875" customWidth="1"/>
    <col min="16138" max="16140" width="11.6640625" customWidth="1"/>
    <col min="16143" max="16143" width="11.5546875" bestFit="1" customWidth="1"/>
  </cols>
  <sheetData>
    <row r="1" spans="1:12" x14ac:dyDescent="0.3">
      <c r="A1" s="266" t="s">
        <v>122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</row>
    <row r="2" spans="1:12" ht="15" thickBot="1" x14ac:dyDescent="0.35">
      <c r="A2" s="1"/>
      <c r="B2" s="1"/>
      <c r="C2" s="1"/>
    </row>
    <row r="3" spans="1:12" ht="29.4" thickBot="1" x14ac:dyDescent="0.35">
      <c r="A3" s="76" t="s">
        <v>109</v>
      </c>
      <c r="B3" s="77" t="s">
        <v>61</v>
      </c>
      <c r="C3" s="77" t="s">
        <v>78</v>
      </c>
      <c r="D3" s="77" t="s">
        <v>1</v>
      </c>
      <c r="E3" s="77" t="s">
        <v>62</v>
      </c>
      <c r="F3" s="78" t="s">
        <v>74</v>
      </c>
      <c r="G3" s="77" t="s">
        <v>76</v>
      </c>
      <c r="H3" s="77" t="s">
        <v>77</v>
      </c>
      <c r="I3" s="77" t="s">
        <v>75</v>
      </c>
      <c r="J3" s="79" t="s">
        <v>63</v>
      </c>
      <c r="K3" s="79" t="s">
        <v>64</v>
      </c>
      <c r="L3" s="80" t="s">
        <v>65</v>
      </c>
    </row>
    <row r="4" spans="1:12" x14ac:dyDescent="0.3">
      <c r="A4" s="97">
        <v>2026</v>
      </c>
      <c r="B4" s="98" t="s">
        <v>577</v>
      </c>
      <c r="C4" s="98" t="s">
        <v>541</v>
      </c>
      <c r="D4" s="201">
        <v>46174</v>
      </c>
      <c r="E4" s="35" t="s">
        <v>578</v>
      </c>
      <c r="F4" s="81"/>
      <c r="G4" s="82"/>
      <c r="H4" s="82"/>
      <c r="I4" s="82"/>
      <c r="J4" s="83">
        <f>'[3]KAS PERPUTARAN MODAL'!$L$68</f>
        <v>694776.42515379982</v>
      </c>
      <c r="K4" s="83"/>
      <c r="L4" s="84">
        <f>J4</f>
        <v>694776.42515379982</v>
      </c>
    </row>
    <row r="5" spans="1:12" x14ac:dyDescent="0.3">
      <c r="A5" s="202">
        <v>2026</v>
      </c>
      <c r="B5" s="203" t="s">
        <v>577</v>
      </c>
      <c r="C5" s="203" t="s">
        <v>541</v>
      </c>
      <c r="D5" s="163">
        <v>46190</v>
      </c>
      <c r="E5" s="204" t="s">
        <v>599</v>
      </c>
      <c r="F5" s="205"/>
      <c r="G5" s="206"/>
      <c r="H5" s="206"/>
      <c r="I5" s="206"/>
      <c r="J5" s="207">
        <f>'KAS TOKO'!I8</f>
        <v>200000</v>
      </c>
      <c r="K5" s="116"/>
      <c r="L5" s="196">
        <f>L4+J5-K5</f>
        <v>894776.42515379982</v>
      </c>
    </row>
    <row r="6" spans="1:12" x14ac:dyDescent="0.3">
      <c r="A6" s="65">
        <v>2026</v>
      </c>
      <c r="B6" s="63" t="s">
        <v>577</v>
      </c>
      <c r="C6" s="63" t="s">
        <v>541</v>
      </c>
      <c r="D6" s="44">
        <v>46190</v>
      </c>
      <c r="E6" s="66" t="s">
        <v>261</v>
      </c>
      <c r="F6" s="67"/>
      <c r="G6" s="68"/>
      <c r="H6" s="68"/>
      <c r="I6" s="68"/>
      <c r="J6" s="22"/>
      <c r="K6" s="22">
        <f>SUM('DATA BAHAN MASUK'!I5:I32)</f>
        <v>846333.33333333337</v>
      </c>
      <c r="L6" s="196">
        <f t="shared" ref="L6:L7" si="0">L5+J6-K6</f>
        <v>48443.091820466449</v>
      </c>
    </row>
    <row r="7" spans="1:12" ht="15" thickBot="1" x14ac:dyDescent="0.35">
      <c r="A7" s="190">
        <v>2026</v>
      </c>
      <c r="B7" s="64" t="s">
        <v>577</v>
      </c>
      <c r="C7" s="64" t="s">
        <v>541</v>
      </c>
      <c r="D7" s="99">
        <v>46198</v>
      </c>
      <c r="E7" s="157" t="s">
        <v>262</v>
      </c>
      <c r="F7" s="158"/>
      <c r="G7" s="159"/>
      <c r="H7" s="159"/>
      <c r="I7" s="159"/>
      <c r="J7" s="23">
        <f>'KAS TOKO'!I10</f>
        <v>89163.736842105267</v>
      </c>
      <c r="K7" s="23"/>
      <c r="L7" s="233">
        <f t="shared" si="0"/>
        <v>137606.82866257173</v>
      </c>
    </row>
    <row r="8" spans="1:12" x14ac:dyDescent="0.3">
      <c r="A8" s="191">
        <v>2026</v>
      </c>
      <c r="B8" s="192" t="s">
        <v>590</v>
      </c>
      <c r="C8" s="192" t="s">
        <v>591</v>
      </c>
      <c r="D8" s="44">
        <v>46206</v>
      </c>
      <c r="E8" s="193" t="s">
        <v>262</v>
      </c>
      <c r="F8" s="230"/>
      <c r="G8" s="231"/>
      <c r="H8" s="231"/>
      <c r="I8" s="231"/>
      <c r="J8" s="115">
        <f>'KAS TOKO'!I18</f>
        <v>24628.771929824561</v>
      </c>
      <c r="K8" s="115"/>
      <c r="L8" s="232">
        <f>L7+J8-K8</f>
        <v>162235.60059239628</v>
      </c>
    </row>
    <row r="9" spans="1:12" x14ac:dyDescent="0.3">
      <c r="A9" s="65">
        <v>2026</v>
      </c>
      <c r="B9" s="63" t="s">
        <v>590</v>
      </c>
      <c r="C9" s="63" t="s">
        <v>591</v>
      </c>
      <c r="D9" s="44">
        <v>46207</v>
      </c>
      <c r="E9" s="66" t="s">
        <v>262</v>
      </c>
      <c r="F9" s="87"/>
      <c r="G9" s="88"/>
      <c r="H9" s="88"/>
      <c r="I9" s="88"/>
      <c r="J9" s="50">
        <f>'KAS TOKO'!I22</f>
        <v>102640.91228070176</v>
      </c>
      <c r="K9" s="50"/>
      <c r="L9" s="89">
        <f>L8+J9-K9</f>
        <v>264876.51287309802</v>
      </c>
    </row>
    <row r="10" spans="1:12" x14ac:dyDescent="0.3">
      <c r="A10" s="65">
        <v>2026</v>
      </c>
      <c r="B10" s="63" t="s">
        <v>590</v>
      </c>
      <c r="C10" s="63" t="s">
        <v>591</v>
      </c>
      <c r="D10" s="44">
        <v>46207</v>
      </c>
      <c r="E10" s="66" t="s">
        <v>261</v>
      </c>
      <c r="F10" s="87"/>
      <c r="G10" s="88"/>
      <c r="H10" s="88"/>
      <c r="I10" s="88"/>
      <c r="J10" s="50"/>
      <c r="K10" s="50">
        <f>SUM('DATA BAHAN MASUK'!I33:I37)</f>
        <v>225000</v>
      </c>
      <c r="L10" s="89">
        <f>L9+J10-K10</f>
        <v>39876.512873098021</v>
      </c>
    </row>
    <row r="11" spans="1:12" x14ac:dyDescent="0.3">
      <c r="A11" s="65">
        <v>2026</v>
      </c>
      <c r="B11" s="63" t="s">
        <v>590</v>
      </c>
      <c r="C11" s="63" t="s">
        <v>591</v>
      </c>
      <c r="D11" s="44">
        <v>46207</v>
      </c>
      <c r="E11" s="66" t="s">
        <v>600</v>
      </c>
      <c r="F11" s="87"/>
      <c r="G11" s="88"/>
      <c r="H11" s="88"/>
      <c r="I11" s="88"/>
      <c r="J11" s="50">
        <f>'KAS TOKO'!I28</f>
        <v>905280.71929824562</v>
      </c>
      <c r="K11" s="50"/>
      <c r="L11" s="89">
        <f t="shared" ref="L11:L40" si="1">L10+J11-K11</f>
        <v>945157.23217134364</v>
      </c>
    </row>
    <row r="12" spans="1:12" x14ac:dyDescent="0.3">
      <c r="A12" s="242">
        <v>2026</v>
      </c>
      <c r="B12" s="243" t="s">
        <v>590</v>
      </c>
      <c r="C12" s="243" t="s">
        <v>591</v>
      </c>
      <c r="D12" s="163">
        <v>46207</v>
      </c>
      <c r="E12" s="164" t="s">
        <v>608</v>
      </c>
      <c r="F12" s="244"/>
      <c r="G12" s="245"/>
      <c r="H12" s="245"/>
      <c r="I12" s="245"/>
      <c r="J12" s="166"/>
      <c r="K12" s="166">
        <v>200000</v>
      </c>
      <c r="L12" s="89">
        <f t="shared" si="1"/>
        <v>745157.23217134364</v>
      </c>
    </row>
    <row r="13" spans="1:12" x14ac:dyDescent="0.3">
      <c r="A13" s="65">
        <v>2026</v>
      </c>
      <c r="B13" s="63" t="s">
        <v>590</v>
      </c>
      <c r="C13" s="63" t="s">
        <v>603</v>
      </c>
      <c r="D13" s="44">
        <v>46208</v>
      </c>
      <c r="E13" s="66" t="s">
        <v>262</v>
      </c>
      <c r="F13" s="87"/>
      <c r="G13" s="88"/>
      <c r="H13" s="88"/>
      <c r="I13" s="88"/>
      <c r="J13" s="50">
        <f>'KAS TOKO'!I31</f>
        <v>24628.771929824561</v>
      </c>
      <c r="K13" s="50"/>
      <c r="L13" s="89">
        <f t="shared" si="1"/>
        <v>769786.00410116825</v>
      </c>
    </row>
    <row r="14" spans="1:12" x14ac:dyDescent="0.3">
      <c r="A14" s="65">
        <v>2026</v>
      </c>
      <c r="B14" s="63" t="s">
        <v>590</v>
      </c>
      <c r="C14" s="63" t="s">
        <v>603</v>
      </c>
      <c r="D14" s="44">
        <v>46208</v>
      </c>
      <c r="E14" s="66" t="s">
        <v>261</v>
      </c>
      <c r="F14" s="87"/>
      <c r="G14" s="88"/>
      <c r="H14" s="88"/>
      <c r="I14" s="88"/>
      <c r="J14" s="50"/>
      <c r="K14" s="50">
        <f>SUM('DATA BAHAN MASUK'!I38:I44)</f>
        <v>205200</v>
      </c>
      <c r="L14" s="89">
        <f t="shared" si="1"/>
        <v>564586.00410116825</v>
      </c>
    </row>
    <row r="15" spans="1:12" x14ac:dyDescent="0.3">
      <c r="A15" s="65">
        <v>2026</v>
      </c>
      <c r="B15" s="63" t="s">
        <v>590</v>
      </c>
      <c r="C15" s="63" t="s">
        <v>603</v>
      </c>
      <c r="D15" s="44">
        <v>46209</v>
      </c>
      <c r="E15" s="66" t="s">
        <v>262</v>
      </c>
      <c r="F15" s="67"/>
      <c r="G15" s="68"/>
      <c r="H15" s="68"/>
      <c r="I15" s="68"/>
      <c r="J15" s="22">
        <f>'KAS TOKO'!I38</f>
        <v>109927.22169059012</v>
      </c>
      <c r="K15" s="22"/>
      <c r="L15" s="89">
        <f t="shared" si="1"/>
        <v>674513.22579175839</v>
      </c>
    </row>
    <row r="16" spans="1:12" x14ac:dyDescent="0.3">
      <c r="A16" s="65">
        <v>2026</v>
      </c>
      <c r="B16" s="63" t="s">
        <v>590</v>
      </c>
      <c r="C16" s="63" t="s">
        <v>603</v>
      </c>
      <c r="D16" s="44">
        <v>46210</v>
      </c>
      <c r="E16" s="66" t="s">
        <v>262</v>
      </c>
      <c r="F16" s="67"/>
      <c r="G16" s="68"/>
      <c r="H16" s="68"/>
      <c r="I16" s="68"/>
      <c r="J16" s="22">
        <f>'KAS TOKO'!I42</f>
        <v>43090.736842105267</v>
      </c>
      <c r="K16" s="22"/>
      <c r="L16" s="89">
        <f t="shared" si="1"/>
        <v>717603.96263386367</v>
      </c>
    </row>
    <row r="17" spans="1:12" x14ac:dyDescent="0.3">
      <c r="A17" s="242">
        <v>2026</v>
      </c>
      <c r="B17" s="243" t="s">
        <v>590</v>
      </c>
      <c r="C17" s="243" t="s">
        <v>603</v>
      </c>
      <c r="D17" s="163">
        <v>46210</v>
      </c>
      <c r="E17" s="164" t="s">
        <v>606</v>
      </c>
      <c r="F17" s="244"/>
      <c r="G17" s="245"/>
      <c r="H17" s="245"/>
      <c r="I17" s="245"/>
      <c r="J17" s="166"/>
      <c r="K17" s="166">
        <v>600000</v>
      </c>
      <c r="L17" s="89">
        <f t="shared" si="1"/>
        <v>117603.96263386367</v>
      </c>
    </row>
    <row r="18" spans="1:12" x14ac:dyDescent="0.3">
      <c r="A18" s="65">
        <v>2026</v>
      </c>
      <c r="B18" s="63" t="s">
        <v>590</v>
      </c>
      <c r="C18" s="63" t="s">
        <v>603</v>
      </c>
      <c r="D18" s="44">
        <v>46211</v>
      </c>
      <c r="E18" s="66" t="s">
        <v>262</v>
      </c>
      <c r="F18" s="67"/>
      <c r="G18" s="68"/>
      <c r="H18" s="68"/>
      <c r="I18" s="68"/>
      <c r="J18" s="22">
        <f>'KAS TOKO'!I48</f>
        <v>84514.79744816586</v>
      </c>
      <c r="K18" s="22"/>
      <c r="L18" s="89">
        <f t="shared" si="1"/>
        <v>202118.76008202953</v>
      </c>
    </row>
    <row r="19" spans="1:12" x14ac:dyDescent="0.3">
      <c r="A19" s="65">
        <v>2026</v>
      </c>
      <c r="B19" s="63" t="s">
        <v>590</v>
      </c>
      <c r="C19" s="63" t="s">
        <v>603</v>
      </c>
      <c r="D19" s="44">
        <v>46212</v>
      </c>
      <c r="E19" s="66" t="s">
        <v>262</v>
      </c>
      <c r="F19" s="67"/>
      <c r="G19" s="68"/>
      <c r="H19" s="68"/>
      <c r="I19" s="68"/>
      <c r="J19" s="22">
        <f>'KAS TOKO'!I52</f>
        <v>125933.92982456139</v>
      </c>
      <c r="K19" s="22"/>
      <c r="L19" s="89">
        <f t="shared" si="1"/>
        <v>328052.68990659091</v>
      </c>
    </row>
    <row r="20" spans="1:12" x14ac:dyDescent="0.3">
      <c r="A20" s="65">
        <v>2026</v>
      </c>
      <c r="B20" s="63" t="s">
        <v>590</v>
      </c>
      <c r="C20" s="63" t="s">
        <v>603</v>
      </c>
      <c r="D20" s="44">
        <v>46212</v>
      </c>
      <c r="E20" s="66" t="s">
        <v>261</v>
      </c>
      <c r="F20" s="67"/>
      <c r="G20" s="68"/>
      <c r="H20" s="68"/>
      <c r="I20" s="68"/>
      <c r="J20" s="22"/>
      <c r="K20" s="22">
        <f>SUM('DATA BAHAN MASUK'!I45:I54)</f>
        <v>329842.10526315786</v>
      </c>
      <c r="L20" s="89">
        <f t="shared" si="1"/>
        <v>-1789.4153565669549</v>
      </c>
    </row>
    <row r="21" spans="1:12" x14ac:dyDescent="0.3">
      <c r="A21" s="65">
        <v>2026</v>
      </c>
      <c r="B21" s="63" t="s">
        <v>590</v>
      </c>
      <c r="C21" s="63" t="s">
        <v>603</v>
      </c>
      <c r="D21" s="44">
        <v>46213</v>
      </c>
      <c r="E21" s="66" t="s">
        <v>262</v>
      </c>
      <c r="F21" s="67"/>
      <c r="G21" s="68"/>
      <c r="H21" s="68"/>
      <c r="I21" s="68"/>
      <c r="J21" s="22">
        <f>'KAS TOKO'!I58</f>
        <v>43135.350877192977</v>
      </c>
      <c r="K21" s="22"/>
      <c r="L21" s="89">
        <f t="shared" si="1"/>
        <v>41345.935520626022</v>
      </c>
    </row>
    <row r="22" spans="1:12" x14ac:dyDescent="0.3">
      <c r="A22" s="65">
        <v>2026</v>
      </c>
      <c r="B22" s="63" t="s">
        <v>590</v>
      </c>
      <c r="C22" s="63" t="s">
        <v>603</v>
      </c>
      <c r="D22" s="44">
        <v>46213</v>
      </c>
      <c r="E22" s="66" t="s">
        <v>261</v>
      </c>
      <c r="F22" s="67"/>
      <c r="G22" s="68"/>
      <c r="H22" s="68"/>
      <c r="I22" s="68"/>
      <c r="J22" s="22"/>
      <c r="K22" s="22">
        <f>SUM('DATA BAHAN MASUK'!I55)</f>
        <v>25000</v>
      </c>
      <c r="L22" s="89">
        <f t="shared" si="1"/>
        <v>16345.935520626022</v>
      </c>
    </row>
    <row r="23" spans="1:12" x14ac:dyDescent="0.3">
      <c r="A23" s="65">
        <v>2026</v>
      </c>
      <c r="B23" s="63" t="s">
        <v>590</v>
      </c>
      <c r="C23" s="63" t="s">
        <v>603</v>
      </c>
      <c r="D23" s="44">
        <v>46214</v>
      </c>
      <c r="E23" s="66" t="s">
        <v>262</v>
      </c>
      <c r="F23" s="67"/>
      <c r="G23" s="68"/>
      <c r="H23" s="68"/>
      <c r="I23" s="68"/>
      <c r="J23" s="22">
        <f>'KAS TOKO'!I63</f>
        <v>154441.59409888356</v>
      </c>
      <c r="K23" s="22"/>
      <c r="L23" s="89">
        <f t="shared" si="1"/>
        <v>170787.52961950959</v>
      </c>
    </row>
    <row r="24" spans="1:12" x14ac:dyDescent="0.3">
      <c r="A24" s="65">
        <v>2026</v>
      </c>
      <c r="B24" s="63" t="s">
        <v>590</v>
      </c>
      <c r="C24" s="63" t="s">
        <v>541</v>
      </c>
      <c r="D24" s="44">
        <v>46215</v>
      </c>
      <c r="E24" s="66" t="s">
        <v>262</v>
      </c>
      <c r="F24" s="67"/>
      <c r="G24" s="68"/>
      <c r="H24" s="68"/>
      <c r="I24" s="68"/>
      <c r="J24" s="22">
        <f>'KAS TOKO'!I67</f>
        <v>61501.929824561405</v>
      </c>
      <c r="K24" s="22"/>
      <c r="L24" s="89">
        <f t="shared" si="1"/>
        <v>232289.45944407099</v>
      </c>
    </row>
    <row r="25" spans="1:12" x14ac:dyDescent="0.3">
      <c r="A25" s="65">
        <v>2026</v>
      </c>
      <c r="B25" s="63" t="s">
        <v>590</v>
      </c>
      <c r="C25" s="63" t="s">
        <v>541</v>
      </c>
      <c r="D25" s="44">
        <v>46215</v>
      </c>
      <c r="E25" s="66" t="s">
        <v>261</v>
      </c>
      <c r="F25" s="67"/>
      <c r="G25" s="68"/>
      <c r="H25" s="68"/>
      <c r="I25" s="68"/>
      <c r="J25" s="22"/>
      <c r="K25" s="22">
        <f>SUM('DATA BAHAN MASUK'!I56:I57)</f>
        <v>110000</v>
      </c>
      <c r="L25" s="89">
        <f t="shared" si="1"/>
        <v>122289.45944407099</v>
      </c>
    </row>
    <row r="26" spans="1:12" x14ac:dyDescent="0.3">
      <c r="A26" s="65">
        <v>2026</v>
      </c>
      <c r="B26" s="63" t="s">
        <v>590</v>
      </c>
      <c r="C26" s="63" t="s">
        <v>541</v>
      </c>
      <c r="D26" s="44">
        <v>46216</v>
      </c>
      <c r="E26" s="66" t="s">
        <v>262</v>
      </c>
      <c r="F26" s="67"/>
      <c r="G26" s="68"/>
      <c r="H26" s="68"/>
      <c r="I26" s="68"/>
      <c r="J26" s="22">
        <f>'KAS TOKO'!I71</f>
        <v>73606.31578947368</v>
      </c>
      <c r="K26" s="22"/>
      <c r="L26" s="89">
        <f t="shared" si="1"/>
        <v>195895.77523354467</v>
      </c>
    </row>
    <row r="27" spans="1:12" x14ac:dyDescent="0.3">
      <c r="A27" s="65">
        <v>2026</v>
      </c>
      <c r="B27" s="63" t="s">
        <v>590</v>
      </c>
      <c r="C27" s="63" t="s">
        <v>541</v>
      </c>
      <c r="D27" s="44">
        <v>46217</v>
      </c>
      <c r="E27" s="66" t="s">
        <v>262</v>
      </c>
      <c r="F27" s="67"/>
      <c r="G27" s="68"/>
      <c r="H27" s="68"/>
      <c r="I27" s="68"/>
      <c r="J27" s="22">
        <f>'KAS TOKO'!I75</f>
        <v>24628.771929824561</v>
      </c>
      <c r="K27" s="22"/>
      <c r="L27" s="89">
        <f t="shared" si="1"/>
        <v>220524.54716336922</v>
      </c>
    </row>
    <row r="28" spans="1:12" x14ac:dyDescent="0.3">
      <c r="A28" s="65">
        <v>2026</v>
      </c>
      <c r="B28" s="63" t="s">
        <v>590</v>
      </c>
      <c r="C28" s="63" t="s">
        <v>541</v>
      </c>
      <c r="D28" s="44">
        <v>46217</v>
      </c>
      <c r="E28" s="66" t="s">
        <v>261</v>
      </c>
      <c r="F28" s="67"/>
      <c r="G28" s="68"/>
      <c r="H28" s="68"/>
      <c r="I28" s="68"/>
      <c r="J28" s="22"/>
      <c r="K28" s="22">
        <f>SUM('DATA BAHAN MASUK'!I58:I59)</f>
        <v>125000</v>
      </c>
      <c r="L28" s="89">
        <f t="shared" si="1"/>
        <v>95524.547163369221</v>
      </c>
    </row>
    <row r="29" spans="1:12" x14ac:dyDescent="0.3">
      <c r="A29" s="65">
        <v>2026</v>
      </c>
      <c r="B29" s="63" t="s">
        <v>590</v>
      </c>
      <c r="C29" s="63" t="s">
        <v>541</v>
      </c>
      <c r="D29" s="44">
        <v>46218</v>
      </c>
      <c r="E29" s="66" t="s">
        <v>262</v>
      </c>
      <c r="F29" s="67"/>
      <c r="G29" s="68"/>
      <c r="H29" s="68"/>
      <c r="I29" s="68"/>
      <c r="J29" s="22">
        <f>'KAS TOKO'!I79</f>
        <v>36943.15789473684</v>
      </c>
      <c r="K29" s="22"/>
      <c r="L29" s="89">
        <f t="shared" si="1"/>
        <v>132467.70505810605</v>
      </c>
    </row>
    <row r="30" spans="1:12" x14ac:dyDescent="0.3">
      <c r="A30" s="65">
        <v>2026</v>
      </c>
      <c r="B30" s="63" t="s">
        <v>590</v>
      </c>
      <c r="C30" s="63" t="s">
        <v>541</v>
      </c>
      <c r="D30" s="44">
        <v>46220</v>
      </c>
      <c r="E30" s="66" t="s">
        <v>262</v>
      </c>
      <c r="F30" s="67"/>
      <c r="G30" s="68"/>
      <c r="H30" s="68"/>
      <c r="I30" s="68"/>
      <c r="J30" s="22">
        <f>'KAS TOKO'!I83</f>
        <v>94440.548644338123</v>
      </c>
      <c r="K30" s="22"/>
      <c r="L30" s="89">
        <f t="shared" si="1"/>
        <v>226908.25370244417</v>
      </c>
    </row>
    <row r="31" spans="1:12" x14ac:dyDescent="0.3">
      <c r="A31" s="65">
        <v>2026</v>
      </c>
      <c r="B31" s="63" t="s">
        <v>590</v>
      </c>
      <c r="C31" s="63" t="s">
        <v>541</v>
      </c>
      <c r="D31" s="44">
        <v>46221</v>
      </c>
      <c r="E31" s="66" t="s">
        <v>262</v>
      </c>
      <c r="F31" s="67"/>
      <c r="G31" s="68"/>
      <c r="H31" s="68"/>
      <c r="I31" s="68"/>
      <c r="J31" s="22">
        <f>'KAS TOKO'!I87</f>
        <v>101391.41945773523</v>
      </c>
      <c r="K31" s="22"/>
      <c r="L31" s="89">
        <f t="shared" si="1"/>
        <v>328299.6731601794</v>
      </c>
    </row>
    <row r="32" spans="1:12" x14ac:dyDescent="0.3">
      <c r="A32" s="65">
        <v>2026</v>
      </c>
      <c r="B32" s="63" t="s">
        <v>590</v>
      </c>
      <c r="C32" s="63" t="s">
        <v>541</v>
      </c>
      <c r="D32" s="44">
        <v>46221</v>
      </c>
      <c r="E32" s="66" t="s">
        <v>261</v>
      </c>
      <c r="F32" s="67"/>
      <c r="G32" s="68"/>
      <c r="H32" s="68"/>
      <c r="I32" s="68"/>
      <c r="J32" s="22"/>
      <c r="K32" s="22">
        <f>SUM('DATA BAHAN MASUK'!I60:I67)</f>
        <v>251000</v>
      </c>
      <c r="L32" s="89">
        <f t="shared" si="1"/>
        <v>77299.673160179402</v>
      </c>
    </row>
    <row r="33" spans="1:12" x14ac:dyDescent="0.3">
      <c r="A33" s="65">
        <v>2026</v>
      </c>
      <c r="B33" s="63" t="s">
        <v>590</v>
      </c>
      <c r="C33" s="63" t="s">
        <v>615</v>
      </c>
      <c r="D33" s="44">
        <v>46222</v>
      </c>
      <c r="E33" s="66" t="s">
        <v>262</v>
      </c>
      <c r="F33" s="67"/>
      <c r="G33" s="68"/>
      <c r="H33" s="68"/>
      <c r="I33" s="68"/>
      <c r="J33" s="22">
        <f>'KAS TOKO'!I94</f>
        <v>24698.771929824561</v>
      </c>
      <c r="K33" s="22"/>
      <c r="L33" s="89">
        <f t="shared" si="1"/>
        <v>101998.44509000397</v>
      </c>
    </row>
    <row r="34" spans="1:12" x14ac:dyDescent="0.3">
      <c r="A34" s="65">
        <v>2026</v>
      </c>
      <c r="B34" s="63" t="s">
        <v>590</v>
      </c>
      <c r="C34" s="63" t="s">
        <v>615</v>
      </c>
      <c r="D34" s="44">
        <v>46223</v>
      </c>
      <c r="E34" s="66" t="s">
        <v>262</v>
      </c>
      <c r="F34" s="67"/>
      <c r="G34" s="68"/>
      <c r="H34" s="68"/>
      <c r="I34" s="68"/>
      <c r="J34" s="22">
        <f>'KAS TOKO'!I97</f>
        <v>111099.84370015949</v>
      </c>
      <c r="K34" s="22"/>
      <c r="L34" s="89">
        <f t="shared" si="1"/>
        <v>213098.28879016347</v>
      </c>
    </row>
    <row r="35" spans="1:12" x14ac:dyDescent="0.3">
      <c r="A35" s="65">
        <v>2026</v>
      </c>
      <c r="B35" s="63" t="s">
        <v>590</v>
      </c>
      <c r="C35" s="63" t="s">
        <v>615</v>
      </c>
      <c r="D35" s="44">
        <v>46223</v>
      </c>
      <c r="E35" s="66" t="s">
        <v>261</v>
      </c>
      <c r="F35" s="67"/>
      <c r="G35" s="68"/>
      <c r="H35" s="68"/>
      <c r="I35" s="68"/>
      <c r="J35" s="22"/>
      <c r="K35" s="22">
        <f>SUM('DATA BAHAN MASUK'!I68:I70)</f>
        <v>23000</v>
      </c>
      <c r="L35" s="89">
        <f t="shared" si="1"/>
        <v>190098.28879016347</v>
      </c>
    </row>
    <row r="36" spans="1:12" x14ac:dyDescent="0.3">
      <c r="A36" s="65">
        <v>2026</v>
      </c>
      <c r="B36" s="63" t="s">
        <v>590</v>
      </c>
      <c r="C36" s="63" t="s">
        <v>615</v>
      </c>
      <c r="D36" s="44">
        <v>46226</v>
      </c>
      <c r="E36" s="66" t="s">
        <v>262</v>
      </c>
      <c r="F36" s="67"/>
      <c r="G36" s="68"/>
      <c r="H36" s="68"/>
      <c r="I36" s="68"/>
      <c r="J36" s="22">
        <f>'KAS TOKO'!I102</f>
        <v>18506.57894736842</v>
      </c>
      <c r="K36" s="22"/>
      <c r="L36" s="89">
        <f t="shared" si="1"/>
        <v>208604.86773753189</v>
      </c>
    </row>
    <row r="37" spans="1:12" x14ac:dyDescent="0.3">
      <c r="A37" s="65">
        <v>2026</v>
      </c>
      <c r="B37" s="63" t="s">
        <v>590</v>
      </c>
      <c r="C37" s="63" t="s">
        <v>615</v>
      </c>
      <c r="D37" s="44">
        <v>46227</v>
      </c>
      <c r="E37" s="66" t="s">
        <v>262</v>
      </c>
      <c r="F37" s="67"/>
      <c r="G37" s="68"/>
      <c r="H37" s="68"/>
      <c r="I37" s="68"/>
      <c r="J37" s="22">
        <f>'KAS TOKO'!I105</f>
        <v>58572.649122807008</v>
      </c>
      <c r="K37" s="22"/>
      <c r="L37" s="89">
        <f t="shared" si="1"/>
        <v>267177.51686033892</v>
      </c>
    </row>
    <row r="38" spans="1:12" x14ac:dyDescent="0.3">
      <c r="A38" s="65">
        <v>2026</v>
      </c>
      <c r="B38" s="63" t="s">
        <v>590</v>
      </c>
      <c r="C38" s="63" t="s">
        <v>615</v>
      </c>
      <c r="D38" s="44">
        <v>46228</v>
      </c>
      <c r="E38" s="66" t="s">
        <v>262</v>
      </c>
      <c r="F38" s="67"/>
      <c r="G38" s="68"/>
      <c r="H38" s="68"/>
      <c r="I38" s="68"/>
      <c r="J38" s="22">
        <f>'KAS TOKO'!I108</f>
        <v>24698.771929824561</v>
      </c>
      <c r="K38" s="22"/>
      <c r="L38" s="89">
        <f t="shared" si="1"/>
        <v>291876.28879016347</v>
      </c>
    </row>
    <row r="39" spans="1:12" x14ac:dyDescent="0.3">
      <c r="A39" s="65">
        <v>2026</v>
      </c>
      <c r="B39" s="63" t="s">
        <v>590</v>
      </c>
      <c r="C39" s="63" t="s">
        <v>615</v>
      </c>
      <c r="D39" s="44">
        <v>46228</v>
      </c>
      <c r="E39" s="66" t="s">
        <v>620</v>
      </c>
      <c r="F39" s="67"/>
      <c r="G39" s="68"/>
      <c r="H39" s="68"/>
      <c r="I39" s="68"/>
      <c r="J39" s="22">
        <f>SUM('KAS TOKO'!I113)</f>
        <v>81014.912280701756</v>
      </c>
      <c r="K39" s="22"/>
      <c r="L39" s="89">
        <f t="shared" si="1"/>
        <v>372891.20107086521</v>
      </c>
    </row>
    <row r="40" spans="1:12" x14ac:dyDescent="0.3">
      <c r="A40" s="65">
        <v>2026</v>
      </c>
      <c r="B40" s="63" t="s">
        <v>590</v>
      </c>
      <c r="C40" s="63" t="s">
        <v>615</v>
      </c>
      <c r="D40" s="44">
        <v>46228</v>
      </c>
      <c r="E40" s="66" t="s">
        <v>261</v>
      </c>
      <c r="F40" s="67"/>
      <c r="G40" s="68"/>
      <c r="H40" s="68"/>
      <c r="I40" s="68"/>
      <c r="J40" s="22"/>
      <c r="K40" s="22">
        <f>SUM('DATA BAHAN MASUK'!I71:I74)</f>
        <v>106500</v>
      </c>
      <c r="L40" s="89">
        <f t="shared" si="1"/>
        <v>266391.20107086521</v>
      </c>
    </row>
    <row r="41" spans="1:12" x14ac:dyDescent="0.3">
      <c r="A41" s="65"/>
      <c r="B41" s="63"/>
      <c r="C41" s="63"/>
      <c r="D41" s="44"/>
      <c r="E41" s="66"/>
      <c r="F41" s="67"/>
      <c r="G41" s="68"/>
      <c r="H41" s="68"/>
      <c r="I41" s="68"/>
      <c r="J41" s="22"/>
      <c r="K41" s="22"/>
      <c r="L41" s="69"/>
    </row>
    <row r="42" spans="1:12" x14ac:dyDescent="0.3">
      <c r="A42" s="65"/>
      <c r="B42" s="63"/>
      <c r="C42" s="63"/>
      <c r="D42" s="44"/>
      <c r="E42" s="66"/>
      <c r="F42" s="67"/>
      <c r="G42" s="68"/>
      <c r="H42" s="68"/>
      <c r="I42" s="68"/>
      <c r="J42" s="22"/>
      <c r="K42" s="22"/>
      <c r="L42" s="69"/>
    </row>
    <row r="43" spans="1:12" x14ac:dyDescent="0.3">
      <c r="A43" s="65"/>
      <c r="B43" s="63"/>
      <c r="C43" s="63"/>
      <c r="D43" s="44"/>
      <c r="E43" s="66"/>
      <c r="F43" s="67"/>
      <c r="G43" s="68"/>
      <c r="H43" s="68"/>
      <c r="I43" s="68"/>
      <c r="J43" s="22"/>
      <c r="K43" s="22"/>
      <c r="L43" s="69"/>
    </row>
    <row r="44" spans="1:12" x14ac:dyDescent="0.3">
      <c r="A44" s="65"/>
      <c r="B44" s="63"/>
      <c r="C44" s="63"/>
      <c r="D44" s="44"/>
      <c r="E44" s="66"/>
      <c r="F44" s="67"/>
      <c r="G44" s="68"/>
      <c r="H44" s="68"/>
      <c r="I44" s="68"/>
      <c r="J44" s="22"/>
      <c r="K44" s="22"/>
      <c r="L44" s="69"/>
    </row>
    <row r="45" spans="1:12" x14ac:dyDescent="0.3">
      <c r="A45" s="65"/>
      <c r="B45" s="63"/>
      <c r="C45" s="63"/>
      <c r="D45" s="44"/>
      <c r="E45" s="66"/>
      <c r="F45" s="67"/>
      <c r="G45" s="68"/>
      <c r="H45" s="68"/>
      <c r="I45" s="68"/>
      <c r="J45" s="22"/>
      <c r="K45" s="22"/>
      <c r="L45" s="69"/>
    </row>
    <row r="46" spans="1:12" x14ac:dyDescent="0.3">
      <c r="A46" s="65"/>
      <c r="B46" s="63"/>
      <c r="C46" s="63"/>
      <c r="D46" s="44"/>
      <c r="E46" s="66"/>
      <c r="F46" s="67"/>
      <c r="G46" s="68"/>
      <c r="H46" s="68"/>
      <c r="I46" s="68"/>
      <c r="J46" s="22"/>
      <c r="K46" s="22"/>
      <c r="L46" s="69"/>
    </row>
    <row r="47" spans="1:12" x14ac:dyDescent="0.3">
      <c r="A47" s="65"/>
      <c r="B47" s="63"/>
      <c r="C47" s="63"/>
      <c r="D47" s="44"/>
      <c r="E47" s="66"/>
      <c r="F47" s="67"/>
      <c r="G47" s="68"/>
      <c r="H47" s="68"/>
      <c r="I47" s="68"/>
      <c r="J47" s="22"/>
      <c r="K47" s="22"/>
      <c r="L47" s="69"/>
    </row>
    <row r="48" spans="1:12" x14ac:dyDescent="0.3">
      <c r="A48" s="65"/>
      <c r="B48" s="63"/>
      <c r="C48" s="63"/>
      <c r="D48" s="44"/>
      <c r="E48" s="66"/>
      <c r="F48" s="67"/>
      <c r="G48" s="68"/>
      <c r="H48" s="68"/>
      <c r="I48" s="68"/>
      <c r="J48" s="22"/>
      <c r="K48" s="22"/>
      <c r="L48" s="69"/>
    </row>
    <row r="49" spans="1:12" x14ac:dyDescent="0.3">
      <c r="A49" s="65"/>
      <c r="B49" s="63"/>
      <c r="C49" s="63"/>
      <c r="D49" s="44"/>
      <c r="E49" s="66"/>
      <c r="F49" s="67"/>
      <c r="G49" s="68"/>
      <c r="H49" s="68"/>
      <c r="I49" s="68"/>
      <c r="J49" s="22"/>
      <c r="K49" s="22"/>
      <c r="L49" s="69"/>
    </row>
    <row r="50" spans="1:12" x14ac:dyDescent="0.3">
      <c r="A50" s="65"/>
      <c r="B50" s="63"/>
      <c r="C50" s="63"/>
      <c r="D50" s="44"/>
      <c r="E50" s="66"/>
      <c r="F50" s="67"/>
      <c r="G50" s="68"/>
      <c r="H50" s="68"/>
      <c r="I50" s="68"/>
      <c r="J50" s="22"/>
      <c r="K50" s="22"/>
      <c r="L50" s="69"/>
    </row>
    <row r="51" spans="1:12" x14ac:dyDescent="0.3">
      <c r="A51" s="65"/>
      <c r="B51" s="63"/>
      <c r="C51" s="63"/>
      <c r="D51" s="44"/>
      <c r="E51" s="66"/>
      <c r="F51" s="67"/>
      <c r="G51" s="68"/>
      <c r="H51" s="68"/>
      <c r="I51" s="68"/>
      <c r="J51" s="22"/>
      <c r="K51" s="22"/>
      <c r="L51" s="69"/>
    </row>
    <row r="52" spans="1:12" x14ac:dyDescent="0.3">
      <c r="A52" s="65"/>
      <c r="B52" s="63"/>
      <c r="C52" s="63"/>
      <c r="D52" s="44"/>
      <c r="E52" s="66"/>
      <c r="F52" s="67"/>
      <c r="G52" s="68"/>
      <c r="H52" s="68"/>
      <c r="I52" s="68"/>
      <c r="J52" s="22"/>
      <c r="K52" s="22"/>
      <c r="L52" s="69"/>
    </row>
    <row r="53" spans="1:12" x14ac:dyDescent="0.3">
      <c r="A53" s="65"/>
      <c r="B53" s="63"/>
      <c r="C53" s="63"/>
      <c r="D53" s="44"/>
      <c r="E53" s="66"/>
      <c r="F53" s="67"/>
      <c r="G53" s="68"/>
      <c r="H53" s="68"/>
      <c r="I53" s="68"/>
      <c r="J53" s="22"/>
      <c r="K53" s="22"/>
      <c r="L53" s="69"/>
    </row>
    <row r="54" spans="1:12" ht="15" thickBot="1" x14ac:dyDescent="0.35">
      <c r="A54" s="190"/>
      <c r="B54" s="64"/>
      <c r="C54" s="64"/>
      <c r="D54" s="99"/>
      <c r="E54" s="157"/>
      <c r="F54" s="158"/>
      <c r="G54" s="159"/>
      <c r="H54" s="159"/>
      <c r="I54" s="159"/>
      <c r="J54" s="23"/>
      <c r="K54" s="23"/>
      <c r="L54" s="34"/>
    </row>
    <row r="55" spans="1:12" x14ac:dyDescent="0.3">
      <c r="A55" s="191"/>
      <c r="B55" s="192"/>
      <c r="C55" s="192"/>
      <c r="D55" s="44"/>
      <c r="E55" s="66"/>
      <c r="F55" s="194"/>
      <c r="G55" s="195"/>
      <c r="H55" s="195"/>
      <c r="I55" s="195"/>
      <c r="J55" s="116"/>
      <c r="K55" s="116"/>
      <c r="L55" s="196"/>
    </row>
    <row r="56" spans="1:12" x14ac:dyDescent="0.3">
      <c r="A56" s="191"/>
      <c r="B56" s="192"/>
      <c r="C56" s="192"/>
      <c r="D56" s="44"/>
      <c r="E56" s="66"/>
      <c r="F56" s="194"/>
      <c r="G56" s="195"/>
      <c r="H56" s="195"/>
      <c r="I56" s="195"/>
      <c r="J56" s="116"/>
      <c r="K56" s="116"/>
      <c r="L56" s="196"/>
    </row>
    <row r="57" spans="1:12" x14ac:dyDescent="0.3">
      <c r="A57" s="191"/>
      <c r="B57" s="192"/>
      <c r="C57" s="192"/>
      <c r="D57" s="44"/>
      <c r="E57" s="66"/>
      <c r="F57" s="194"/>
      <c r="G57" s="195"/>
      <c r="H57" s="195"/>
      <c r="I57" s="195"/>
      <c r="J57" s="116"/>
      <c r="K57" s="116"/>
      <c r="L57" s="196"/>
    </row>
    <row r="58" spans="1:12" x14ac:dyDescent="0.3">
      <c r="A58" s="191"/>
      <c r="B58" s="192"/>
      <c r="C58" s="192"/>
      <c r="D58" s="44"/>
      <c r="E58" s="193"/>
      <c r="F58" s="194"/>
      <c r="G58" s="195"/>
      <c r="H58" s="195"/>
      <c r="I58" s="195"/>
      <c r="J58" s="116"/>
      <c r="K58" s="116"/>
      <c r="L58" s="196"/>
    </row>
    <row r="59" spans="1:12" x14ac:dyDescent="0.3">
      <c r="A59" s="191"/>
      <c r="B59" s="192"/>
      <c r="C59" s="192"/>
      <c r="D59" s="44"/>
      <c r="E59" s="66"/>
      <c r="F59" s="194"/>
      <c r="G59" s="195"/>
      <c r="H59" s="195"/>
      <c r="I59" s="195"/>
      <c r="J59" s="116"/>
      <c r="K59" s="116"/>
      <c r="L59" s="196"/>
    </row>
    <row r="60" spans="1:12" x14ac:dyDescent="0.3">
      <c r="A60" s="191"/>
      <c r="B60" s="192"/>
      <c r="C60" s="192"/>
      <c r="D60" s="44"/>
      <c r="E60" s="66"/>
      <c r="F60" s="194"/>
      <c r="G60" s="195"/>
      <c r="H60" s="195"/>
      <c r="I60" s="195"/>
      <c r="J60" s="116"/>
      <c r="K60" s="116"/>
      <c r="L60" s="196"/>
    </row>
    <row r="61" spans="1:12" x14ac:dyDescent="0.3">
      <c r="A61" s="191"/>
      <c r="B61" s="192"/>
      <c r="C61" s="192"/>
      <c r="D61" s="44"/>
      <c r="E61" s="66"/>
      <c r="F61" s="194"/>
      <c r="G61" s="195"/>
      <c r="H61" s="195"/>
      <c r="I61" s="195"/>
      <c r="J61" s="116"/>
      <c r="K61" s="116"/>
      <c r="L61" s="196"/>
    </row>
    <row r="62" spans="1:12" x14ac:dyDescent="0.3">
      <c r="A62" s="191"/>
      <c r="B62" s="192"/>
      <c r="C62" s="192"/>
      <c r="D62" s="44"/>
      <c r="E62" s="66"/>
      <c r="F62" s="194"/>
      <c r="G62" s="195"/>
      <c r="H62" s="195"/>
      <c r="I62" s="195"/>
      <c r="J62" s="116"/>
      <c r="K62" s="116"/>
      <c r="L62" s="196"/>
    </row>
    <row r="63" spans="1:12" x14ac:dyDescent="0.3">
      <c r="A63" s="191"/>
      <c r="B63" s="192"/>
      <c r="C63" s="192"/>
      <c r="D63" s="44"/>
      <c r="E63" s="66"/>
      <c r="F63" s="194"/>
      <c r="G63" s="195"/>
      <c r="H63" s="195"/>
      <c r="I63" s="195"/>
      <c r="J63" s="116"/>
      <c r="K63" s="116"/>
      <c r="L63" s="196"/>
    </row>
    <row r="64" spans="1:12" x14ac:dyDescent="0.3">
      <c r="A64" s="191"/>
      <c r="B64" s="192"/>
      <c r="C64" s="192"/>
      <c r="D64" s="44"/>
      <c r="E64" s="66"/>
      <c r="F64" s="194"/>
      <c r="G64" s="195"/>
      <c r="H64" s="195"/>
      <c r="I64" s="195"/>
      <c r="J64" s="116"/>
      <c r="K64" s="116"/>
      <c r="L64" s="196"/>
    </row>
    <row r="65" spans="1:12" x14ac:dyDescent="0.3">
      <c r="A65" s="191"/>
      <c r="B65" s="192"/>
      <c r="C65" s="192"/>
      <c r="D65" s="44"/>
      <c r="E65" s="66"/>
      <c r="F65" s="194"/>
      <c r="G65" s="195"/>
      <c r="H65" s="195"/>
      <c r="I65" s="195"/>
      <c r="J65" s="116"/>
      <c r="K65" s="116"/>
      <c r="L65" s="196"/>
    </row>
    <row r="66" spans="1:12" x14ac:dyDescent="0.3">
      <c r="A66" s="191"/>
      <c r="B66" s="192"/>
      <c r="C66" s="192"/>
      <c r="D66" s="44"/>
      <c r="E66" s="193"/>
      <c r="F66" s="194"/>
      <c r="G66" s="195"/>
      <c r="H66" s="195"/>
      <c r="I66" s="195"/>
      <c r="J66" s="116"/>
      <c r="K66" s="116"/>
      <c r="L66" s="196"/>
    </row>
    <row r="67" spans="1:12" x14ac:dyDescent="0.3">
      <c r="A67" s="191"/>
      <c r="B67" s="192"/>
      <c r="C67" s="192"/>
      <c r="D67" s="44"/>
      <c r="E67" s="193"/>
      <c r="F67" s="194"/>
      <c r="G67" s="195"/>
      <c r="H67" s="195"/>
      <c r="I67" s="195"/>
      <c r="J67" s="116"/>
      <c r="K67" s="116"/>
      <c r="L67" s="196"/>
    </row>
    <row r="68" spans="1:12" x14ac:dyDescent="0.3">
      <c r="A68" s="191"/>
      <c r="B68" s="192"/>
      <c r="C68" s="192"/>
      <c r="D68" s="44"/>
      <c r="E68" s="193"/>
      <c r="F68" s="194"/>
      <c r="G68" s="195"/>
      <c r="H68" s="195"/>
      <c r="I68" s="195"/>
      <c r="J68" s="116"/>
      <c r="K68" s="116"/>
      <c r="L68" s="196"/>
    </row>
    <row r="69" spans="1:12" x14ac:dyDescent="0.3">
      <c r="A69" s="191"/>
      <c r="B69" s="192"/>
      <c r="C69" s="192"/>
      <c r="D69" s="44"/>
      <c r="E69" s="193"/>
      <c r="F69" s="194"/>
      <c r="G69" s="195"/>
      <c r="H69" s="195"/>
      <c r="I69" s="195"/>
      <c r="J69" s="116"/>
      <c r="K69" s="116"/>
      <c r="L69" s="196"/>
    </row>
    <row r="70" spans="1:12" x14ac:dyDescent="0.3">
      <c r="A70" s="191"/>
      <c r="B70" s="192"/>
      <c r="C70" s="192"/>
      <c r="D70" s="44"/>
      <c r="E70" s="193"/>
      <c r="F70" s="194"/>
      <c r="G70" s="195"/>
      <c r="H70" s="195"/>
      <c r="I70" s="195"/>
      <c r="J70" s="116"/>
      <c r="K70" s="116"/>
      <c r="L70" s="196"/>
    </row>
    <row r="71" spans="1:12" x14ac:dyDescent="0.3">
      <c r="A71" s="191"/>
      <c r="B71" s="192"/>
      <c r="C71" s="192"/>
      <c r="D71" s="44"/>
      <c r="E71" s="193"/>
      <c r="F71" s="194"/>
      <c r="G71" s="195"/>
      <c r="H71" s="195"/>
      <c r="I71" s="195"/>
      <c r="J71" s="116"/>
      <c r="K71" s="116"/>
      <c r="L71" s="196"/>
    </row>
    <row r="72" spans="1:12" x14ac:dyDescent="0.3">
      <c r="A72" s="191"/>
      <c r="B72" s="192"/>
      <c r="C72" s="192"/>
      <c r="D72" s="44"/>
      <c r="E72" s="193"/>
      <c r="F72" s="194"/>
      <c r="G72" s="195"/>
      <c r="H72" s="195"/>
      <c r="I72" s="195"/>
      <c r="J72" s="116"/>
      <c r="K72" s="116"/>
      <c r="L72" s="196"/>
    </row>
    <row r="73" spans="1:12" x14ac:dyDescent="0.3">
      <c r="A73" s="191"/>
      <c r="B73" s="192"/>
      <c r="C73" s="192"/>
      <c r="D73" s="44"/>
      <c r="E73" s="193"/>
      <c r="F73" s="194"/>
      <c r="G73" s="195"/>
      <c r="H73" s="195"/>
      <c r="I73" s="195"/>
      <c r="J73" s="116"/>
      <c r="K73" s="116"/>
      <c r="L73" s="196"/>
    </row>
    <row r="74" spans="1:12" x14ac:dyDescent="0.3">
      <c r="A74" s="191"/>
      <c r="B74" s="192"/>
      <c r="C74" s="192"/>
      <c r="D74" s="44"/>
      <c r="E74" s="193"/>
      <c r="F74" s="194"/>
      <c r="G74" s="195"/>
      <c r="H74" s="195"/>
      <c r="I74" s="195"/>
      <c r="J74" s="116"/>
      <c r="K74" s="116"/>
      <c r="L74" s="196"/>
    </row>
    <row r="75" spans="1:12" x14ac:dyDescent="0.3">
      <c r="A75" s="191"/>
      <c r="B75" s="192"/>
      <c r="C75" s="192"/>
      <c r="D75" s="44"/>
      <c r="E75" s="193"/>
      <c r="F75" s="194"/>
      <c r="G75" s="195"/>
      <c r="H75" s="195"/>
      <c r="I75" s="195"/>
      <c r="J75" s="116"/>
      <c r="K75" s="116"/>
      <c r="L75" s="196"/>
    </row>
    <row r="76" spans="1:12" x14ac:dyDescent="0.3">
      <c r="A76" s="65"/>
      <c r="B76" s="63"/>
      <c r="C76" s="63"/>
      <c r="D76" s="44"/>
      <c r="E76" s="66"/>
      <c r="F76" s="67"/>
      <c r="G76" s="68"/>
      <c r="H76" s="68"/>
      <c r="I76" s="68"/>
      <c r="J76" s="22"/>
      <c r="K76" s="22"/>
      <c r="L76" s="69"/>
    </row>
    <row r="77" spans="1:12" x14ac:dyDescent="0.3">
      <c r="A77" s="65"/>
      <c r="B77" s="63"/>
      <c r="C77" s="63"/>
      <c r="D77" s="44"/>
      <c r="E77" s="66"/>
      <c r="F77" s="67"/>
      <c r="G77" s="68"/>
      <c r="H77" s="68"/>
      <c r="I77" s="68"/>
      <c r="J77" s="22"/>
      <c r="K77" s="22"/>
      <c r="L77" s="69"/>
    </row>
    <row r="78" spans="1:12" x14ac:dyDescent="0.3">
      <c r="A78" s="65"/>
      <c r="B78" s="63"/>
      <c r="C78" s="63"/>
      <c r="D78" s="44"/>
      <c r="E78" s="66"/>
      <c r="F78" s="67"/>
      <c r="G78" s="68"/>
      <c r="H78" s="68"/>
      <c r="I78" s="68"/>
      <c r="J78" s="22"/>
      <c r="K78" s="22"/>
      <c r="L78" s="69"/>
    </row>
    <row r="79" spans="1:12" x14ac:dyDescent="0.3">
      <c r="A79" s="65"/>
      <c r="B79" s="63"/>
      <c r="C79" s="63"/>
      <c r="D79" s="44"/>
      <c r="E79" s="66"/>
      <c r="F79" s="67"/>
      <c r="G79" s="68"/>
      <c r="H79" s="68"/>
      <c r="I79" s="68"/>
      <c r="J79" s="22"/>
      <c r="K79" s="22"/>
      <c r="L79" s="69"/>
    </row>
    <row r="80" spans="1:12" x14ac:dyDescent="0.3">
      <c r="A80" s="65"/>
      <c r="B80" s="63"/>
      <c r="C80" s="63"/>
      <c r="D80" s="44"/>
      <c r="E80" s="66"/>
      <c r="F80" s="67"/>
      <c r="G80" s="68"/>
      <c r="H80" s="68"/>
      <c r="I80" s="68"/>
      <c r="J80" s="22"/>
      <c r="K80" s="22"/>
      <c r="L80" s="69"/>
    </row>
    <row r="81" spans="1:12" x14ac:dyDescent="0.3">
      <c r="A81" s="65"/>
      <c r="B81" s="63"/>
      <c r="C81" s="63"/>
      <c r="D81" s="44"/>
      <c r="E81" s="66"/>
      <c r="F81" s="67"/>
      <c r="G81" s="68"/>
      <c r="H81" s="68"/>
      <c r="I81" s="68"/>
      <c r="J81" s="22"/>
      <c r="K81" s="22"/>
      <c r="L81" s="69"/>
    </row>
    <row r="82" spans="1:12" x14ac:dyDescent="0.3">
      <c r="A82" s="65"/>
      <c r="B82" s="63"/>
      <c r="C82" s="63"/>
      <c r="D82" s="44"/>
      <c r="E82" s="66"/>
      <c r="F82" s="67"/>
      <c r="G82" s="68"/>
      <c r="H82" s="68"/>
      <c r="I82" s="68"/>
      <c r="J82" s="22"/>
      <c r="K82" s="22"/>
      <c r="L82" s="69"/>
    </row>
    <row r="83" spans="1:12" x14ac:dyDescent="0.3">
      <c r="A83" s="65"/>
      <c r="B83" s="63"/>
      <c r="C83" s="63"/>
      <c r="D83" s="44"/>
      <c r="E83" s="66"/>
      <c r="F83" s="67"/>
      <c r="G83" s="68"/>
      <c r="H83" s="68"/>
      <c r="I83" s="68"/>
      <c r="J83" s="22"/>
      <c r="K83" s="22"/>
      <c r="L83" s="69"/>
    </row>
    <row r="84" spans="1:12" x14ac:dyDescent="0.3">
      <c r="A84" s="65"/>
      <c r="B84" s="63"/>
      <c r="C84" s="63"/>
      <c r="D84" s="44"/>
      <c r="E84" s="66"/>
      <c r="F84" s="67"/>
      <c r="G84" s="68"/>
      <c r="H84" s="68"/>
      <c r="I84" s="68"/>
      <c r="J84" s="22"/>
      <c r="K84" s="22"/>
      <c r="L84" s="69"/>
    </row>
    <row r="85" spans="1:12" x14ac:dyDescent="0.3">
      <c r="A85" s="65"/>
      <c r="B85" s="63"/>
      <c r="C85" s="63"/>
      <c r="D85" s="70"/>
      <c r="E85" s="66"/>
      <c r="F85" s="67"/>
      <c r="G85" s="68"/>
      <c r="H85" s="68"/>
      <c r="I85" s="68"/>
      <c r="J85" s="22"/>
      <c r="K85" s="22"/>
      <c r="L85" s="69"/>
    </row>
    <row r="86" spans="1:12" x14ac:dyDescent="0.3">
      <c r="A86" s="65"/>
      <c r="B86" s="63"/>
      <c r="C86" s="63"/>
      <c r="D86" s="70"/>
      <c r="E86" s="66"/>
      <c r="F86" s="67"/>
      <c r="G86" s="68"/>
      <c r="H86" s="68"/>
      <c r="I86" s="68"/>
      <c r="J86" s="22"/>
      <c r="K86" s="22"/>
      <c r="L86" s="69"/>
    </row>
    <row r="87" spans="1:12" ht="15" thickBot="1" x14ac:dyDescent="0.35">
      <c r="A87" s="279" t="s">
        <v>66</v>
      </c>
      <c r="B87" s="280"/>
      <c r="C87" s="280"/>
      <c r="D87" s="280"/>
      <c r="E87" s="280"/>
      <c r="F87" s="31"/>
      <c r="G87" s="64"/>
      <c r="H87" s="64"/>
      <c r="I87" s="64"/>
      <c r="J87" s="23">
        <f>SUM(J4:J86)</f>
        <v>3313266.6396673564</v>
      </c>
      <c r="K87" s="23">
        <f>SUM(K4:K86)</f>
        <v>3046875.4385964912</v>
      </c>
      <c r="L87" s="34">
        <f>J87-K87</f>
        <v>266391.20107086515</v>
      </c>
    </row>
  </sheetData>
  <mergeCells count="2">
    <mergeCell ref="A87:E87"/>
    <mergeCell ref="A1:L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K48"/>
  <sheetViews>
    <sheetView topLeftCell="A28" zoomScale="80" zoomScaleNormal="80" workbookViewId="0">
      <selection activeCell="G47" sqref="G47"/>
    </sheetView>
  </sheetViews>
  <sheetFormatPr defaultRowHeight="14.4" x14ac:dyDescent="0.3"/>
  <cols>
    <col min="1" max="1" width="30" style="4" customWidth="1"/>
    <col min="2" max="2" width="30" style="16" customWidth="1"/>
    <col min="3" max="3" width="18.44140625" style="2" customWidth="1"/>
    <col min="4" max="4" width="16.109375" style="2" customWidth="1"/>
    <col min="5" max="5" width="18.44140625" style="2" customWidth="1"/>
    <col min="6" max="6" width="20" style="2" customWidth="1"/>
    <col min="7" max="7" width="22.44140625" customWidth="1"/>
    <col min="8" max="8" width="9.109375" customWidth="1"/>
    <col min="9" max="9" width="24.88671875" customWidth="1"/>
    <col min="10" max="11" width="23.33203125" customWidth="1"/>
  </cols>
  <sheetData>
    <row r="1" spans="1:11" s="153" customFormat="1" ht="11.25" customHeight="1" x14ac:dyDescent="0.35">
      <c r="A1" s="281" t="s">
        <v>58</v>
      </c>
      <c r="B1" s="281"/>
      <c r="C1" s="281"/>
      <c r="D1" s="281"/>
      <c r="E1" s="281"/>
      <c r="F1" s="281"/>
    </row>
    <row r="2" spans="1:11" s="153" customFormat="1" ht="20.25" customHeight="1" thickBot="1" x14ac:dyDescent="0.4">
      <c r="A2" s="154" t="s">
        <v>577</v>
      </c>
      <c r="B2" s="155"/>
      <c r="C2" s="156"/>
      <c r="D2" s="156"/>
      <c r="E2" s="156"/>
      <c r="F2" s="156"/>
    </row>
    <row r="3" spans="1:11" ht="43.5" customHeight="1" thickBot="1" x14ac:dyDescent="0.35">
      <c r="A3" s="1" t="s">
        <v>54</v>
      </c>
      <c r="B3" s="10" t="s">
        <v>52</v>
      </c>
      <c r="C3" s="10" t="s">
        <v>110</v>
      </c>
      <c r="D3" s="10" t="s">
        <v>56</v>
      </c>
      <c r="E3" s="10" t="s">
        <v>57</v>
      </c>
      <c r="F3" s="10" t="s">
        <v>97</v>
      </c>
      <c r="G3" s="1" t="s">
        <v>96</v>
      </c>
      <c r="I3" s="167" t="s">
        <v>538</v>
      </c>
      <c r="J3" s="167" t="s">
        <v>136</v>
      </c>
      <c r="K3" s="167" t="s">
        <v>539</v>
      </c>
    </row>
    <row r="4" spans="1:11" x14ac:dyDescent="0.3">
      <c r="A4" s="4" t="s">
        <v>12</v>
      </c>
      <c r="B4" s="16">
        <f>SUMIF(TBLPRODUKKELUARJUNI[NAMA MITRA],TBLREKAPKOMISIJUNI[[#This Row],[NAMA MITRA]],TBLPRODUKKELUARJUNI[TAKE HOME KOMISI UTAMA])</f>
        <v>4976.4771929824565</v>
      </c>
      <c r="C4" s="16">
        <f>SUMIF(TBLKOMISICAMPURANJUNI[NAMA MITRA],TBLREKAPKOMISIJUNI[[#This Row],[NAMA MITRA]],TBLKOMISICAMPURANJUNI[TOTAL KOMISI])</f>
        <v>14000</v>
      </c>
      <c r="D4" s="16">
        <f>'[3]REKAP KOMISI'!$G$60</f>
        <v>0.26938140805577859</v>
      </c>
      <c r="E4" s="16">
        <f>TBLREKAPKOMISIJUNI[[#This Row],[KOMISI UTAMA]]+TBLREKAPKOMISIJUNI[[#This Row],[KOMISI LAIN LAIN]]+TBLREKAPKOMISIJUNI[[#This Row],[SISA KOMISI]]</f>
        <v>18976.746574390512</v>
      </c>
      <c r="F4" s="16">
        <f>18977</f>
        <v>18977</v>
      </c>
      <c r="G4" s="16">
        <f>TBLREKAPKOMISIJUNI[[#This Row],[TOTAL KOMISI]]-TBLREKAPKOMISIJUNI[[#This Row],[TARIK KOMISI]]</f>
        <v>-0.25342560948774917</v>
      </c>
      <c r="I4" s="282">
        <f>SUM(TBLREKAPKOMISIJUNI[TOTAL KOMISI])</f>
        <v>93427.698596301358</v>
      </c>
      <c r="J4" s="277">
        <f>SUM(TBLREKAPKOMISIJUNI[TARIK KOMISI])</f>
        <v>86685</v>
      </c>
      <c r="K4" s="282">
        <f>I4-J4</f>
        <v>6742.6985963013576</v>
      </c>
    </row>
    <row r="5" spans="1:11" x14ac:dyDescent="0.3">
      <c r="A5" s="4" t="s">
        <v>14</v>
      </c>
      <c r="B5" s="16">
        <f>SUMIF(TBLPRODUKKELUARJUNI[NAMA MITRA],TBLREKAPKOMISIJUNI[[#This Row],[NAMA MITRA]],TBLPRODUKKELUARJUNI[TAKE HOME KOMISI UTAMA])</f>
        <v>0</v>
      </c>
      <c r="C5" s="16">
        <f>SUMIF(TBLKOMISICAMPURANJUNI[NAMA MITRA],TBLREKAPKOMISIJUNI[[#This Row],[NAMA MITRA]],TBLKOMISICAMPURANJUNI[TOTAL KOMISI])</f>
        <v>0</v>
      </c>
      <c r="D5" s="16">
        <f>'[3]REKAP KOMISI'!$G$61</f>
        <v>-0.30944862155411101</v>
      </c>
      <c r="E5" s="16">
        <f>TBLREKAPKOMISIJUNI[[#This Row],[KOMISI UTAMA]]+TBLREKAPKOMISIJUNI[[#This Row],[KOMISI LAIN LAIN]]+TBLREKAPKOMISIJUNI[[#This Row],[SISA KOMISI]]</f>
        <v>-0.30944862155411101</v>
      </c>
      <c r="F5" s="16"/>
      <c r="G5" s="16">
        <f>TBLREKAPKOMISIJUNI[[#This Row],[TOTAL KOMISI]]-TBLREKAPKOMISIJUNI[[#This Row],[TARIK KOMISI]]</f>
        <v>-0.30944862155411101</v>
      </c>
      <c r="I5" s="283"/>
      <c r="J5" s="278"/>
      <c r="K5" s="278"/>
    </row>
    <row r="6" spans="1:11" x14ac:dyDescent="0.3">
      <c r="A6" s="4" t="s">
        <v>39</v>
      </c>
      <c r="B6" s="16">
        <f>SUMIF(TBLPRODUKKELUARJUNI[NAMA MITRA],TBLREKAPKOMISIJUNI[[#This Row],[NAMA MITRA]],TBLPRODUKKELUARJUNI[TAKE HOME KOMISI UTAMA])</f>
        <v>0</v>
      </c>
      <c r="C6" s="16">
        <f>SUMIF(TBLKOMISICAMPURANJUNI[NAMA MITRA],TBLREKAPKOMISIJUNI[[#This Row],[NAMA MITRA]],TBLKOMISICAMPURANJUNI[TOTAL KOMISI])</f>
        <v>0</v>
      </c>
      <c r="D6" s="16">
        <f>'[3]REKAP KOMISI'!$G$62</f>
        <v>0.47087719298360753</v>
      </c>
      <c r="E6" s="16">
        <f>TBLREKAPKOMISIJUNI[[#This Row],[KOMISI UTAMA]]+TBLREKAPKOMISIJUNI[[#This Row],[KOMISI LAIN LAIN]]+TBLREKAPKOMISIJUNI[[#This Row],[SISA KOMISI]]</f>
        <v>0.47087719298360753</v>
      </c>
      <c r="F6" s="16"/>
      <c r="G6" s="16">
        <f>TBLREKAPKOMISIJUNI[[#This Row],[TOTAL KOMISI]]-TBLREKAPKOMISIJUNI[[#This Row],[TARIK KOMISI]]</f>
        <v>0.47087719298360753</v>
      </c>
      <c r="I6" s="283"/>
      <c r="J6" s="278"/>
      <c r="K6" s="278"/>
    </row>
    <row r="7" spans="1:11" x14ac:dyDescent="0.3">
      <c r="A7" s="4" t="s">
        <v>13</v>
      </c>
      <c r="B7" s="16">
        <f>SUMIF(TBLPRODUKKELUARJUNI[NAMA MITRA],TBLREKAPKOMISIJUNI[[#This Row],[NAMA MITRA]],TBLPRODUKKELUARJUNI[TAKE HOME KOMISI UTAMA])</f>
        <v>0</v>
      </c>
      <c r="C7" s="16">
        <f>SUMIF(TBLKOMISICAMPURANJUNI[NAMA MITRA],TBLREKAPKOMISIJUNI[[#This Row],[NAMA MITRA]],TBLKOMISICAMPURANJUNI[TOTAL KOMISI])</f>
        <v>0</v>
      </c>
      <c r="D7" s="16">
        <f>'[3]REKAP KOMISI'!$G$63</f>
        <v>-0.4544152046742056</v>
      </c>
      <c r="E7" s="16">
        <f>TBLREKAPKOMISIJUNI[[#This Row],[KOMISI UTAMA]]+TBLREKAPKOMISIJUNI[[#This Row],[KOMISI LAIN LAIN]]+TBLREKAPKOMISIJUNI[[#This Row],[SISA KOMISI]]</f>
        <v>-0.4544152046742056</v>
      </c>
      <c r="F7" s="16"/>
      <c r="G7" s="16">
        <f>TBLREKAPKOMISIJUNI[[#This Row],[TOTAL KOMISI]]-TBLREKAPKOMISIJUNI[[#This Row],[TARIK KOMISI]]</f>
        <v>-0.4544152046742056</v>
      </c>
      <c r="I7" s="283"/>
      <c r="J7" s="278"/>
      <c r="K7" s="278"/>
    </row>
    <row r="8" spans="1:11" x14ac:dyDescent="0.3">
      <c r="A8" s="4" t="s">
        <v>47</v>
      </c>
      <c r="B8" s="16">
        <f>SUMIF(TBLPRODUKKELUARJUNI[NAMA MITRA],TBLREKAPKOMISIJUNI[[#This Row],[NAMA MITRA]],TBLPRODUKKELUARJUNI[TAKE HOME KOMISI UTAMA])</f>
        <v>0</v>
      </c>
      <c r="C8" s="16">
        <f>SUMIF(TBLKOMISICAMPURANJUNI[NAMA MITRA],TBLREKAPKOMISIJUNI[[#This Row],[NAMA MITRA]],TBLKOMISICAMPURANJUNI[TOTAL KOMISI])</f>
        <v>0</v>
      </c>
      <c r="D8" s="16">
        <f>'[3]REKAP KOMISI'!$G$64</f>
        <v>0</v>
      </c>
      <c r="E8" s="16">
        <f>TBLREKAPKOMISIJUNI[[#This Row],[KOMISI UTAMA]]+TBLREKAPKOMISIJUNI[[#This Row],[KOMISI LAIN LAIN]]+TBLREKAPKOMISIJUNI[[#This Row],[SISA KOMISI]]</f>
        <v>0</v>
      </c>
      <c r="F8" s="16"/>
      <c r="G8" s="16">
        <f>TBLREKAPKOMISIJUNI[[#This Row],[TOTAL KOMISI]]-TBLREKAPKOMISIJUNI[[#This Row],[TARIK KOMISI]]</f>
        <v>0</v>
      </c>
      <c r="I8" s="283"/>
      <c r="J8" s="278"/>
      <c r="K8" s="278"/>
    </row>
    <row r="9" spans="1:11" x14ac:dyDescent="0.3">
      <c r="A9" s="4" t="s">
        <v>15</v>
      </c>
      <c r="B9" s="16">
        <f>SUMIF(TBLPRODUKKELUARJUNI[NAMA MITRA],TBLREKAPKOMISIJUNI[[#This Row],[NAMA MITRA]],TBLPRODUKKELUARJUNI[TAKE HOME KOMISI UTAMA])</f>
        <v>0</v>
      </c>
      <c r="C9" s="16">
        <f>SUMIF(TBLKOMISICAMPURANJUNI[NAMA MITRA],TBLREKAPKOMISIJUNI[[#This Row],[NAMA MITRA]],TBLKOMISICAMPURANJUNI[TOTAL KOMISI])</f>
        <v>0</v>
      </c>
      <c r="D9" s="16">
        <f>'[3]REKAP KOMISI'!$G$65</f>
        <v>-0.49605263157855006</v>
      </c>
      <c r="E9" s="16">
        <f>TBLREKAPKOMISIJUNI[[#This Row],[KOMISI UTAMA]]+TBLREKAPKOMISIJUNI[[#This Row],[KOMISI LAIN LAIN]]+TBLREKAPKOMISIJUNI[[#This Row],[SISA KOMISI]]</f>
        <v>-0.49605263157855006</v>
      </c>
      <c r="F9" s="16"/>
      <c r="G9" s="16">
        <f>TBLREKAPKOMISIJUNI[[#This Row],[TOTAL KOMISI]]-TBLREKAPKOMISIJUNI[[#This Row],[TARIK KOMISI]]</f>
        <v>-0.49605263157855006</v>
      </c>
      <c r="I9" s="283"/>
      <c r="J9" s="278"/>
      <c r="K9" s="278"/>
    </row>
    <row r="10" spans="1:11" x14ac:dyDescent="0.3">
      <c r="A10" s="4" t="s">
        <v>85</v>
      </c>
      <c r="B10" s="16">
        <f>SUMIF(TBLPRODUKKELUARJUNI[NAMA MITRA],TBLREKAPKOMISIJUNI[[#This Row],[NAMA MITRA]],TBLPRODUKKELUARJUNI[TAKE HOME KOMISI UTAMA])</f>
        <v>0</v>
      </c>
      <c r="C10" s="16">
        <f>SUMIF(TBLKOMISICAMPURANJUNI[NAMA MITRA],TBLREKAPKOMISIJUNI[[#This Row],[NAMA MITRA]],TBLKOMISICAMPURANJUNI[TOTAL KOMISI])</f>
        <v>0</v>
      </c>
      <c r="D10" s="16">
        <f>'[3]REKAP KOMISI'!$G$66</f>
        <v>0.42889724310816746</v>
      </c>
      <c r="E10" s="16">
        <f>TBLREKAPKOMISIJUNI[[#This Row],[KOMISI UTAMA]]+TBLREKAPKOMISIJUNI[[#This Row],[KOMISI LAIN LAIN]]+TBLREKAPKOMISIJUNI[[#This Row],[SISA KOMISI]]</f>
        <v>0.42889724310816746</v>
      </c>
      <c r="F10" s="16"/>
      <c r="G10" s="16">
        <f>TBLREKAPKOMISIJUNI[[#This Row],[TOTAL KOMISI]]-TBLREKAPKOMISIJUNI[[#This Row],[TARIK KOMISI]]</f>
        <v>0.42889724310816746</v>
      </c>
      <c r="I10" s="283"/>
      <c r="J10" s="278"/>
      <c r="K10" s="278"/>
    </row>
    <row r="11" spans="1:11" x14ac:dyDescent="0.3">
      <c r="A11" s="4" t="s">
        <v>92</v>
      </c>
      <c r="B11" s="16">
        <f>SUMIF(TBLPRODUKKELUARJUNI[NAMA MITRA],TBLREKAPKOMISIJUNI[[#This Row],[NAMA MITRA]],TBLPRODUKKELUARJUNI[TAKE HOME KOMISI UTAMA])</f>
        <v>0</v>
      </c>
      <c r="C11" s="16">
        <f>SUMIF(TBLKOMISICAMPURANJUNI[NAMA MITRA],TBLREKAPKOMISIJUNI[[#This Row],[NAMA MITRA]],TBLKOMISICAMPURANJUNI[TOTAL KOMISI])</f>
        <v>0</v>
      </c>
      <c r="D11" s="16">
        <f>'[3]REKAP KOMISI'!$G$67</f>
        <v>-0.35497076023375485</v>
      </c>
      <c r="E11" s="16">
        <f>TBLREKAPKOMISIJUNI[[#This Row],[KOMISI UTAMA]]+TBLREKAPKOMISIJUNI[[#This Row],[KOMISI LAIN LAIN]]+TBLREKAPKOMISIJUNI[[#This Row],[SISA KOMISI]]</f>
        <v>-0.35497076023375485</v>
      </c>
      <c r="F11" s="16"/>
      <c r="G11" s="16">
        <f>TBLREKAPKOMISIJUNI[[#This Row],[TOTAL KOMISI]]-TBLREKAPKOMISIJUNI[[#This Row],[TARIK KOMISI]]</f>
        <v>-0.35497076023375485</v>
      </c>
      <c r="I11" s="283"/>
      <c r="J11" s="278"/>
      <c r="K11" s="278"/>
    </row>
    <row r="12" spans="1:11" x14ac:dyDescent="0.3">
      <c r="A12" s="4" t="s">
        <v>100</v>
      </c>
      <c r="B12" s="16">
        <f>SUMIF(TBLPRODUKKELUARJUNI[NAMA MITRA],TBLREKAPKOMISIJUNI[[#This Row],[NAMA MITRA]],TBLPRODUKKELUARJUNI[TAKE HOME KOMISI UTAMA])</f>
        <v>0</v>
      </c>
      <c r="C12" s="16">
        <f>SUMIF(TBLKOMISICAMPURANJUNI[NAMA MITRA],TBLREKAPKOMISIJUNI[[#This Row],[NAMA MITRA]],TBLKOMISICAMPURANJUNI[TOTAL KOMISI])</f>
        <v>0</v>
      </c>
      <c r="D12" s="16">
        <f>'[3]REKAP KOMISI'!$G$68</f>
        <v>0.42982456140634895</v>
      </c>
      <c r="E12" s="16">
        <f>TBLREKAPKOMISIJUNI[[#This Row],[KOMISI UTAMA]]+TBLREKAPKOMISIJUNI[[#This Row],[KOMISI LAIN LAIN]]+TBLREKAPKOMISIJUNI[[#This Row],[SISA KOMISI]]</f>
        <v>0.42982456140634895</v>
      </c>
      <c r="F12" s="16"/>
      <c r="G12" s="16">
        <f>TBLREKAPKOMISIJUNI[[#This Row],[TOTAL KOMISI]]-TBLREKAPKOMISIJUNI[[#This Row],[TARIK KOMISI]]</f>
        <v>0.42982456140634895</v>
      </c>
      <c r="I12" s="283"/>
      <c r="J12" s="278"/>
      <c r="K12" s="278"/>
    </row>
    <row r="13" spans="1:11" x14ac:dyDescent="0.3">
      <c r="A13" s="4" t="s">
        <v>188</v>
      </c>
      <c r="B13" s="16">
        <f>SUMIF(TBLPRODUKKELUARJUNI[NAMA MITRA],TBLREKAPKOMISIJUNI[[#This Row],[NAMA MITRA]],TBLPRODUKKELUARJUNI[TAKE HOME KOMISI UTAMA])</f>
        <v>3939.8964912280708</v>
      </c>
      <c r="C13" s="16">
        <f>SUMIF(TBLKOMISICAMPURANJUNI[NAMA MITRA],TBLREKAPKOMISIJUNI[[#This Row],[NAMA MITRA]],TBLKOMISICAMPURANJUNI[TOTAL KOMISI])</f>
        <v>0</v>
      </c>
      <c r="D13" s="16">
        <f>'[3]REKAP KOMISI'!$G$71</f>
        <v>65403.446445659691</v>
      </c>
      <c r="E13" s="16">
        <f>TBLREKAPKOMISIJUNI[[#This Row],[KOMISI UTAMA]]+TBLREKAPKOMISIJUNI[[#This Row],[KOMISI LAIN LAIN]]+TBLREKAPKOMISIJUNI[[#This Row],[SISA KOMISI]]</f>
        <v>69343.342936887755</v>
      </c>
      <c r="F13" s="16">
        <f>67708</f>
        <v>67708</v>
      </c>
      <c r="G13" s="16">
        <f>TBLREKAPKOMISIJUNI[[#This Row],[TOTAL KOMISI]]-TBLREKAPKOMISIJUNI[[#This Row],[TARIK KOMISI]]</f>
        <v>1635.3429368877551</v>
      </c>
      <c r="I13" s="283"/>
      <c r="J13" s="278"/>
      <c r="K13" s="278"/>
    </row>
    <row r="14" spans="1:11" x14ac:dyDescent="0.3">
      <c r="A14" s="4" t="s">
        <v>184</v>
      </c>
      <c r="B14" s="16">
        <f>SUMIF(TBLPRODUKKELUARJUNI[NAMA MITRA],TBLREKAPKOMISIJUNI[[#This Row],[NAMA MITRA]],TBLPRODUKKELUARJUNI[TAKE HOME KOMISI UTAMA])</f>
        <v>0</v>
      </c>
      <c r="C14" s="16">
        <f>SUMIF(TBLKOMISICAMPURANJUNI[NAMA MITRA],TBLREKAPKOMISIJUNI[[#This Row],[NAMA MITRA]],TBLKOMISICAMPURANJUNI[TOTAL KOMISI])</f>
        <v>0</v>
      </c>
      <c r="D14" s="16">
        <f>'[3]REKAP KOMISI'!$G$72</f>
        <v>-0.32444444444445253</v>
      </c>
      <c r="E14" s="16">
        <f>TBLREKAPKOMISIJUNI[[#This Row],[KOMISI UTAMA]]+TBLREKAPKOMISIJUNI[[#This Row],[KOMISI LAIN LAIN]]+TBLREKAPKOMISIJUNI[[#This Row],[SISA KOMISI]]</f>
        <v>-0.32444444444445253</v>
      </c>
      <c r="F14" s="16"/>
      <c r="G14" s="16">
        <f>TBLREKAPKOMISIJUNI[[#This Row],[TOTAL KOMISI]]-TBLREKAPKOMISIJUNI[[#This Row],[TARIK KOMISI]]</f>
        <v>-0.32444444444445253</v>
      </c>
      <c r="I14" s="283"/>
      <c r="J14" s="278"/>
      <c r="K14" s="278"/>
    </row>
    <row r="15" spans="1:11" x14ac:dyDescent="0.3">
      <c r="A15" s="4" t="s">
        <v>170</v>
      </c>
      <c r="B15" s="16">
        <f>SUMIF(TBLPRODUKKELUARJUNI[NAMA MITRA],TBLREKAPKOMISIJUNI[[#This Row],[NAMA MITRA]],TBLPRODUKKELUARJUNI[TAKE HOME KOMISI UTAMA])</f>
        <v>0</v>
      </c>
      <c r="C15" s="16">
        <f>SUMIF(TBLKOMISICAMPURANJUNI[NAMA MITRA],TBLREKAPKOMISIJUNI[[#This Row],[NAMA MITRA]],TBLKOMISICAMPURANJUNI[TOTAL KOMISI])</f>
        <v>0</v>
      </c>
      <c r="D15" s="16">
        <f>'[3]REKAP KOMISI'!$G$73</f>
        <v>-6.9476722110266564E-3</v>
      </c>
      <c r="E15" s="16">
        <f>TBLREKAPKOMISIJUNI[[#This Row],[KOMISI UTAMA]]+TBLREKAPKOMISIJUNI[[#This Row],[KOMISI LAIN LAIN]]+TBLREKAPKOMISIJUNI[[#This Row],[SISA KOMISI]]</f>
        <v>-6.9476722110266564E-3</v>
      </c>
      <c r="F15" s="16"/>
      <c r="G15" s="16">
        <f>TBLREKAPKOMISIJUNI[[#This Row],[TOTAL KOMISI]]-TBLREKAPKOMISIJUNI[[#This Row],[TARIK KOMISI]]</f>
        <v>-6.9476722110266564E-3</v>
      </c>
      <c r="I15" s="283"/>
      <c r="J15" s="278"/>
      <c r="K15" s="278"/>
    </row>
    <row r="16" spans="1:11" x14ac:dyDescent="0.3">
      <c r="A16" s="4" t="s">
        <v>236</v>
      </c>
      <c r="B16" s="16">
        <f>SUMIF(TBLPRODUKKELUARJUNI[NAMA MITRA],TBLREKAPKOMISIJUNI[[#This Row],[NAMA MITRA]],TBLPRODUKKELUARJUNI[TAKE HOME KOMISI UTAMA])</f>
        <v>0</v>
      </c>
      <c r="C16" s="16">
        <f>SUMIF(TBLKOMISICAMPURANJUNI[NAMA MITRA],TBLREKAPKOMISIJUNI[[#This Row],[NAMA MITRA]],TBLKOMISICAMPURANJUNI[TOTAL KOMISI])</f>
        <v>0</v>
      </c>
      <c r="D16" s="16">
        <f>'[3]REKAP KOMISI'!$G$74</f>
        <v>5108.8206182121976</v>
      </c>
      <c r="E16" s="16">
        <f>TBLREKAPKOMISIJUNI[[#This Row],[KOMISI UTAMA]]+TBLREKAPKOMISIJUNI[[#This Row],[KOMISI LAIN LAIN]]+TBLREKAPKOMISIJUNI[[#This Row],[SISA KOMISI]]</f>
        <v>5108.8206182121976</v>
      </c>
      <c r="F16" s="16"/>
      <c r="G16" s="16">
        <f>TBLREKAPKOMISIJUNI[[#This Row],[TOTAL KOMISI]]-TBLREKAPKOMISIJUNI[[#This Row],[TARIK KOMISI]]</f>
        <v>5108.8206182121976</v>
      </c>
      <c r="I16" s="283"/>
      <c r="J16" s="278"/>
      <c r="K16" s="278"/>
    </row>
    <row r="17" spans="1:11" x14ac:dyDescent="0.3">
      <c r="A17" s="4" t="s">
        <v>311</v>
      </c>
      <c r="B17" s="16">
        <f>SUMIF(TBLPRODUKKELUARJUNI[NAMA MITRA],TBLREKAPKOMISIJUNI[[#This Row],[NAMA MITRA]],TBLPRODUKKELUARJUNI[TAKE HOME KOMISI UTAMA])</f>
        <v>0</v>
      </c>
      <c r="C17" s="16">
        <f>SUMIF(TBLKOMISICAMPURANJUNI[NAMA MITRA],TBLREKAPKOMISIJUNI[[#This Row],[NAMA MITRA]],TBLKOMISICAMPURANJUNI[TOTAL KOMISI])</f>
        <v>0</v>
      </c>
      <c r="D17" s="16">
        <f>'[3]REKAP KOMISI'!$G$75</f>
        <v>-0.48487886383736623</v>
      </c>
      <c r="E17" s="16">
        <f>TBLREKAPKOMISIJUNI[[#This Row],[KOMISI UTAMA]]+TBLREKAPKOMISIJUNI[[#This Row],[KOMISI LAIN LAIN]]+TBLREKAPKOMISIJUNI[[#This Row],[SISA KOMISI]]</f>
        <v>-0.48487886383736623</v>
      </c>
      <c r="F17" s="16"/>
      <c r="G17" s="16">
        <f>TBLREKAPKOMISIJUNI[[#This Row],[TOTAL KOMISI]]-TBLREKAPKOMISIJUNI[[#This Row],[TARIK KOMISI]]</f>
        <v>-0.48487886383736623</v>
      </c>
      <c r="I17" s="283"/>
      <c r="J17" s="278"/>
      <c r="K17" s="278"/>
    </row>
    <row r="18" spans="1:11" x14ac:dyDescent="0.3">
      <c r="A18" s="4" t="s">
        <v>81</v>
      </c>
      <c r="B18" s="16">
        <f>SUMIF(TBLPRODUKKELUARJUNI[NAMA MITRA],TBLREKAPKOMISIJUNI[[#This Row],[NAMA MITRA]],TBLPRODUKKELUARJUNI[TAKE HOME KOMISI UTAMA])</f>
        <v>0</v>
      </c>
      <c r="C18" s="16">
        <f>SUMIF(TBLKOMISICAMPURANJUNI[NAMA MITRA],TBLREKAPKOMISIJUNI[[#This Row],[NAMA MITRA]],TBLKOMISICAMPURANJUNI[TOTAL KOMISI])</f>
        <v>0</v>
      </c>
      <c r="D18" s="16">
        <f>'[3]REKAP KOMISI'!$G$76</f>
        <v>0.27401837928482564</v>
      </c>
      <c r="E18" s="16">
        <f>TBLREKAPKOMISIJUNI[[#This Row],[KOMISI UTAMA]]+TBLREKAPKOMISIJUNI[[#This Row],[KOMISI LAIN LAIN]]+TBLREKAPKOMISIJUNI[[#This Row],[SISA KOMISI]]</f>
        <v>0.27401837928482564</v>
      </c>
      <c r="F18" s="16"/>
      <c r="G18" s="16">
        <f>TBLREKAPKOMISIJUNI[[#This Row],[TOTAL KOMISI]]-TBLREKAPKOMISIJUNI[[#This Row],[TARIK KOMISI]]</f>
        <v>0.27401837928482564</v>
      </c>
      <c r="I18" s="283"/>
      <c r="J18" s="278"/>
      <c r="K18" s="278"/>
    </row>
    <row r="19" spans="1:11" x14ac:dyDescent="0.3">
      <c r="A19" s="4" t="s">
        <v>415</v>
      </c>
      <c r="B19" s="16">
        <f>SUMIF(TBLPRODUKKELUARJUNI[NAMA MITRA],TBLREKAPKOMISIJUNI[[#This Row],[NAMA MITRA]],TBLPRODUKKELUARJUNI[TAKE HOME KOMISI UTAMA])</f>
        <v>0</v>
      </c>
      <c r="C19" s="16">
        <f>SUMIF(TBLKOMISICAMPURANJUNI[NAMA MITRA],TBLREKAPKOMISIJUNI[[#This Row],[NAMA MITRA]],TBLKOMISICAMPURANJUNI[TOTAL KOMISI])</f>
        <v>0</v>
      </c>
      <c r="D19" s="16">
        <f>'[3]REKAP KOMISI'!$G$77</f>
        <v>-0.25386420598624682</v>
      </c>
      <c r="E19" s="16">
        <f>TBLREKAPKOMISIJUNI[[#This Row],[KOMISI UTAMA]]+TBLREKAPKOMISIJUNI[[#This Row],[KOMISI LAIN LAIN]]+TBLREKAPKOMISIJUNI[[#This Row],[SISA KOMISI]]</f>
        <v>-0.25386420598624682</v>
      </c>
      <c r="F19" s="16"/>
      <c r="G19" s="16">
        <f>TBLREKAPKOMISIJUNI[[#This Row],[TOTAL KOMISI]]-TBLREKAPKOMISIJUNI[[#This Row],[TARIK KOMISI]]</f>
        <v>-0.25386420598624682</v>
      </c>
      <c r="I19" s="283"/>
      <c r="J19" s="278"/>
      <c r="K19" s="278"/>
    </row>
    <row r="20" spans="1:11" x14ac:dyDescent="0.3">
      <c r="A20" s="4" t="s">
        <v>438</v>
      </c>
      <c r="B20" s="16">
        <f>SUMIF(TBLPRODUKKELUARJUNI[NAMA MITRA],TBLREKAPKOMISIJUNI[[#This Row],[NAMA MITRA]],TBLPRODUKKELUARJUNI[TAKE HOME KOMISI UTAMA])</f>
        <v>0</v>
      </c>
      <c r="C20" s="16">
        <f>SUMIF(TBLKOMISICAMPURANJUNI[NAMA MITRA],TBLREKAPKOMISIJUNI[[#This Row],[NAMA MITRA]],TBLKOMISICAMPURANJUNI[TOTAL KOMISI])</f>
        <v>0</v>
      </c>
      <c r="D20" s="16">
        <f>'[3]REKAP KOMISI'!$G$78</f>
        <v>-0.45035543405720091</v>
      </c>
      <c r="E20" s="16">
        <f>TBLREKAPKOMISIJUNI[[#This Row],[KOMISI UTAMA]]+TBLREKAPKOMISIJUNI[[#This Row],[KOMISI LAIN LAIN]]+TBLREKAPKOMISIJUNI[[#This Row],[SISA KOMISI]]</f>
        <v>-0.45035543405720091</v>
      </c>
      <c r="F20" s="16"/>
      <c r="G20" s="16">
        <f>TBLREKAPKOMISIJUNI[[#This Row],[TOTAL KOMISI]]-TBLREKAPKOMISIJUNI[[#This Row],[TARIK KOMISI]]</f>
        <v>-0.45035543405720091</v>
      </c>
      <c r="I20" s="283"/>
      <c r="J20" s="278"/>
      <c r="K20" s="278"/>
    </row>
    <row r="21" spans="1:11" x14ac:dyDescent="0.3">
      <c r="A21" s="4" t="s">
        <v>449</v>
      </c>
      <c r="B21" s="16">
        <f>SUMIF(TBLPRODUKKELUARJUNI[NAMA MITRA],TBLREKAPKOMISIJUNI[[#This Row],[NAMA MITRA]],TBLPRODUKKELUARJUNI[TAKE HOME KOMISI UTAMA])</f>
        <v>0</v>
      </c>
      <c r="C21" s="16">
        <f>SUMIF(TBLKOMISICAMPURANJUNI[NAMA MITRA],TBLREKAPKOMISIJUNI[[#This Row],[NAMA MITRA]],TBLKOMISICAMPURANJUNI[TOTAL KOMISI])</f>
        <v>0</v>
      </c>
      <c r="D21" s="16">
        <f>'[3]REKAP KOMISI'!$G$79</f>
        <v>0.12496867167646997</v>
      </c>
      <c r="E21" s="16">
        <f>TBLREKAPKOMISIJUNI[[#This Row],[KOMISI UTAMA]]+TBLREKAPKOMISIJUNI[[#This Row],[KOMISI LAIN LAIN]]+TBLREKAPKOMISIJUNI[[#This Row],[SISA KOMISI]]</f>
        <v>0.12496867167646997</v>
      </c>
      <c r="F21" s="16"/>
      <c r="G21" s="16">
        <f>TBLREKAPKOMISIJUNI[[#This Row],[TOTAL KOMISI]]-TBLREKAPKOMISIJUNI[[#This Row],[TARIK KOMISI]]</f>
        <v>0.12496867167646997</v>
      </c>
      <c r="I21" s="283"/>
      <c r="J21" s="278"/>
      <c r="K21" s="278"/>
    </row>
    <row r="22" spans="1:11" ht="15" thickBot="1" x14ac:dyDescent="0.35">
      <c r="A22" s="4" t="s">
        <v>467</v>
      </c>
      <c r="B22" s="16">
        <f>SUMIF(TBLPRODUKKELUARJUNI[NAMA MITRA],TBLREKAPKOMISIJUNI[[#This Row],[NAMA MITRA]],TBLPRODUKKELUARJUNI[TAKE HOME KOMISI UTAMA])</f>
        <v>0</v>
      </c>
      <c r="C22" s="16">
        <f>SUMIF(TBLKOMISICAMPURANJUNI[NAMA MITRA],TBLREKAPKOMISIJUNI[[#This Row],[NAMA MITRA]],TBLKOMISICAMPURANJUNI[TOTAL KOMISI])</f>
        <v>0</v>
      </c>
      <c r="D22" s="16">
        <f>'[3]REKAP KOMISI'!$G$80</f>
        <v>0.38297789927219128</v>
      </c>
      <c r="E22" s="16">
        <f>TBLREKAPKOMISIJUNI[[#This Row],[KOMISI UTAMA]]+TBLREKAPKOMISIJUNI[[#This Row],[KOMISI LAIN LAIN]]+TBLREKAPKOMISIJUNI[[#This Row],[SISA KOMISI]]</f>
        <v>0.38297789927219128</v>
      </c>
      <c r="F22" s="16"/>
      <c r="G22" s="16">
        <f>TBLREKAPKOMISIJUNI[[#This Row],[TOTAL KOMISI]]-TBLREKAPKOMISIJUNI[[#This Row],[TARIK KOMISI]]</f>
        <v>0.38297789927219128</v>
      </c>
      <c r="I22" s="284"/>
      <c r="J22" s="285"/>
      <c r="K22" s="285"/>
    </row>
    <row r="23" spans="1:11" ht="15" customHeight="1" x14ac:dyDescent="0.3">
      <c r="A23" s="4" t="s">
        <v>530</v>
      </c>
      <c r="B23" s="16">
        <f>SUMIF(TBLPRODUKKELUARJUNI[NAMA MITRA],TBLREKAPKOMISIJUNI[[#This Row],[NAMA MITRA]],TBLPRODUKKELUARJUNI[TAKE HOME KOMISI UTAMA])</f>
        <v>0</v>
      </c>
      <c r="C23" s="16">
        <f>SUMIF(TBLKOMISICAMPURANJUNI[NAMA MITRA],TBLREKAPKOMISIJUNI[[#This Row],[NAMA MITRA]],TBLKOMISICAMPURANJUNI[TOTAL KOMISI])</f>
        <v>0</v>
      </c>
      <c r="D23" s="16">
        <f>'[3]REKAP KOMISI'!$G$81</f>
        <v>-0.18771929824561084</v>
      </c>
      <c r="E23" s="16">
        <f>TBLREKAPKOMISIJUNI[[#This Row],[KOMISI UTAMA]]+TBLREKAPKOMISIJUNI[[#This Row],[KOMISI LAIN LAIN]]+TBLREKAPKOMISIJUNI[[#This Row],[SISA KOMISI]]</f>
        <v>-0.18771929824561084</v>
      </c>
      <c r="F23" s="16"/>
      <c r="G23" s="16">
        <f>TBLREKAPKOMISIJUNI[[#This Row],[TOTAL KOMISI]]-TBLREKAPKOMISIJUNI[[#This Row],[TARIK KOMISI]]</f>
        <v>-0.18771929824561084</v>
      </c>
    </row>
    <row r="24" spans="1:11" ht="25.8" x14ac:dyDescent="0.3">
      <c r="A24" s="17"/>
    </row>
    <row r="25" spans="1:11" ht="25.8" x14ac:dyDescent="0.3">
      <c r="A25" s="17"/>
    </row>
    <row r="27" spans="1:11" s="153" customFormat="1" ht="20.25" customHeight="1" thickBot="1" x14ac:dyDescent="0.4">
      <c r="A27" s="154" t="s">
        <v>590</v>
      </c>
      <c r="B27" s="155"/>
      <c r="C27" s="156"/>
      <c r="D27" s="156"/>
      <c r="E27" s="156"/>
      <c r="F27" s="156"/>
    </row>
    <row r="28" spans="1:11" ht="43.5" customHeight="1" thickBot="1" x14ac:dyDescent="0.35">
      <c r="A28" s="1" t="s">
        <v>54</v>
      </c>
      <c r="B28" s="10" t="s">
        <v>52</v>
      </c>
      <c r="C28" s="10" t="s">
        <v>110</v>
      </c>
      <c r="D28" s="10" t="s">
        <v>56</v>
      </c>
      <c r="E28" s="10" t="s">
        <v>57</v>
      </c>
      <c r="F28" s="10" t="s">
        <v>97</v>
      </c>
      <c r="G28" s="1" t="s">
        <v>96</v>
      </c>
      <c r="I28" s="167" t="s">
        <v>538</v>
      </c>
      <c r="J28" s="167" t="s">
        <v>136</v>
      </c>
      <c r="K28" s="167" t="s">
        <v>539</v>
      </c>
    </row>
    <row r="29" spans="1:11" x14ac:dyDescent="0.3">
      <c r="A29" s="4" t="s">
        <v>12</v>
      </c>
      <c r="B29" s="16">
        <f>SUMIF(TBLPRODUKKELUARJULI[NAMA MITRA],TBLREKAPKOMISIJULI[[#This Row],[NAMA MITRA]],TBLPRODUKKELUARJULI[TAKE HOME KOMISI UTAMA])</f>
        <v>36214.73309409889</v>
      </c>
      <c r="C29" s="16">
        <f>SUMIF(TBLKOMISICAMPURANJULI[NAMA MITRA],TBLREKAPKOMISIJULI[[#This Row],[NAMA MITRA]],TBLKOMISICAMPURANJULI[TOTAL KOMISI])</f>
        <v>83000</v>
      </c>
      <c r="D29" s="16">
        <f>G4</f>
        <v>-0.25342560948774917</v>
      </c>
      <c r="E29" s="16">
        <f>TBLREKAPKOMISIJULI[[#This Row],[KOMISI UTAMA]]+TBLREKAPKOMISIJULI[[#This Row],[KOMISI LAIN LAIN]]+TBLREKAPKOMISIJULI[[#This Row],[SISA KOMISI]]</f>
        <v>119214.4796684894</v>
      </c>
      <c r="F29" s="16">
        <f>47361+14668+21063+21122+5000+5000+5000</f>
        <v>119214</v>
      </c>
      <c r="G29" s="16">
        <f>TBLREKAPKOMISIJULI[[#This Row],[TOTAL KOMISI]]-TBLREKAPKOMISIJULI[[#This Row],[TARIK KOMISI]]</f>
        <v>0.47966848939540796</v>
      </c>
      <c r="I29" s="282">
        <f>SUM(TBLREKAPKOMISIJULI[TOTAL KOMISI])</f>
        <v>228545.78320555174</v>
      </c>
      <c r="J29" s="277">
        <f>SUM(TBLREKAPKOMISIJULI[TARIK KOMISI])</f>
        <v>192201</v>
      </c>
      <c r="K29" s="282">
        <f>I29-J29</f>
        <v>36344.783205551736</v>
      </c>
    </row>
    <row r="30" spans="1:11" x14ac:dyDescent="0.3">
      <c r="A30" s="4" t="s">
        <v>14</v>
      </c>
      <c r="B30" s="16">
        <f>SUMIF(TBLPRODUKKELUARJULI[NAMA MITRA],TBLREKAPKOMISIJULI[[#This Row],[NAMA MITRA]],TBLPRODUKKELUARJULI[TAKE HOME KOMISI UTAMA])</f>
        <v>2058.9105263157894</v>
      </c>
      <c r="C30" s="16">
        <f>SUMIF(TBLKOMISICAMPURANJULI[NAMA MITRA],TBLREKAPKOMISIJULI[[#This Row],[NAMA MITRA]],TBLKOMISICAMPURANJULI[TOTAL KOMISI])</f>
        <v>0</v>
      </c>
      <c r="D30" s="16">
        <f t="shared" ref="D30:D48" si="0">G5</f>
        <v>-0.30944862155411101</v>
      </c>
      <c r="E30" s="16">
        <f>TBLREKAPKOMISIJULI[[#This Row],[KOMISI UTAMA]]+TBLREKAPKOMISIJULI[[#This Row],[KOMISI LAIN LAIN]]+TBLREKAPKOMISIJULI[[#This Row],[SISA KOMISI]]</f>
        <v>2058.6010776942353</v>
      </c>
      <c r="F30" s="16"/>
      <c r="G30" s="16">
        <f>TBLREKAPKOMISIJULI[[#This Row],[TOTAL KOMISI]]-TBLREKAPKOMISIJULI[[#This Row],[TARIK KOMISI]]</f>
        <v>2058.6010776942353</v>
      </c>
      <c r="I30" s="283"/>
      <c r="J30" s="278"/>
      <c r="K30" s="278"/>
    </row>
    <row r="31" spans="1:11" x14ac:dyDescent="0.3">
      <c r="A31" s="4" t="s">
        <v>39</v>
      </c>
      <c r="B31" s="16">
        <f>SUMIF(TBLPRODUKKELUARJULI[NAMA MITRA],TBLREKAPKOMISIJULI[[#This Row],[NAMA MITRA]],TBLPRODUKKELUARJULI[TAKE HOME KOMISI UTAMA])</f>
        <v>0</v>
      </c>
      <c r="C31" s="16">
        <f>SUMIF(TBLKOMISICAMPURANJULI[NAMA MITRA],TBLREKAPKOMISIJULI[[#This Row],[NAMA MITRA]],TBLKOMISICAMPURANJULI[TOTAL KOMISI])</f>
        <v>0</v>
      </c>
      <c r="D31" s="16">
        <f t="shared" si="0"/>
        <v>0.47087719298360753</v>
      </c>
      <c r="E31" s="16">
        <f>TBLREKAPKOMISIJULI[[#This Row],[KOMISI UTAMA]]+TBLREKAPKOMISIJULI[[#This Row],[KOMISI LAIN LAIN]]+TBLREKAPKOMISIJULI[[#This Row],[SISA KOMISI]]</f>
        <v>0.47087719298360753</v>
      </c>
      <c r="F31" s="16"/>
      <c r="G31" s="16">
        <f>TBLREKAPKOMISIJULI[[#This Row],[TOTAL KOMISI]]-TBLREKAPKOMISIJULI[[#This Row],[TARIK KOMISI]]</f>
        <v>0.47087719298360753</v>
      </c>
      <c r="I31" s="283"/>
      <c r="J31" s="278"/>
      <c r="K31" s="278"/>
    </row>
    <row r="32" spans="1:11" x14ac:dyDescent="0.3">
      <c r="A32" s="4" t="s">
        <v>13</v>
      </c>
      <c r="B32" s="16">
        <f>SUMIF(TBLPRODUKKELUARJULI[NAMA MITRA],TBLREKAPKOMISIJULI[[#This Row],[NAMA MITRA]],TBLPRODUKKELUARJULI[TAKE HOME KOMISI UTAMA])</f>
        <v>0</v>
      </c>
      <c r="C32" s="16">
        <f>SUMIF(TBLKOMISICAMPURANJULI[NAMA MITRA],TBLREKAPKOMISIJULI[[#This Row],[NAMA MITRA]],TBLKOMISICAMPURANJULI[TOTAL KOMISI])</f>
        <v>0</v>
      </c>
      <c r="D32" s="16">
        <f t="shared" si="0"/>
        <v>-0.4544152046742056</v>
      </c>
      <c r="E32" s="16">
        <f>TBLREKAPKOMISIJULI[[#This Row],[KOMISI UTAMA]]+TBLREKAPKOMISIJULI[[#This Row],[KOMISI LAIN LAIN]]+TBLREKAPKOMISIJULI[[#This Row],[SISA KOMISI]]</f>
        <v>-0.4544152046742056</v>
      </c>
      <c r="F32" s="16"/>
      <c r="G32" s="16">
        <f>TBLREKAPKOMISIJULI[[#This Row],[TOTAL KOMISI]]-TBLREKAPKOMISIJULI[[#This Row],[TARIK KOMISI]]</f>
        <v>-0.4544152046742056</v>
      </c>
      <c r="I32" s="283"/>
      <c r="J32" s="278"/>
      <c r="K32" s="278"/>
    </row>
    <row r="33" spans="1:11" x14ac:dyDescent="0.3">
      <c r="A33" s="4" t="s">
        <v>47</v>
      </c>
      <c r="B33" s="16">
        <f>SUMIF(TBLPRODUKKELUARJULI[NAMA MITRA],TBLREKAPKOMISIJULI[[#This Row],[NAMA MITRA]],TBLPRODUKKELUARJULI[TAKE HOME KOMISI UTAMA])</f>
        <v>0</v>
      </c>
      <c r="C33" s="16">
        <f>SUMIF(TBLKOMISICAMPURANJULI[NAMA MITRA],TBLREKAPKOMISIJULI[[#This Row],[NAMA MITRA]],TBLKOMISICAMPURANJULI[TOTAL KOMISI])</f>
        <v>0</v>
      </c>
      <c r="D33" s="16">
        <f t="shared" si="0"/>
        <v>0</v>
      </c>
      <c r="E33" s="16">
        <f>TBLREKAPKOMISIJULI[[#This Row],[KOMISI UTAMA]]+TBLREKAPKOMISIJULI[[#This Row],[KOMISI LAIN LAIN]]+TBLREKAPKOMISIJULI[[#This Row],[SISA KOMISI]]</f>
        <v>0</v>
      </c>
      <c r="F33" s="16"/>
      <c r="G33" s="16">
        <f>TBLREKAPKOMISIJULI[[#This Row],[TOTAL KOMISI]]-TBLREKAPKOMISIJULI[[#This Row],[TARIK KOMISI]]</f>
        <v>0</v>
      </c>
      <c r="I33" s="283"/>
      <c r="J33" s="278"/>
      <c r="K33" s="278"/>
    </row>
    <row r="34" spans="1:11" x14ac:dyDescent="0.3">
      <c r="A34" s="4" t="s">
        <v>15</v>
      </c>
      <c r="B34" s="16">
        <f>SUMIF(TBLPRODUKKELUARJULI[NAMA MITRA],TBLREKAPKOMISIJULI[[#This Row],[NAMA MITRA]],TBLPRODUKKELUARJULI[TAKE HOME KOMISI UTAMA])</f>
        <v>0</v>
      </c>
      <c r="C34" s="16">
        <f>SUMIF(TBLKOMISICAMPURANJULI[NAMA MITRA],TBLREKAPKOMISIJULI[[#This Row],[NAMA MITRA]],TBLKOMISICAMPURANJULI[TOTAL KOMISI])</f>
        <v>0</v>
      </c>
      <c r="D34" s="16">
        <f t="shared" si="0"/>
        <v>-0.49605263157855006</v>
      </c>
      <c r="E34" s="16">
        <f>TBLREKAPKOMISIJULI[[#This Row],[KOMISI UTAMA]]+TBLREKAPKOMISIJULI[[#This Row],[KOMISI LAIN LAIN]]+TBLREKAPKOMISIJULI[[#This Row],[SISA KOMISI]]</f>
        <v>-0.49605263157855006</v>
      </c>
      <c r="F34" s="16"/>
      <c r="G34" s="16">
        <f>TBLREKAPKOMISIJULI[[#This Row],[TOTAL KOMISI]]-TBLREKAPKOMISIJULI[[#This Row],[TARIK KOMISI]]</f>
        <v>-0.49605263157855006</v>
      </c>
      <c r="I34" s="283"/>
      <c r="J34" s="278"/>
      <c r="K34" s="278"/>
    </row>
    <row r="35" spans="1:11" x14ac:dyDescent="0.3">
      <c r="A35" s="4" t="s">
        <v>85</v>
      </c>
      <c r="B35" s="16">
        <f>SUMIF(TBLPRODUKKELUARJULI[NAMA MITRA],TBLREKAPKOMISIJULI[[#This Row],[NAMA MITRA]],TBLPRODUKKELUARJULI[TAKE HOME KOMISI UTAMA])</f>
        <v>0</v>
      </c>
      <c r="C35" s="16">
        <f>SUMIF(TBLKOMISICAMPURANJULI[NAMA MITRA],TBLREKAPKOMISIJULI[[#This Row],[NAMA MITRA]],TBLKOMISICAMPURANJULI[TOTAL KOMISI])</f>
        <v>0</v>
      </c>
      <c r="D35" s="16">
        <f t="shared" si="0"/>
        <v>0.42889724310816746</v>
      </c>
      <c r="E35" s="16">
        <f>TBLREKAPKOMISIJULI[[#This Row],[KOMISI UTAMA]]+TBLREKAPKOMISIJULI[[#This Row],[KOMISI LAIN LAIN]]+TBLREKAPKOMISIJULI[[#This Row],[SISA KOMISI]]</f>
        <v>0.42889724310816746</v>
      </c>
      <c r="F35" s="16"/>
      <c r="G35" s="16">
        <f>TBLREKAPKOMISIJULI[[#This Row],[TOTAL KOMISI]]-TBLREKAPKOMISIJULI[[#This Row],[TARIK KOMISI]]</f>
        <v>0.42889724310816746</v>
      </c>
      <c r="I35" s="283"/>
      <c r="J35" s="278"/>
      <c r="K35" s="278"/>
    </row>
    <row r="36" spans="1:11" x14ac:dyDescent="0.3">
      <c r="A36" s="4" t="s">
        <v>92</v>
      </c>
      <c r="B36" s="16">
        <f>SUMIF(TBLPRODUKKELUARJULI[NAMA MITRA],TBLREKAPKOMISIJULI[[#This Row],[NAMA MITRA]],TBLPRODUKKELUARJULI[TAKE HOME KOMISI UTAMA])</f>
        <v>0</v>
      </c>
      <c r="C36" s="16">
        <f>SUMIF(TBLKOMISICAMPURANJULI[NAMA MITRA],TBLREKAPKOMISIJULI[[#This Row],[NAMA MITRA]],TBLKOMISICAMPURANJULI[TOTAL KOMISI])</f>
        <v>0</v>
      </c>
      <c r="D36" s="16">
        <f t="shared" si="0"/>
        <v>-0.35497076023375485</v>
      </c>
      <c r="E36" s="16">
        <f>TBLREKAPKOMISIJULI[[#This Row],[KOMISI UTAMA]]+TBLREKAPKOMISIJULI[[#This Row],[KOMISI LAIN LAIN]]+TBLREKAPKOMISIJULI[[#This Row],[SISA KOMISI]]</f>
        <v>-0.35497076023375485</v>
      </c>
      <c r="F36" s="16"/>
      <c r="G36" s="16">
        <f>TBLREKAPKOMISIJULI[[#This Row],[TOTAL KOMISI]]-TBLREKAPKOMISIJULI[[#This Row],[TARIK KOMISI]]</f>
        <v>-0.35497076023375485</v>
      </c>
      <c r="I36" s="283"/>
      <c r="J36" s="278"/>
      <c r="K36" s="278"/>
    </row>
    <row r="37" spans="1:11" x14ac:dyDescent="0.3">
      <c r="A37" s="4" t="s">
        <v>100</v>
      </c>
      <c r="B37" s="16">
        <f>SUMIF(TBLPRODUKKELUARJULI[NAMA MITRA],TBLREKAPKOMISIJULI[[#This Row],[NAMA MITRA]],TBLPRODUKKELUARJULI[TAKE HOME KOMISI UTAMA])</f>
        <v>0</v>
      </c>
      <c r="C37" s="16">
        <f>SUMIF(TBLKOMISICAMPURANJULI[NAMA MITRA],TBLREKAPKOMISIJULI[[#This Row],[NAMA MITRA]],TBLKOMISICAMPURANJULI[TOTAL KOMISI])</f>
        <v>0</v>
      </c>
      <c r="D37" s="16">
        <f t="shared" si="0"/>
        <v>0.42982456140634895</v>
      </c>
      <c r="E37" s="16">
        <f>TBLREKAPKOMISIJULI[[#This Row],[KOMISI UTAMA]]+TBLREKAPKOMISIJULI[[#This Row],[KOMISI LAIN LAIN]]+TBLREKAPKOMISIJULI[[#This Row],[SISA KOMISI]]</f>
        <v>0.42982456140634895</v>
      </c>
      <c r="F37" s="16"/>
      <c r="G37" s="16">
        <f>TBLREKAPKOMISIJULI[[#This Row],[TOTAL KOMISI]]-TBLREKAPKOMISIJULI[[#This Row],[TARIK KOMISI]]</f>
        <v>0.42982456140634895</v>
      </c>
      <c r="I37" s="283"/>
      <c r="J37" s="278"/>
      <c r="K37" s="278"/>
    </row>
    <row r="38" spans="1:11" x14ac:dyDescent="0.3">
      <c r="A38" s="4" t="s">
        <v>188</v>
      </c>
      <c r="B38" s="16">
        <f>SUMIF(TBLPRODUKKELUARJULI[NAMA MITRA],TBLREKAPKOMISIJULI[[#This Row],[NAMA MITRA]],TBLPRODUKKELUARJULI[TAKE HOME KOMISI UTAMA])</f>
        <v>12660.789633173845</v>
      </c>
      <c r="C38" s="16">
        <f>SUMIF(TBLKOMISICAMPURANJULI[NAMA MITRA],TBLREKAPKOMISIJULI[[#This Row],[NAMA MITRA]],TBLKOMISICAMPURANJULI[TOTAL KOMISI])</f>
        <v>0</v>
      </c>
      <c r="D38" s="16">
        <f t="shared" si="0"/>
        <v>1635.3429368877551</v>
      </c>
      <c r="E38" s="16">
        <f>TBLREKAPKOMISIJULI[[#This Row],[KOMISI UTAMA]]+TBLREKAPKOMISIJULI[[#This Row],[KOMISI LAIN LAIN]]+TBLREKAPKOMISIJULI[[#This Row],[SISA KOMISI]]</f>
        <v>14296.1325700616</v>
      </c>
      <c r="F38" s="16"/>
      <c r="G38" s="16">
        <f>TBLREKAPKOMISIJULI[[#This Row],[TOTAL KOMISI]]-TBLREKAPKOMISIJULI[[#This Row],[TARIK KOMISI]]</f>
        <v>14296.1325700616</v>
      </c>
      <c r="I38" s="283"/>
      <c r="J38" s="278"/>
      <c r="K38" s="278"/>
    </row>
    <row r="39" spans="1:11" x14ac:dyDescent="0.3">
      <c r="A39" s="4" t="s">
        <v>184</v>
      </c>
      <c r="B39" s="16">
        <f>SUMIF(TBLPRODUKKELUARJULI[NAMA MITRA],TBLREKAPKOMISIJULI[[#This Row],[NAMA MITRA]],TBLPRODUKKELUARJULI[TAKE HOME KOMISI UTAMA])</f>
        <v>0</v>
      </c>
      <c r="C39" s="16">
        <f>SUMIF(TBLKOMISICAMPURANJULI[NAMA MITRA],TBLREKAPKOMISIJULI[[#This Row],[NAMA MITRA]],TBLKOMISICAMPURANJULI[TOTAL KOMISI])</f>
        <v>0</v>
      </c>
      <c r="D39" s="16">
        <f t="shared" si="0"/>
        <v>-0.32444444444445253</v>
      </c>
      <c r="E39" s="16">
        <f>TBLREKAPKOMISIJULI[[#This Row],[KOMISI UTAMA]]+TBLREKAPKOMISIJULI[[#This Row],[KOMISI LAIN LAIN]]+TBLREKAPKOMISIJULI[[#This Row],[SISA KOMISI]]</f>
        <v>-0.32444444444445253</v>
      </c>
      <c r="F39" s="16"/>
      <c r="G39" s="16">
        <f>TBLREKAPKOMISIJULI[[#This Row],[TOTAL KOMISI]]-TBLREKAPKOMISIJULI[[#This Row],[TARIK KOMISI]]</f>
        <v>-0.32444444444445253</v>
      </c>
      <c r="I39" s="283"/>
      <c r="J39" s="278"/>
      <c r="K39" s="278"/>
    </row>
    <row r="40" spans="1:11" x14ac:dyDescent="0.3">
      <c r="A40" s="4" t="s">
        <v>170</v>
      </c>
      <c r="B40" s="16">
        <f>SUMIF(TBLPRODUKKELUARJULI[NAMA MITRA],TBLREKAPKOMISIJULI[[#This Row],[NAMA MITRA]],TBLPRODUKKELUARJULI[TAKE HOME KOMISI UTAMA])</f>
        <v>0</v>
      </c>
      <c r="C40" s="16">
        <f>SUMIF(TBLKOMISICAMPURANJULI[NAMA MITRA],TBLREKAPKOMISIJULI[[#This Row],[NAMA MITRA]],TBLKOMISICAMPURANJULI[TOTAL KOMISI])</f>
        <v>0</v>
      </c>
      <c r="D40" s="16">
        <f t="shared" si="0"/>
        <v>-6.9476722110266564E-3</v>
      </c>
      <c r="E40" s="16">
        <f>TBLREKAPKOMISIJULI[[#This Row],[KOMISI UTAMA]]+TBLREKAPKOMISIJULI[[#This Row],[KOMISI LAIN LAIN]]+TBLREKAPKOMISIJULI[[#This Row],[SISA KOMISI]]</f>
        <v>-6.9476722110266564E-3</v>
      </c>
      <c r="F40" s="16"/>
      <c r="G40" s="16">
        <f>TBLREKAPKOMISIJULI[[#This Row],[TOTAL KOMISI]]-TBLREKAPKOMISIJULI[[#This Row],[TARIK KOMISI]]</f>
        <v>-6.9476722110266564E-3</v>
      </c>
      <c r="I40" s="283"/>
      <c r="J40" s="278"/>
      <c r="K40" s="278"/>
    </row>
    <row r="41" spans="1:11" x14ac:dyDescent="0.3">
      <c r="A41" s="4" t="s">
        <v>236</v>
      </c>
      <c r="B41" s="16">
        <f>SUMIF(TBLPRODUKKELUARJULI[NAMA MITRA],TBLREKAPKOMISIJULI[[#This Row],[NAMA MITRA]],TBLPRODUKKELUARJULI[TAKE HOME KOMISI UTAMA])</f>
        <v>0</v>
      </c>
      <c r="C41" s="16">
        <f>SUMIF(TBLKOMISICAMPURANJULI[NAMA MITRA],TBLREKAPKOMISIJULI[[#This Row],[NAMA MITRA]],TBLKOMISICAMPURANJULI[TOTAL KOMISI])</f>
        <v>0</v>
      </c>
      <c r="D41" s="16">
        <f t="shared" si="0"/>
        <v>5108.8206182121976</v>
      </c>
      <c r="E41" s="16">
        <f>TBLREKAPKOMISIJULI[[#This Row],[KOMISI UTAMA]]+TBLREKAPKOMISIJULI[[#This Row],[KOMISI LAIN LAIN]]+TBLREKAPKOMISIJULI[[#This Row],[SISA KOMISI]]</f>
        <v>5108.8206182121976</v>
      </c>
      <c r="F41" s="16"/>
      <c r="G41" s="16">
        <f>TBLREKAPKOMISIJULI[[#This Row],[TOTAL KOMISI]]-TBLREKAPKOMISIJULI[[#This Row],[TARIK KOMISI]]</f>
        <v>5108.8206182121976</v>
      </c>
      <c r="I41" s="283"/>
      <c r="J41" s="278"/>
      <c r="K41" s="278"/>
    </row>
    <row r="42" spans="1:11" x14ac:dyDescent="0.3">
      <c r="A42" s="4" t="s">
        <v>311</v>
      </c>
      <c r="B42" s="16">
        <f>SUMIF(TBLPRODUKKELUARJULI[NAMA MITRA],TBLREKAPKOMISIJULI[[#This Row],[NAMA MITRA]],TBLPRODUKKELUARJULI[TAKE HOME KOMISI UTAMA])</f>
        <v>5859.80350877193</v>
      </c>
      <c r="C42" s="16">
        <f>SUMIF(TBLKOMISICAMPURANJULI[NAMA MITRA],TBLREKAPKOMISIJULI[[#This Row],[NAMA MITRA]],TBLKOMISICAMPURANJULI[TOTAL KOMISI])</f>
        <v>0</v>
      </c>
      <c r="D42" s="16">
        <f t="shared" si="0"/>
        <v>-0.48487886383736623</v>
      </c>
      <c r="E42" s="16">
        <f>TBLREKAPKOMISIJULI[[#This Row],[KOMISI UTAMA]]+TBLREKAPKOMISIJULI[[#This Row],[KOMISI LAIN LAIN]]+TBLREKAPKOMISIJULI[[#This Row],[SISA KOMISI]]</f>
        <v>5859.3186299080926</v>
      </c>
      <c r="F42" s="16"/>
      <c r="G42" s="16">
        <f>TBLREKAPKOMISIJULI[[#This Row],[TOTAL KOMISI]]-TBLREKAPKOMISIJULI[[#This Row],[TARIK KOMISI]]</f>
        <v>5859.3186299080926</v>
      </c>
      <c r="I42" s="283"/>
      <c r="J42" s="278"/>
      <c r="K42" s="278"/>
    </row>
    <row r="43" spans="1:11" x14ac:dyDescent="0.3">
      <c r="A43" s="4" t="s">
        <v>81</v>
      </c>
      <c r="B43" s="16">
        <f>SUMIF(TBLPRODUKKELUARJULI[NAMA MITRA],TBLREKAPKOMISIJULI[[#This Row],[NAMA MITRA]],TBLPRODUKKELUARJULI[TAKE HOME KOMISI UTAMA])</f>
        <v>0</v>
      </c>
      <c r="C43" s="16">
        <f>SUMIF(TBLKOMISICAMPURANJULI[NAMA MITRA],TBLREKAPKOMISIJULI[[#This Row],[NAMA MITRA]],TBLKOMISICAMPURANJULI[TOTAL KOMISI])</f>
        <v>0</v>
      </c>
      <c r="D43" s="16">
        <f t="shared" si="0"/>
        <v>0.27401837928482564</v>
      </c>
      <c r="E43" s="16">
        <f>TBLREKAPKOMISIJULI[[#This Row],[KOMISI UTAMA]]+TBLREKAPKOMISIJULI[[#This Row],[KOMISI LAIN LAIN]]+TBLREKAPKOMISIJULI[[#This Row],[SISA KOMISI]]</f>
        <v>0.27401837928482564</v>
      </c>
      <c r="F43" s="16"/>
      <c r="G43" s="16">
        <f>TBLREKAPKOMISIJULI[[#This Row],[TOTAL KOMISI]]-TBLREKAPKOMISIJULI[[#This Row],[TARIK KOMISI]]</f>
        <v>0.27401837928482564</v>
      </c>
      <c r="I43" s="283"/>
      <c r="J43" s="278"/>
      <c r="K43" s="278"/>
    </row>
    <row r="44" spans="1:11" x14ac:dyDescent="0.3">
      <c r="A44" s="4" t="s">
        <v>415</v>
      </c>
      <c r="B44" s="16">
        <f>SUMIF(TBLPRODUKKELUARJULI[NAMA MITRA],TBLREKAPKOMISIJULI[[#This Row],[NAMA MITRA]],TBLPRODUKKELUARJULI[TAKE HOME KOMISI UTAMA])</f>
        <v>0</v>
      </c>
      <c r="C44" s="16">
        <f>SUMIF(TBLKOMISICAMPURANJULI[NAMA MITRA],TBLREKAPKOMISIJULI[[#This Row],[NAMA MITRA]],TBLKOMISICAMPURANJULI[TOTAL KOMISI])</f>
        <v>0</v>
      </c>
      <c r="D44" s="16">
        <f t="shared" si="0"/>
        <v>-0.25386420598624682</v>
      </c>
      <c r="E44" s="16">
        <f>TBLREKAPKOMISIJULI[[#This Row],[KOMISI UTAMA]]+TBLREKAPKOMISIJULI[[#This Row],[KOMISI LAIN LAIN]]+TBLREKAPKOMISIJULI[[#This Row],[SISA KOMISI]]</f>
        <v>-0.25386420598624682</v>
      </c>
      <c r="F44" s="16"/>
      <c r="G44" s="16">
        <f>TBLREKAPKOMISIJULI[[#This Row],[TOTAL KOMISI]]-TBLREKAPKOMISIJULI[[#This Row],[TARIK KOMISI]]</f>
        <v>-0.25386420598624682</v>
      </c>
      <c r="I44" s="283"/>
      <c r="J44" s="278"/>
      <c r="K44" s="278"/>
    </row>
    <row r="45" spans="1:11" x14ac:dyDescent="0.3">
      <c r="A45" s="4" t="s">
        <v>438</v>
      </c>
      <c r="B45" s="16">
        <f>SUMIF(TBLPRODUKKELUARJULI[NAMA MITRA],TBLREKAPKOMISIJULI[[#This Row],[NAMA MITRA]],TBLPRODUKKELUARJULI[TAKE HOME KOMISI UTAMA])</f>
        <v>0</v>
      </c>
      <c r="C45" s="16">
        <f>SUMIF(TBLKOMISICAMPURANJULI[NAMA MITRA],TBLREKAPKOMISIJULI[[#This Row],[NAMA MITRA]],TBLKOMISICAMPURANJULI[TOTAL KOMISI])</f>
        <v>0</v>
      </c>
      <c r="D45" s="16">
        <f t="shared" si="0"/>
        <v>-0.45035543405720091</v>
      </c>
      <c r="E45" s="16">
        <f>TBLREKAPKOMISIJULI[[#This Row],[KOMISI UTAMA]]+TBLREKAPKOMISIJULI[[#This Row],[KOMISI LAIN LAIN]]+TBLREKAPKOMISIJULI[[#This Row],[SISA KOMISI]]</f>
        <v>-0.45035543405720091</v>
      </c>
      <c r="F45" s="16"/>
      <c r="G45" s="16">
        <f>TBLREKAPKOMISIJULI[[#This Row],[TOTAL KOMISI]]-TBLREKAPKOMISIJULI[[#This Row],[TARIK KOMISI]]</f>
        <v>-0.45035543405720091</v>
      </c>
      <c r="I45" s="283"/>
      <c r="J45" s="278"/>
      <c r="K45" s="278"/>
    </row>
    <row r="46" spans="1:11" x14ac:dyDescent="0.3">
      <c r="A46" s="4" t="s">
        <v>449</v>
      </c>
      <c r="B46" s="16">
        <f>SUMIF(TBLPRODUKKELUARJULI[NAMA MITRA],TBLREKAPKOMISIJULI[[#This Row],[NAMA MITRA]],TBLPRODUKKELUARJULI[TAKE HOME KOMISI UTAMA])</f>
        <v>22052.111004784689</v>
      </c>
      <c r="C46" s="16">
        <f>SUMIF(TBLKOMISICAMPURANJULI[NAMA MITRA],TBLREKAPKOMISIJULI[[#This Row],[NAMA MITRA]],TBLKOMISICAMPURANJULI[TOTAL KOMISI])</f>
        <v>4500</v>
      </c>
      <c r="D46" s="16">
        <f t="shared" si="0"/>
        <v>0.12496867167646997</v>
      </c>
      <c r="E46" s="16">
        <f>TBLREKAPKOMISIJULI[[#This Row],[KOMISI UTAMA]]+TBLREKAPKOMISIJULI[[#This Row],[KOMISI LAIN LAIN]]+TBLREKAPKOMISIJULI[[#This Row],[SISA KOMISI]]</f>
        <v>26552.235973456365</v>
      </c>
      <c r="F46" s="16">
        <f>20000</f>
        <v>20000</v>
      </c>
      <c r="G46" s="16">
        <f>TBLREKAPKOMISIJULI[[#This Row],[TOTAL KOMISI]]-TBLREKAPKOMISIJULI[[#This Row],[TARIK KOMISI]]</f>
        <v>6552.2359734563652</v>
      </c>
      <c r="I46" s="283"/>
      <c r="J46" s="278"/>
      <c r="K46" s="278"/>
    </row>
    <row r="47" spans="1:11" ht="15" thickBot="1" x14ac:dyDescent="0.35">
      <c r="A47" s="4" t="s">
        <v>467</v>
      </c>
      <c r="B47" s="16">
        <f>SUMIF(TBLPRODUKKELUARJULI[NAMA MITRA],TBLREKAPKOMISIJULI[[#This Row],[NAMA MITRA]],TBLPRODUKKELUARJULI[TAKE HOME KOMISI UTAMA])</f>
        <v>55456.736842105245</v>
      </c>
      <c r="C47" s="16">
        <f>SUMIF(TBLKOMISICAMPURANJULI[NAMA MITRA],TBLREKAPKOMISIJULI[[#This Row],[NAMA MITRA]],TBLKOMISICAMPURANJULI[TOTAL KOMISI])</f>
        <v>0</v>
      </c>
      <c r="D47" s="16">
        <f t="shared" si="0"/>
        <v>0.38297789927219128</v>
      </c>
      <c r="E47" s="16">
        <f>TBLREKAPKOMISIJULI[[#This Row],[KOMISI UTAMA]]+TBLREKAPKOMISIJULI[[#This Row],[KOMISI LAIN LAIN]]+TBLREKAPKOMISIJULI[[#This Row],[SISA KOMISI]]</f>
        <v>55457.119820004518</v>
      </c>
      <c r="F47" s="16">
        <f>14158+7389+3694+4926+7389+4933+8028+2470</f>
        <v>52987</v>
      </c>
      <c r="G47" s="16">
        <f>TBLREKAPKOMISIJULI[[#This Row],[TOTAL KOMISI]]-TBLREKAPKOMISIJULI[[#This Row],[TARIK KOMISI]]</f>
        <v>2470.1198200045183</v>
      </c>
      <c r="I47" s="284"/>
      <c r="J47" s="285"/>
      <c r="K47" s="285"/>
    </row>
    <row r="48" spans="1:11" ht="15" customHeight="1" x14ac:dyDescent="0.3">
      <c r="A48" s="4" t="s">
        <v>530</v>
      </c>
      <c r="B48" s="16">
        <f>SUMIF(TBLPRODUKKELUARJULI[NAMA MITRA],TBLREKAPKOMISIJULI[[#This Row],[NAMA MITRA]],TBLPRODUKKELUARJULI[TAKE HOME KOMISI UTAMA])</f>
        <v>0</v>
      </c>
      <c r="C48" s="16">
        <f>SUMIF(TBLKOMISICAMPURANJULI[NAMA MITRA],TBLREKAPKOMISIJULI[[#This Row],[NAMA MITRA]],TBLKOMISICAMPURANJULI[TOTAL KOMISI])</f>
        <v>0</v>
      </c>
      <c r="D48" s="16">
        <f t="shared" si="0"/>
        <v>-0.18771929824561084</v>
      </c>
      <c r="E48" s="16">
        <f>TBLREKAPKOMISIJULI[[#This Row],[KOMISI UTAMA]]+TBLREKAPKOMISIJULI[[#This Row],[KOMISI LAIN LAIN]]+TBLREKAPKOMISIJULI[[#This Row],[SISA KOMISI]]</f>
        <v>-0.18771929824561084</v>
      </c>
      <c r="F48" s="16"/>
      <c r="G48" s="16">
        <f>TBLREKAPKOMISIJULI[[#This Row],[TOTAL KOMISI]]-TBLREKAPKOMISIJULI[[#This Row],[TARIK KOMISI]]</f>
        <v>-0.18771929824561084</v>
      </c>
    </row>
  </sheetData>
  <mergeCells count="7">
    <mergeCell ref="A1:F1"/>
    <mergeCell ref="I4:I22"/>
    <mergeCell ref="J4:J22"/>
    <mergeCell ref="K4:K22"/>
    <mergeCell ref="I29:I47"/>
    <mergeCell ref="J29:J47"/>
    <mergeCell ref="K29:K47"/>
  </mergeCells>
  <dataValidations count="1">
    <dataValidation type="list" allowBlank="1" showInputMessage="1" showErrorMessage="1" sqref="A4:A23 A29:A48" xr:uid="{00000000-0002-0000-0B00-000000000000}">
      <formula1>MITRA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K19"/>
  <sheetViews>
    <sheetView tabSelected="1" zoomScale="70" zoomScaleNormal="70" workbookViewId="0">
      <selection activeCell="M7" sqref="M7"/>
    </sheetView>
  </sheetViews>
  <sheetFormatPr defaultRowHeight="14.4" x14ac:dyDescent="0.3"/>
  <cols>
    <col min="1" max="1" width="43.109375" customWidth="1"/>
    <col min="2" max="3" width="24" style="2" customWidth="1"/>
    <col min="4" max="4" width="15.6640625" customWidth="1"/>
    <col min="5" max="5" width="13.5546875" customWidth="1"/>
  </cols>
  <sheetData>
    <row r="1" spans="1:11" x14ac:dyDescent="0.3">
      <c r="A1" t="s">
        <v>128</v>
      </c>
    </row>
    <row r="2" spans="1:11" ht="15" thickBot="1" x14ac:dyDescent="0.35"/>
    <row r="3" spans="1:11" ht="15" thickBot="1" x14ac:dyDescent="0.35">
      <c r="A3" s="45" t="s">
        <v>129</v>
      </c>
      <c r="B3" s="47" t="s">
        <v>130</v>
      </c>
      <c r="C3" s="10"/>
      <c r="D3" s="46"/>
      <c r="E3" s="10"/>
      <c r="H3" s="2"/>
    </row>
    <row r="4" spans="1:11" ht="15" thickBot="1" x14ac:dyDescent="0.35">
      <c r="A4" s="61" t="s">
        <v>525</v>
      </c>
      <c r="B4" s="56">
        <f>SUM(TBLNILAIPERALATAN[NILAI])</f>
        <v>11212000</v>
      </c>
      <c r="C4" s="293">
        <f>SUM(B4,B5,B6,B7)</f>
        <v>13236899.895877767</v>
      </c>
      <c r="D4" s="46"/>
      <c r="E4" s="10"/>
      <c r="G4" s="46"/>
      <c r="H4" s="2"/>
    </row>
    <row r="5" spans="1:11" ht="15" thickBot="1" x14ac:dyDescent="0.35">
      <c r="A5" s="62" t="s">
        <v>60</v>
      </c>
      <c r="B5" s="57">
        <f>SUM(TBLREKAPBAHAN[NILAI SISA STOK])</f>
        <v>1633608.8337320574</v>
      </c>
      <c r="C5" s="294"/>
      <c r="D5" s="286">
        <f>SUM(B5,B6)</f>
        <v>1900000.0348029225</v>
      </c>
      <c r="E5" s="52"/>
      <c r="F5" s="46"/>
      <c r="G5" s="46"/>
      <c r="H5" s="2"/>
    </row>
    <row r="6" spans="1:11" ht="15" thickBot="1" x14ac:dyDescent="0.35">
      <c r="A6" s="54" t="s">
        <v>132</v>
      </c>
      <c r="B6" s="58">
        <f>'KAS PERPUTARAN MODAL'!L87</f>
        <v>266391.20107086515</v>
      </c>
      <c r="C6" s="294"/>
      <c r="D6" s="287"/>
      <c r="E6" s="288">
        <f>SUM(B6,B7)</f>
        <v>391291.06214570999</v>
      </c>
      <c r="F6" s="290">
        <f>SUM(B6:B8)</f>
        <v>427635.84535126173</v>
      </c>
      <c r="G6" s="46"/>
      <c r="I6" s="2"/>
    </row>
    <row r="7" spans="1:11" ht="15" thickBot="1" x14ac:dyDescent="0.35">
      <c r="A7" s="54" t="s">
        <v>131</v>
      </c>
      <c r="B7" s="59">
        <f>'KAS TOKO'!J134</f>
        <v>124899.86107484484</v>
      </c>
      <c r="C7" s="295"/>
      <c r="D7" s="46"/>
      <c r="E7" s="289"/>
      <c r="F7" s="291"/>
      <c r="H7" s="198" t="s">
        <v>573</v>
      </c>
      <c r="I7" s="199"/>
      <c r="J7" s="199"/>
      <c r="K7" s="198"/>
    </row>
    <row r="8" spans="1:11" ht="15" thickBot="1" x14ac:dyDescent="0.35">
      <c r="A8" s="55" t="s">
        <v>155</v>
      </c>
      <c r="B8" s="60">
        <f>SUM(TBLREKAPKOMISIJULI[SISA AKHIR KOMISI])</f>
        <v>36344.783205551757</v>
      </c>
      <c r="C8" s="5"/>
      <c r="E8" s="46"/>
      <c r="F8" s="292"/>
    </row>
    <row r="10" spans="1:11" x14ac:dyDescent="0.3">
      <c r="H10" s="2"/>
    </row>
    <row r="11" spans="1:11" x14ac:dyDescent="0.3">
      <c r="D11" s="2"/>
      <c r="E11" s="2"/>
      <c r="F11" s="2"/>
    </row>
    <row r="12" spans="1:11" x14ac:dyDescent="0.3">
      <c r="H12" s="2"/>
      <c r="J12" s="2"/>
    </row>
    <row r="13" spans="1:11" x14ac:dyDescent="0.3">
      <c r="F13" s="2"/>
    </row>
    <row r="14" spans="1:11" x14ac:dyDescent="0.3">
      <c r="F14" s="2"/>
      <c r="H14" s="2"/>
    </row>
    <row r="15" spans="1:11" x14ac:dyDescent="0.3">
      <c r="D15" s="2"/>
      <c r="E15" s="2"/>
    </row>
    <row r="18" spans="4:7" x14ac:dyDescent="0.3">
      <c r="F18" s="2"/>
    </row>
    <row r="19" spans="4:7" x14ac:dyDescent="0.3">
      <c r="D19" s="53"/>
      <c r="E19" s="53"/>
      <c r="F19" s="53"/>
      <c r="G19" s="53"/>
    </row>
  </sheetData>
  <mergeCells count="4">
    <mergeCell ref="D5:D6"/>
    <mergeCell ref="E6:E7"/>
    <mergeCell ref="F6:F8"/>
    <mergeCell ref="C4:C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59999389629810485"/>
  </sheetPr>
  <dimension ref="A3:G47"/>
  <sheetViews>
    <sheetView topLeftCell="A12" workbookViewId="0">
      <selection activeCell="B27" sqref="B27"/>
    </sheetView>
  </sheetViews>
  <sheetFormatPr defaultRowHeight="14.4" x14ac:dyDescent="0.3"/>
  <cols>
    <col min="1" max="1" width="12" style="4" customWidth="1"/>
    <col min="2" max="2" width="28.44140625" customWidth="1"/>
    <col min="3" max="3" width="60.5546875" customWidth="1"/>
    <col min="4" max="5" width="14.6640625" customWidth="1"/>
    <col min="6" max="6" width="28" customWidth="1"/>
    <col min="7" max="7" width="22" customWidth="1"/>
  </cols>
  <sheetData>
    <row r="3" spans="1:6" ht="33.75" customHeight="1" x14ac:dyDescent="0.3">
      <c r="A3" s="1" t="s">
        <v>498</v>
      </c>
      <c r="B3" s="1" t="s">
        <v>497</v>
      </c>
      <c r="C3" s="1" t="s">
        <v>513</v>
      </c>
      <c r="D3" s="1" t="s">
        <v>501</v>
      </c>
      <c r="E3" s="1" t="s">
        <v>502</v>
      </c>
      <c r="F3" s="1" t="s">
        <v>130</v>
      </c>
    </row>
    <row r="4" spans="1:6" x14ac:dyDescent="0.3">
      <c r="A4" s="1">
        <v>1</v>
      </c>
      <c r="B4" s="1" t="s">
        <v>499</v>
      </c>
      <c r="C4" s="1" t="s">
        <v>483</v>
      </c>
      <c r="D4" s="1"/>
      <c r="E4" s="147" t="s">
        <v>505</v>
      </c>
      <c r="F4" s="10">
        <v>275000</v>
      </c>
    </row>
    <row r="5" spans="1:6" x14ac:dyDescent="0.3">
      <c r="A5" s="1">
        <v>2</v>
      </c>
      <c r="B5" s="1" t="s">
        <v>516</v>
      </c>
      <c r="C5" s="1" t="s">
        <v>483</v>
      </c>
      <c r="D5" s="1"/>
      <c r="E5" s="147" t="s">
        <v>505</v>
      </c>
      <c r="F5" s="10">
        <v>150000</v>
      </c>
    </row>
    <row r="6" spans="1:6" x14ac:dyDescent="0.3">
      <c r="A6" s="1">
        <v>3</v>
      </c>
      <c r="B6" s="1" t="s">
        <v>500</v>
      </c>
      <c r="C6" s="1" t="s">
        <v>483</v>
      </c>
      <c r="D6" s="1"/>
      <c r="E6" s="147" t="s">
        <v>505</v>
      </c>
      <c r="F6" s="10">
        <v>300000</v>
      </c>
    </row>
    <row r="7" spans="1:6" x14ac:dyDescent="0.3">
      <c r="A7" s="1">
        <v>4</v>
      </c>
      <c r="B7" s="1" t="s">
        <v>503</v>
      </c>
      <c r="C7" s="1" t="s">
        <v>483</v>
      </c>
      <c r="D7" s="1"/>
      <c r="E7" s="147" t="s">
        <v>505</v>
      </c>
      <c r="F7" s="10">
        <v>60000</v>
      </c>
    </row>
    <row r="8" spans="1:6" x14ac:dyDescent="0.3">
      <c r="A8" s="113">
        <v>5</v>
      </c>
      <c r="B8" s="113" t="s">
        <v>504</v>
      </c>
      <c r="C8" s="113" t="s">
        <v>514</v>
      </c>
      <c r="D8" s="113"/>
      <c r="E8" s="217" t="s">
        <v>505</v>
      </c>
      <c r="F8" s="216">
        <v>700000</v>
      </c>
    </row>
    <row r="9" spans="1:6" x14ac:dyDescent="0.3">
      <c r="A9" s="1">
        <v>6</v>
      </c>
      <c r="B9" s="1" t="s">
        <v>506</v>
      </c>
      <c r="C9" s="1" t="s">
        <v>483</v>
      </c>
      <c r="D9" s="1" t="s">
        <v>505</v>
      </c>
      <c r="E9" s="1"/>
      <c r="F9" s="10">
        <v>300000</v>
      </c>
    </row>
    <row r="10" spans="1:6" x14ac:dyDescent="0.3">
      <c r="A10" s="1">
        <v>7</v>
      </c>
      <c r="B10" s="1" t="s">
        <v>507</v>
      </c>
      <c r="C10" s="1" t="s">
        <v>483</v>
      </c>
      <c r="D10" s="1"/>
      <c r="E10" s="1" t="s">
        <v>505</v>
      </c>
      <c r="F10" s="10">
        <v>200000</v>
      </c>
    </row>
    <row r="11" spans="1:6" x14ac:dyDescent="0.3">
      <c r="A11" s="113">
        <v>8</v>
      </c>
      <c r="B11" s="113" t="s">
        <v>508</v>
      </c>
      <c r="C11" s="113" t="s">
        <v>514</v>
      </c>
      <c r="D11" s="113"/>
      <c r="E11" s="113" t="s">
        <v>505</v>
      </c>
      <c r="F11" s="216">
        <v>8000000</v>
      </c>
    </row>
    <row r="12" spans="1:6" x14ac:dyDescent="0.3">
      <c r="A12" s="1">
        <v>9</v>
      </c>
      <c r="B12" s="1" t="s">
        <v>509</v>
      </c>
      <c r="C12" s="1" t="s">
        <v>483</v>
      </c>
      <c r="D12" s="1"/>
      <c r="E12" s="1" t="s">
        <v>505</v>
      </c>
      <c r="F12" s="10">
        <v>100000</v>
      </c>
    </row>
    <row r="13" spans="1:6" x14ac:dyDescent="0.3">
      <c r="A13" s="1">
        <v>10</v>
      </c>
      <c r="B13" s="1" t="s">
        <v>510</v>
      </c>
      <c r="C13" s="1" t="s">
        <v>483</v>
      </c>
      <c r="D13" s="1"/>
      <c r="E13" s="1" t="s">
        <v>505</v>
      </c>
      <c r="F13" s="10">
        <v>250000</v>
      </c>
    </row>
    <row r="14" spans="1:6" x14ac:dyDescent="0.3">
      <c r="A14" s="1">
        <v>11</v>
      </c>
      <c r="B14" s="1" t="s">
        <v>511</v>
      </c>
      <c r="C14" s="1" t="s">
        <v>483</v>
      </c>
      <c r="D14" s="1"/>
      <c r="E14" s="1" t="s">
        <v>505</v>
      </c>
      <c r="F14" s="10">
        <v>150000</v>
      </c>
    </row>
    <row r="15" spans="1:6" x14ac:dyDescent="0.3">
      <c r="A15" s="1">
        <v>12</v>
      </c>
      <c r="B15" s="1" t="s">
        <v>512</v>
      </c>
      <c r="C15" s="1" t="s">
        <v>483</v>
      </c>
      <c r="D15" s="1" t="s">
        <v>505</v>
      </c>
      <c r="E15" s="1"/>
      <c r="F15" s="10">
        <v>25000</v>
      </c>
    </row>
    <row r="16" spans="1:6" x14ac:dyDescent="0.3">
      <c r="A16" s="1">
        <v>13</v>
      </c>
      <c r="B16" s="1" t="s">
        <v>515</v>
      </c>
      <c r="C16" s="1" t="s">
        <v>483</v>
      </c>
      <c r="D16" s="1"/>
      <c r="E16" s="1" t="s">
        <v>505</v>
      </c>
      <c r="F16" s="10">
        <v>279000</v>
      </c>
    </row>
    <row r="17" spans="1:6" x14ac:dyDescent="0.3">
      <c r="A17" s="1">
        <v>14</v>
      </c>
      <c r="B17" s="1" t="s">
        <v>518</v>
      </c>
      <c r="C17" s="1" t="s">
        <v>483</v>
      </c>
      <c r="D17" s="1"/>
      <c r="E17" s="1" t="s">
        <v>505</v>
      </c>
      <c r="F17" s="10">
        <v>50000</v>
      </c>
    </row>
    <row r="18" spans="1:6" x14ac:dyDescent="0.3">
      <c r="A18" s="1">
        <v>15</v>
      </c>
      <c r="B18" s="1" t="s">
        <v>519</v>
      </c>
      <c r="C18" s="1" t="s">
        <v>483</v>
      </c>
      <c r="D18" s="1"/>
      <c r="E18" s="1" t="s">
        <v>505</v>
      </c>
      <c r="F18" s="10">
        <v>150000</v>
      </c>
    </row>
    <row r="19" spans="1:6" x14ac:dyDescent="0.3">
      <c r="A19" s="1">
        <v>16</v>
      </c>
      <c r="B19" s="1" t="s">
        <v>531</v>
      </c>
      <c r="C19" s="1" t="s">
        <v>483</v>
      </c>
      <c r="D19" s="1" t="s">
        <v>505</v>
      </c>
      <c r="E19" s="1"/>
      <c r="F19" s="10">
        <v>30000</v>
      </c>
    </row>
    <row r="20" spans="1:6" x14ac:dyDescent="0.3">
      <c r="A20" s="1">
        <v>17</v>
      </c>
      <c r="B20" s="1" t="s">
        <v>546</v>
      </c>
      <c r="C20" s="1" t="s">
        <v>483</v>
      </c>
      <c r="D20" s="1" t="s">
        <v>505</v>
      </c>
      <c r="E20" s="1"/>
      <c r="F20" s="10">
        <v>57000</v>
      </c>
    </row>
    <row r="21" spans="1:6" x14ac:dyDescent="0.3">
      <c r="A21" s="1">
        <v>18</v>
      </c>
      <c r="B21" s="1" t="s">
        <v>547</v>
      </c>
      <c r="C21" s="1" t="s">
        <v>483</v>
      </c>
      <c r="D21" s="1"/>
      <c r="E21" s="1" t="s">
        <v>505</v>
      </c>
      <c r="F21" s="10">
        <v>70000</v>
      </c>
    </row>
    <row r="22" spans="1:6" x14ac:dyDescent="0.3">
      <c r="A22" s="1">
        <v>19</v>
      </c>
      <c r="B22" s="1" t="s">
        <v>585</v>
      </c>
      <c r="C22" s="1" t="s">
        <v>483</v>
      </c>
      <c r="D22" s="1" t="s">
        <v>505</v>
      </c>
      <c r="E22" s="1"/>
      <c r="F22" s="10">
        <v>8000</v>
      </c>
    </row>
    <row r="23" spans="1:6" x14ac:dyDescent="0.3">
      <c r="A23" s="1">
        <v>20</v>
      </c>
      <c r="B23" s="1" t="s">
        <v>586</v>
      </c>
      <c r="C23" s="1" t="s">
        <v>483</v>
      </c>
      <c r="D23" s="1" t="s">
        <v>505</v>
      </c>
      <c r="E23" s="1"/>
      <c r="F23" s="10">
        <v>4500</v>
      </c>
    </row>
    <row r="24" spans="1:6" x14ac:dyDescent="0.3">
      <c r="A24" s="1">
        <v>21</v>
      </c>
      <c r="B24" s="1" t="s">
        <v>587</v>
      </c>
      <c r="C24" s="1" t="s">
        <v>483</v>
      </c>
      <c r="D24" s="1" t="s">
        <v>505</v>
      </c>
      <c r="E24" s="1"/>
      <c r="F24" s="10">
        <v>7000</v>
      </c>
    </row>
    <row r="25" spans="1:6" x14ac:dyDescent="0.3">
      <c r="A25" s="1">
        <v>22</v>
      </c>
      <c r="B25" s="1" t="s">
        <v>588</v>
      </c>
      <c r="C25" s="1" t="s">
        <v>483</v>
      </c>
      <c r="D25" s="1" t="s">
        <v>505</v>
      </c>
      <c r="E25" s="1"/>
      <c r="F25" s="10">
        <v>7500</v>
      </c>
    </row>
    <row r="26" spans="1:6" x14ac:dyDescent="0.3">
      <c r="A26" s="1">
        <v>23</v>
      </c>
      <c r="B26" s="1" t="s">
        <v>610</v>
      </c>
      <c r="C26" s="1" t="s">
        <v>483</v>
      </c>
      <c r="D26" s="1"/>
      <c r="E26" s="1" t="s">
        <v>505</v>
      </c>
      <c r="F26" s="10">
        <f>22000+17000</f>
        <v>39000</v>
      </c>
    </row>
    <row r="27" spans="1:6" x14ac:dyDescent="0.3">
      <c r="A27" s="1">
        <v>24</v>
      </c>
      <c r="B27" s="1"/>
      <c r="C27" s="1"/>
      <c r="D27" s="1"/>
      <c r="E27" s="1"/>
      <c r="F27" s="10"/>
    </row>
    <row r="28" spans="1:6" x14ac:dyDescent="0.3">
      <c r="A28" s="1"/>
      <c r="B28" s="1"/>
      <c r="C28" s="1"/>
      <c r="D28" s="1"/>
      <c r="E28" s="1"/>
      <c r="F28" s="10"/>
    </row>
    <row r="29" spans="1:6" x14ac:dyDescent="0.3">
      <c r="A29" s="1"/>
      <c r="B29" s="1"/>
      <c r="C29" s="1"/>
      <c r="D29" s="1"/>
      <c r="E29" s="1"/>
      <c r="F29" s="10"/>
    </row>
    <row r="30" spans="1:6" x14ac:dyDescent="0.3">
      <c r="A30" s="1"/>
      <c r="B30" s="1"/>
      <c r="C30" s="1"/>
      <c r="D30" s="1"/>
      <c r="E30" s="1"/>
      <c r="F30" s="10"/>
    </row>
    <row r="31" spans="1:6" x14ac:dyDescent="0.3">
      <c r="A31" s="1"/>
      <c r="B31" s="1"/>
      <c r="C31" s="1"/>
      <c r="D31" s="1"/>
      <c r="E31" s="1"/>
      <c r="F31" s="10">
        <f>SUM(F4:F30)</f>
        <v>11212000</v>
      </c>
    </row>
    <row r="37" spans="1:7" ht="15" thickBot="1" x14ac:dyDescent="0.35"/>
    <row r="38" spans="1:7" ht="15" thickBot="1" x14ac:dyDescent="0.35">
      <c r="A38" s="1" t="s">
        <v>109</v>
      </c>
      <c r="B38" s="1" t="s">
        <v>1</v>
      </c>
      <c r="C38" s="1" t="s">
        <v>542</v>
      </c>
      <c r="D38" s="1" t="s">
        <v>135</v>
      </c>
      <c r="E38" s="1" t="s">
        <v>136</v>
      </c>
      <c r="G38" s="171" t="s">
        <v>544</v>
      </c>
    </row>
    <row r="39" spans="1:7" x14ac:dyDescent="0.3">
      <c r="A39" s="1">
        <v>2025</v>
      </c>
      <c r="B39" s="170">
        <v>45875</v>
      </c>
      <c r="C39" s="169" t="s">
        <v>526</v>
      </c>
      <c r="D39" s="9">
        <f>'KAS TOKO'!H16</f>
        <v>0</v>
      </c>
      <c r="E39" s="172"/>
      <c r="G39" s="296">
        <f>TBLNILAIPIUTANG[[#Totals],[MASUK]]-TBLNILAIPIUTANG[[#Totals],[KELUAR]]</f>
        <v>0</v>
      </c>
    </row>
    <row r="40" spans="1:7" x14ac:dyDescent="0.3">
      <c r="A40" s="1">
        <v>2025</v>
      </c>
      <c r="B40" s="170">
        <v>45890</v>
      </c>
      <c r="C40" s="169" t="s">
        <v>543</v>
      </c>
      <c r="D40" s="9"/>
      <c r="E40" s="172">
        <f>'KAS TOKO'!I66</f>
        <v>0</v>
      </c>
      <c r="G40" s="297"/>
    </row>
    <row r="41" spans="1:7" x14ac:dyDescent="0.3">
      <c r="A41" s="1">
        <v>2025</v>
      </c>
      <c r="B41" s="170">
        <v>45890</v>
      </c>
      <c r="C41" t="s">
        <v>545</v>
      </c>
      <c r="D41" s="10">
        <f>'KAS TOKO'!H67</f>
        <v>0</v>
      </c>
      <c r="E41" s="10"/>
      <c r="G41" s="297"/>
    </row>
    <row r="42" spans="1:7" x14ac:dyDescent="0.3">
      <c r="A42" s="1"/>
      <c r="B42" s="1"/>
      <c r="C42" s="169"/>
      <c r="D42" s="9"/>
      <c r="E42" s="172"/>
      <c r="G42" s="297"/>
    </row>
    <row r="43" spans="1:7" x14ac:dyDescent="0.3">
      <c r="A43" s="1"/>
      <c r="B43" s="1"/>
      <c r="C43" s="169"/>
      <c r="D43" s="9"/>
      <c r="E43" s="172"/>
      <c r="G43" s="297"/>
    </row>
    <row r="44" spans="1:7" x14ac:dyDescent="0.3">
      <c r="A44" s="1"/>
      <c r="B44" s="1"/>
      <c r="C44" s="169"/>
      <c r="D44" s="9"/>
      <c r="E44" s="9"/>
      <c r="G44" s="297"/>
    </row>
    <row r="45" spans="1:7" x14ac:dyDescent="0.3">
      <c r="A45" s="1"/>
      <c r="B45" s="1"/>
      <c r="C45" s="169"/>
      <c r="D45" s="9"/>
      <c r="E45" s="9"/>
      <c r="G45" s="297"/>
    </row>
    <row r="46" spans="1:7" ht="15" thickBot="1" x14ac:dyDescent="0.35">
      <c r="A46" s="1"/>
      <c r="B46" s="1"/>
      <c r="C46" s="1"/>
      <c r="D46" s="9"/>
      <c r="E46" s="9"/>
      <c r="G46" s="298"/>
    </row>
    <row r="47" spans="1:7" x14ac:dyDescent="0.3">
      <c r="A47" s="1"/>
      <c r="B47" s="1"/>
      <c r="C47" s="1"/>
      <c r="D47" s="9">
        <f>SUM(TBLNILAIPIUTANG[MASUK])</f>
        <v>0</v>
      </c>
      <c r="E47" s="9">
        <f>SUM(TBLNILAIPIUTANG[KELUAR])</f>
        <v>0</v>
      </c>
    </row>
  </sheetData>
  <mergeCells count="1">
    <mergeCell ref="G39:G46"/>
  </mergeCell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23"/>
  <sheetViews>
    <sheetView topLeftCell="A6" workbookViewId="0">
      <selection activeCell="C11" sqref="C11:C22"/>
    </sheetView>
  </sheetViews>
  <sheetFormatPr defaultRowHeight="14.4" x14ac:dyDescent="0.3"/>
  <cols>
    <col min="1" max="1" width="31.44140625" style="2" customWidth="1"/>
    <col min="2" max="2" width="31.44140625" style="10" customWidth="1"/>
    <col min="3" max="7" width="15.44140625" style="10" customWidth="1"/>
    <col min="8" max="9" width="15.44140625" style="1" customWidth="1"/>
  </cols>
  <sheetData>
    <row r="2" spans="1:8" x14ac:dyDescent="0.3">
      <c r="A2" s="299" t="s">
        <v>554</v>
      </c>
      <c r="B2" s="299"/>
      <c r="C2" s="299"/>
      <c r="D2" s="299"/>
      <c r="E2" s="299"/>
      <c r="F2" s="299"/>
      <c r="G2" s="299"/>
      <c r="H2" s="299"/>
    </row>
    <row r="3" spans="1:8" ht="15" thickBot="1" x14ac:dyDescent="0.35"/>
    <row r="4" spans="1:8" ht="45.75" customHeight="1" thickBot="1" x14ac:dyDescent="0.35">
      <c r="A4" s="179" t="s">
        <v>548</v>
      </c>
      <c r="B4" s="181" t="s">
        <v>555</v>
      </c>
      <c r="C4" s="175" t="s">
        <v>549</v>
      </c>
      <c r="D4" s="175" t="s">
        <v>550</v>
      </c>
      <c r="E4" s="175" t="s">
        <v>553</v>
      </c>
      <c r="F4" s="175" t="s">
        <v>551</v>
      </c>
      <c r="G4" s="175" t="s">
        <v>565</v>
      </c>
      <c r="H4" s="175" t="s">
        <v>552</v>
      </c>
    </row>
    <row r="5" spans="1:8" ht="102" customHeight="1" thickBot="1" x14ac:dyDescent="0.35">
      <c r="A5" s="180">
        <v>800000</v>
      </c>
      <c r="B5" s="182">
        <f>26*A5</f>
        <v>20800000</v>
      </c>
      <c r="C5" s="176">
        <f>71%*B5</f>
        <v>14768000</v>
      </c>
      <c r="D5" s="176">
        <f>17%*B5</f>
        <v>3536000.0000000005</v>
      </c>
      <c r="E5" s="176">
        <f>3%*B5</f>
        <v>624000</v>
      </c>
      <c r="F5" s="176">
        <f>6%*B5</f>
        <v>1248000</v>
      </c>
      <c r="G5" s="189">
        <f>2%*B5</f>
        <v>416000</v>
      </c>
      <c r="H5" s="178">
        <f>1%*B5</f>
        <v>208000</v>
      </c>
    </row>
    <row r="9" spans="1:8" ht="15" thickBot="1" x14ac:dyDescent="0.35"/>
    <row r="10" spans="1:8" ht="47.25" customHeight="1" thickBot="1" x14ac:dyDescent="0.35">
      <c r="A10" s="183" t="s">
        <v>563</v>
      </c>
      <c r="B10" s="184" t="s">
        <v>564</v>
      </c>
      <c r="C10" s="179" t="s">
        <v>562</v>
      </c>
    </row>
    <row r="11" spans="1:8" x14ac:dyDescent="0.3">
      <c r="A11" s="185" t="s">
        <v>556</v>
      </c>
      <c r="B11" s="186">
        <v>2000000</v>
      </c>
      <c r="C11" s="300">
        <f>B23/G5</f>
        <v>24.03846153846154</v>
      </c>
    </row>
    <row r="12" spans="1:8" x14ac:dyDescent="0.3">
      <c r="A12" s="185" t="s">
        <v>557</v>
      </c>
      <c r="B12" s="186">
        <v>2500000</v>
      </c>
      <c r="C12" s="301"/>
    </row>
    <row r="13" spans="1:8" x14ac:dyDescent="0.3">
      <c r="A13" s="185" t="s">
        <v>499</v>
      </c>
      <c r="B13" s="186">
        <v>900000</v>
      </c>
      <c r="C13" s="301"/>
    </row>
    <row r="14" spans="1:8" x14ac:dyDescent="0.3">
      <c r="A14" s="185" t="s">
        <v>558</v>
      </c>
      <c r="B14" s="186">
        <v>600000</v>
      </c>
      <c r="C14" s="301"/>
    </row>
    <row r="15" spans="1:8" x14ac:dyDescent="0.3">
      <c r="A15" s="185" t="s">
        <v>559</v>
      </c>
      <c r="B15" s="186">
        <v>600000</v>
      </c>
      <c r="C15" s="301"/>
    </row>
    <row r="16" spans="1:8" x14ac:dyDescent="0.3">
      <c r="A16" s="185" t="s">
        <v>560</v>
      </c>
      <c r="B16" s="186">
        <v>400000</v>
      </c>
      <c r="C16" s="301"/>
    </row>
    <row r="17" spans="1:3" x14ac:dyDescent="0.3">
      <c r="A17" s="185" t="s">
        <v>566</v>
      </c>
      <c r="B17" s="186">
        <v>3000000</v>
      </c>
      <c r="C17" s="301"/>
    </row>
    <row r="18" spans="1:3" x14ac:dyDescent="0.3">
      <c r="A18" s="185" t="s">
        <v>561</v>
      </c>
      <c r="B18" s="186">
        <f>SUM(TBLNILAIPIUTANG[[#Totals],[MASUK]]-TBLNILAIPIUTANG[[#Totals],[KELUAR]])</f>
        <v>0</v>
      </c>
      <c r="C18" s="301"/>
    </row>
    <row r="19" spans="1:3" x14ac:dyDescent="0.3">
      <c r="A19" s="185"/>
      <c r="B19" s="186"/>
      <c r="C19" s="301"/>
    </row>
    <row r="20" spans="1:3" x14ac:dyDescent="0.3">
      <c r="A20" s="185"/>
      <c r="B20" s="186"/>
      <c r="C20" s="301"/>
    </row>
    <row r="21" spans="1:3" x14ac:dyDescent="0.3">
      <c r="A21" s="185"/>
      <c r="B21" s="186"/>
      <c r="C21" s="301"/>
    </row>
    <row r="22" spans="1:3" ht="15" thickBot="1" x14ac:dyDescent="0.35">
      <c r="A22" s="185"/>
      <c r="B22" s="186"/>
      <c r="C22" s="302"/>
    </row>
    <row r="23" spans="1:3" ht="15" thickBot="1" x14ac:dyDescent="0.35">
      <c r="A23" s="177" t="s">
        <v>66</v>
      </c>
      <c r="B23" s="187">
        <f>SUM(B11:B22)</f>
        <v>10000000</v>
      </c>
      <c r="C23" s="188"/>
    </row>
  </sheetData>
  <mergeCells count="2">
    <mergeCell ref="A2:H2"/>
    <mergeCell ref="C11:C22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DATA MITRA</vt:lpstr>
      <vt:lpstr>DATA CUSTOMER</vt:lpstr>
      <vt:lpstr>KATALOG</vt:lpstr>
      <vt:lpstr>REKAP BAHAN</vt:lpstr>
      <vt:lpstr>DATA BAHAN MASUK</vt:lpstr>
      <vt:lpstr>DATA BAHAN KELUAR</vt:lpstr>
      <vt:lpstr>PRODUK KELUAR</vt:lpstr>
      <vt:lpstr>REKAP PENJUALAN</vt:lpstr>
      <vt:lpstr>KOMISI CAMPURAN</vt:lpstr>
      <vt:lpstr>KAS TOKO</vt:lpstr>
      <vt:lpstr>KAS PERPUTARAN MODAL</vt:lpstr>
      <vt:lpstr>REKAP KOMISI</vt:lpstr>
      <vt:lpstr>REKAP KEUANGAN</vt:lpstr>
      <vt:lpstr>ASET &amp; PIUTANG</vt:lpstr>
      <vt:lpstr>OMZET</vt:lpstr>
      <vt:lpstr>'DATA BAHAN KELUAR'!CUSTOMER</vt:lpstr>
      <vt:lpstr>'REKAP BAHAN'!CUSTOMER</vt:lpstr>
      <vt:lpstr>CUSTOMER</vt:lpstr>
      <vt:lpstr>'DATA BAHAN KELUAR'!KODE</vt:lpstr>
      <vt:lpstr>'DATA BAHAN KELUAR'!MITRA</vt:lpstr>
      <vt:lpstr>'REKAP BAHAN'!MITRA</vt:lpstr>
      <vt:lpstr>MITRA</vt:lpstr>
      <vt:lpstr>'DATA BAHAN KELUAR'!NOMORPRODUK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2026-07-27T14:27:54Z</dcterms:modified>
</cp:coreProperties>
</file>